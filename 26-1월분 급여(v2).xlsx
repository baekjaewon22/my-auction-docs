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내 드라이브\기획팀\마이옥션 본사\"/>
    </mc:Choice>
  </mc:AlternateContent>
  <bookViews>
    <workbookView xWindow="0" yWindow="0" windowWidth="28800" windowHeight="12285"/>
  </bookViews>
  <sheets>
    <sheet name="급여대장" sheetId="1" r:id="rId1"/>
    <sheet name="계약포상계산" sheetId="2" r:id="rId2"/>
    <sheet name="소득신고" sheetId="3" r:id="rId3"/>
  </sheets>
  <definedNames>
    <definedName name="_xlnm.Print_Area" localSheetId="0">급여대장!$A$1:$N$1829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1" i="3" l="1"/>
  <c r="B61" i="3" s="1"/>
  <c r="C61" i="3" s="1"/>
  <c r="A148" i="3"/>
  <c r="A59" i="3"/>
  <c r="B59" i="3" s="1"/>
  <c r="C59" i="3" s="1"/>
  <c r="B148" i="3" l="1"/>
  <c r="C148" i="3" s="1"/>
  <c r="A58" i="3"/>
  <c r="A57" i="3"/>
  <c r="A55" i="3"/>
  <c r="A54" i="3"/>
  <c r="B54" i="3" s="1"/>
  <c r="C54" i="3" s="1"/>
  <c r="A53" i="3"/>
  <c r="B53" i="3" s="1"/>
  <c r="C53" i="3" s="1"/>
  <c r="A52" i="3"/>
  <c r="B52" i="3" s="1"/>
  <c r="A51" i="3"/>
  <c r="A114" i="3"/>
  <c r="B114" i="3" s="1"/>
  <c r="C114" i="3" s="1"/>
  <c r="A113" i="3"/>
  <c r="B113" i="3" s="1"/>
  <c r="C113" i="3" s="1"/>
  <c r="A112" i="3"/>
  <c r="A4" i="3"/>
  <c r="B57" i="3" l="1"/>
  <c r="C57" i="3" s="1"/>
  <c r="C52" i="3"/>
  <c r="B112" i="3"/>
  <c r="C112" i="3" s="1"/>
  <c r="I55" i="1"/>
  <c r="K55" i="1" s="1"/>
  <c r="L1539" i="1" l="1"/>
  <c r="F1539" i="1"/>
  <c r="H1539" i="1" s="1"/>
  <c r="I1539" i="1" l="1"/>
  <c r="K1539" i="1"/>
  <c r="G1539" i="1"/>
  <c r="K365" i="1"/>
  <c r="F435" i="1" l="1"/>
  <c r="H435" i="1" s="1"/>
  <c r="L434" i="1"/>
  <c r="G434" i="1"/>
  <c r="F434" i="1"/>
  <c r="H434" i="1" s="1"/>
  <c r="L433" i="1"/>
  <c r="F433" i="1"/>
  <c r="G433" i="1" s="1"/>
  <c r="L432" i="1"/>
  <c r="F432" i="1"/>
  <c r="G432" i="1" s="1"/>
  <c r="D373" i="1"/>
  <c r="L366" i="1"/>
  <c r="L365" i="1"/>
  <c r="K328" i="1"/>
  <c r="H432" i="1" l="1"/>
  <c r="H433" i="1"/>
  <c r="G435" i="1"/>
  <c r="F1277" i="1"/>
  <c r="A147" i="3" l="1"/>
  <c r="A60" i="3"/>
  <c r="B60" i="3" s="1"/>
  <c r="A146" i="3"/>
  <c r="A139" i="3"/>
  <c r="B139" i="3" s="1"/>
  <c r="C139" i="3" s="1"/>
  <c r="B58" i="3"/>
  <c r="C58" i="3" s="1"/>
  <c r="A56" i="3"/>
  <c r="B56" i="3" s="1"/>
  <c r="C56" i="3" s="1"/>
  <c r="A125" i="3"/>
  <c r="C60" i="3" l="1"/>
  <c r="B147" i="3"/>
  <c r="C147" i="3" s="1"/>
  <c r="B146" i="3"/>
  <c r="C146" i="3" s="1"/>
  <c r="B125" i="3"/>
  <c r="C125" i="3" s="1"/>
  <c r="L487" i="1" l="1"/>
  <c r="F487" i="1"/>
  <c r="G487" i="1" s="1"/>
  <c r="L521" i="1"/>
  <c r="F521" i="1"/>
  <c r="G521" i="1" s="1"/>
  <c r="H487" i="1" l="1"/>
  <c r="I487" i="1" s="1"/>
  <c r="K487" i="1" s="1"/>
  <c r="H521" i="1"/>
  <c r="I521" i="1" s="1"/>
  <c r="K521" i="1" s="1"/>
  <c r="L696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77" i="1"/>
  <c r="L664" i="1"/>
  <c r="F613" i="1"/>
  <c r="G613" i="1" s="1"/>
  <c r="D558" i="1"/>
  <c r="H613" i="1" l="1"/>
  <c r="F1606" i="1"/>
  <c r="F1607" i="1"/>
  <c r="I613" i="1" l="1"/>
  <c r="K613" i="1" s="1"/>
  <c r="B2" i="1"/>
  <c r="A140" i="3" l="1"/>
  <c r="A138" i="3"/>
  <c r="B138" i="3" s="1"/>
  <c r="C138" i="3" s="1"/>
  <c r="C1829" i="1" l="1"/>
  <c r="L816" i="1" l="1"/>
  <c r="F816" i="1"/>
  <c r="G816" i="1" s="1"/>
  <c r="H816" i="1" l="1"/>
  <c r="I1477" i="1"/>
  <c r="K1477" i="1" s="1"/>
  <c r="I281" i="1"/>
  <c r="K281" i="1" s="1"/>
  <c r="I816" i="1" l="1"/>
  <c r="K816" i="1" s="1"/>
  <c r="A115" i="3"/>
  <c r="A63" i="3"/>
  <c r="B140" i="3" l="1"/>
  <c r="C140" i="3" s="1"/>
  <c r="B51" i="3"/>
  <c r="C51" i="3" s="1"/>
  <c r="F1630" i="1" l="1"/>
  <c r="H1630" i="1" s="1"/>
  <c r="J440" i="1"/>
  <c r="J443" i="1" s="1"/>
  <c r="E440" i="1"/>
  <c r="I439" i="1"/>
  <c r="K439" i="1" s="1"/>
  <c r="F439" i="1"/>
  <c r="G439" i="1" s="1"/>
  <c r="I438" i="1"/>
  <c r="K438" i="1" s="1"/>
  <c r="I437" i="1"/>
  <c r="K437" i="1" s="1"/>
  <c r="F437" i="1"/>
  <c r="G437" i="1" s="1"/>
  <c r="L436" i="1"/>
  <c r="I436" i="1"/>
  <c r="K436" i="1" s="1"/>
  <c r="F431" i="1"/>
  <c r="H431" i="1" s="1"/>
  <c r="L430" i="1"/>
  <c r="F430" i="1"/>
  <c r="L429" i="1"/>
  <c r="F429" i="1"/>
  <c r="H429" i="1" s="1"/>
  <c r="L428" i="1"/>
  <c r="F428" i="1"/>
  <c r="L427" i="1"/>
  <c r="F427" i="1"/>
  <c r="L426" i="1"/>
  <c r="F426" i="1"/>
  <c r="H426" i="1" s="1"/>
  <c r="L425" i="1"/>
  <c r="F425" i="1"/>
  <c r="H425" i="1" s="1"/>
  <c r="L424" i="1"/>
  <c r="F424" i="1"/>
  <c r="H424" i="1" s="1"/>
  <c r="E422" i="1"/>
  <c r="D422" i="1"/>
  <c r="C441" i="1" s="1"/>
  <c r="B24" i="2" s="1"/>
  <c r="B422" i="1"/>
  <c r="G427" i="1" l="1"/>
  <c r="H427" i="1"/>
  <c r="G428" i="1"/>
  <c r="H428" i="1"/>
  <c r="G430" i="1"/>
  <c r="H430" i="1"/>
  <c r="I430" i="1" s="1"/>
  <c r="K430" i="1" s="1"/>
  <c r="G431" i="1"/>
  <c r="I431" i="1"/>
  <c r="K431" i="1" s="1"/>
  <c r="G424" i="1"/>
  <c r="I424" i="1"/>
  <c r="G426" i="1"/>
  <c r="G1630" i="1"/>
  <c r="I1630" i="1"/>
  <c r="K1630" i="1" s="1"/>
  <c r="L440" i="1"/>
  <c r="L443" i="1" s="1"/>
  <c r="I426" i="1"/>
  <c r="K426" i="1" s="1"/>
  <c r="I428" i="1"/>
  <c r="I425" i="1"/>
  <c r="K425" i="1" s="1"/>
  <c r="I429" i="1"/>
  <c r="K429" i="1" s="1"/>
  <c r="G425" i="1"/>
  <c r="G429" i="1"/>
  <c r="F440" i="1"/>
  <c r="C442" i="1" s="1"/>
  <c r="B44" i="2" s="1"/>
  <c r="I435" i="1" l="1"/>
  <c r="K435" i="1" s="1"/>
  <c r="I433" i="1"/>
  <c r="K433" i="1" s="1"/>
  <c r="I432" i="1"/>
  <c r="K432" i="1" s="1"/>
  <c r="I434" i="1"/>
  <c r="K434" i="1" s="1"/>
  <c r="K428" i="1"/>
  <c r="H440" i="1"/>
  <c r="H443" i="1" s="1"/>
  <c r="K424" i="1"/>
  <c r="G440" i="1"/>
  <c r="I427" i="1"/>
  <c r="K427" i="1" s="1"/>
  <c r="J1030" i="1"/>
  <c r="J1033" i="1" s="1"/>
  <c r="E1030" i="1"/>
  <c r="L1029" i="1"/>
  <c r="F1029" i="1"/>
  <c r="G1029" i="1" s="1"/>
  <c r="L1028" i="1"/>
  <c r="I1028" i="1"/>
  <c r="K1028" i="1" s="1"/>
  <c r="F1028" i="1"/>
  <c r="G1028" i="1" s="1"/>
  <c r="L1027" i="1"/>
  <c r="F1027" i="1"/>
  <c r="H1027" i="1" s="1"/>
  <c r="L1026" i="1"/>
  <c r="F1026" i="1"/>
  <c r="H1026" i="1" s="1"/>
  <c r="L1025" i="1"/>
  <c r="F1025" i="1"/>
  <c r="G1025" i="1" s="1"/>
  <c r="L1024" i="1"/>
  <c r="F1024" i="1"/>
  <c r="H1024" i="1" s="1"/>
  <c r="L1023" i="1"/>
  <c r="F1023" i="1"/>
  <c r="H1023" i="1" s="1"/>
  <c r="L1022" i="1"/>
  <c r="F1022" i="1"/>
  <c r="H1022" i="1" s="1"/>
  <c r="L1021" i="1"/>
  <c r="F1021" i="1"/>
  <c r="H1021" i="1" s="1"/>
  <c r="L1020" i="1"/>
  <c r="F1020" i="1"/>
  <c r="L1019" i="1"/>
  <c r="F1019" i="1"/>
  <c r="L1018" i="1"/>
  <c r="F1018" i="1"/>
  <c r="L1017" i="1"/>
  <c r="F1017" i="1"/>
  <c r="G1017" i="1" s="1"/>
  <c r="L1016" i="1"/>
  <c r="F1016" i="1"/>
  <c r="H1016" i="1" s="1"/>
  <c r="L1015" i="1"/>
  <c r="F1015" i="1"/>
  <c r="G1015" i="1" s="1"/>
  <c r="L1014" i="1"/>
  <c r="F1014" i="1"/>
  <c r="H1014" i="1" s="1"/>
  <c r="L1013" i="1"/>
  <c r="F1013" i="1"/>
  <c r="G1013" i="1" s="1"/>
  <c r="L1012" i="1"/>
  <c r="F1012" i="1"/>
  <c r="H1012" i="1" s="1"/>
  <c r="L1011" i="1"/>
  <c r="F1011" i="1"/>
  <c r="H1011" i="1" s="1"/>
  <c r="E1009" i="1"/>
  <c r="D1009" i="1"/>
  <c r="C1031" i="1" s="1"/>
  <c r="B1009" i="1"/>
  <c r="D807" i="1"/>
  <c r="H1025" i="1" l="1"/>
  <c r="I440" i="1"/>
  <c r="I443" i="1"/>
  <c r="K443" i="1" s="1"/>
  <c r="M443" i="1" s="1"/>
  <c r="A18" i="3"/>
  <c r="H1017" i="1"/>
  <c r="I1017" i="1" s="1"/>
  <c r="K1017" i="1" s="1"/>
  <c r="G1021" i="1"/>
  <c r="H1015" i="1"/>
  <c r="I1015" i="1" s="1"/>
  <c r="K1015" i="1" s="1"/>
  <c r="H1013" i="1"/>
  <c r="I1013" i="1" s="1"/>
  <c r="K1013" i="1" s="1"/>
  <c r="G1019" i="1"/>
  <c r="G1023" i="1"/>
  <c r="G1027" i="1"/>
  <c r="H1029" i="1"/>
  <c r="I1029" i="1" s="1"/>
  <c r="K1029" i="1" s="1"/>
  <c r="K440" i="1"/>
  <c r="L1030" i="1"/>
  <c r="L1033" i="1" s="1"/>
  <c r="F1030" i="1"/>
  <c r="C1032" i="1" s="1"/>
  <c r="G1011" i="1"/>
  <c r="I1022" i="1"/>
  <c r="K1022" i="1" s="1"/>
  <c r="I1014" i="1"/>
  <c r="K1014" i="1" s="1"/>
  <c r="I1026" i="1"/>
  <c r="K1026" i="1" s="1"/>
  <c r="I1012" i="1"/>
  <c r="K1012" i="1" s="1"/>
  <c r="I1016" i="1"/>
  <c r="K1016" i="1" s="1"/>
  <c r="I1024" i="1"/>
  <c r="K1024" i="1" s="1"/>
  <c r="I1011" i="1"/>
  <c r="K1011" i="1" s="1"/>
  <c r="G1012" i="1"/>
  <c r="G1014" i="1"/>
  <c r="G1016" i="1"/>
  <c r="G1018" i="1"/>
  <c r="G1020" i="1"/>
  <c r="I1021" i="1"/>
  <c r="K1021" i="1" s="1"/>
  <c r="G1022" i="1"/>
  <c r="I1023" i="1"/>
  <c r="K1023" i="1" s="1"/>
  <c r="G1024" i="1"/>
  <c r="I1025" i="1"/>
  <c r="K1025" i="1" s="1"/>
  <c r="G1026" i="1"/>
  <c r="I1027" i="1"/>
  <c r="K1027" i="1" s="1"/>
  <c r="A137" i="3"/>
  <c r="B137" i="3" s="1"/>
  <c r="B18" i="3" l="1"/>
  <c r="C18" i="3" s="1"/>
  <c r="G1030" i="1"/>
  <c r="C137" i="3"/>
  <c r="B55" i="3"/>
  <c r="C55" i="3" s="1"/>
  <c r="A119" i="3"/>
  <c r="B119" i="3" s="1"/>
  <c r="B115" i="3"/>
  <c r="C115" i="3" s="1"/>
  <c r="A64" i="3"/>
  <c r="B64" i="3" s="1"/>
  <c r="C119" i="3" l="1"/>
  <c r="C64" i="3"/>
  <c r="I1616" i="1"/>
  <c r="K1616" i="1" s="1"/>
  <c r="F1629" i="1" l="1"/>
  <c r="D82" i="1"/>
  <c r="J1526" i="1" l="1"/>
  <c r="J1529" i="1" s="1"/>
  <c r="E1526" i="1"/>
  <c r="L1525" i="1"/>
  <c r="I1525" i="1"/>
  <c r="K1525" i="1" s="1"/>
  <c r="F1525" i="1"/>
  <c r="G1525" i="1" s="1"/>
  <c r="L1524" i="1"/>
  <c r="I1524" i="1"/>
  <c r="K1524" i="1" s="1"/>
  <c r="I1523" i="1"/>
  <c r="L1522" i="1"/>
  <c r="I1522" i="1"/>
  <c r="K1522" i="1" s="1"/>
  <c r="F1522" i="1"/>
  <c r="L1521" i="1"/>
  <c r="I1521" i="1"/>
  <c r="K1521" i="1" s="1"/>
  <c r="F1521" i="1"/>
  <c r="G1521" i="1" s="1"/>
  <c r="L1520" i="1"/>
  <c r="F1520" i="1"/>
  <c r="H1520" i="1" s="1"/>
  <c r="L1519" i="1"/>
  <c r="F1519" i="1"/>
  <c r="G1519" i="1" s="1"/>
  <c r="L1518" i="1"/>
  <c r="F1518" i="1"/>
  <c r="H1518" i="1" s="1"/>
  <c r="L1517" i="1"/>
  <c r="F1517" i="1"/>
  <c r="G1517" i="1" s="1"/>
  <c r="L1516" i="1"/>
  <c r="F1516" i="1"/>
  <c r="H1516" i="1" s="1"/>
  <c r="L1515" i="1"/>
  <c r="F1515" i="1"/>
  <c r="G1515" i="1" s="1"/>
  <c r="L1514" i="1"/>
  <c r="F1514" i="1"/>
  <c r="H1514" i="1" s="1"/>
  <c r="L1513" i="1"/>
  <c r="F1513" i="1"/>
  <c r="G1513" i="1" s="1"/>
  <c r="L1512" i="1"/>
  <c r="F1512" i="1"/>
  <c r="H1512" i="1" s="1"/>
  <c r="L1511" i="1"/>
  <c r="F1511" i="1"/>
  <c r="G1511" i="1" s="1"/>
  <c r="L1510" i="1"/>
  <c r="F1510" i="1"/>
  <c r="H1510" i="1" s="1"/>
  <c r="L1509" i="1"/>
  <c r="F1509" i="1"/>
  <c r="G1509" i="1" s="1"/>
  <c r="E1507" i="1"/>
  <c r="D1507" i="1"/>
  <c r="C1527" i="1" s="1"/>
  <c r="H19" i="2" s="1"/>
  <c r="B1507" i="1"/>
  <c r="H1515" i="1" l="1"/>
  <c r="H1519" i="1"/>
  <c r="I1519" i="1" s="1"/>
  <c r="K1519" i="1" s="1"/>
  <c r="H1517" i="1"/>
  <c r="I1517" i="1" s="1"/>
  <c r="K1517" i="1" s="1"/>
  <c r="H1511" i="1"/>
  <c r="I1511" i="1" s="1"/>
  <c r="K1511" i="1" s="1"/>
  <c r="H1509" i="1"/>
  <c r="H1513" i="1"/>
  <c r="I1513" i="1" s="1"/>
  <c r="K1513" i="1" s="1"/>
  <c r="L1526" i="1"/>
  <c r="L1529" i="1" s="1"/>
  <c r="I1510" i="1"/>
  <c r="K1510" i="1" s="1"/>
  <c r="I1518" i="1"/>
  <c r="K1518" i="1" s="1"/>
  <c r="I1512" i="1"/>
  <c r="K1512" i="1" s="1"/>
  <c r="I1520" i="1"/>
  <c r="K1520" i="1" s="1"/>
  <c r="I1514" i="1"/>
  <c r="K1514" i="1" s="1"/>
  <c r="I1516" i="1"/>
  <c r="K1516" i="1" s="1"/>
  <c r="G1510" i="1"/>
  <c r="G1512" i="1"/>
  <c r="G1514" i="1"/>
  <c r="I1515" i="1"/>
  <c r="K1515" i="1" s="1"/>
  <c r="G1516" i="1"/>
  <c r="G1518" i="1"/>
  <c r="G1520" i="1"/>
  <c r="F1526" i="1"/>
  <c r="H1526" i="1" l="1"/>
  <c r="G1526" i="1"/>
  <c r="I1509" i="1"/>
  <c r="I1526" i="1" s="1"/>
  <c r="C1528" i="1"/>
  <c r="H1529" i="1"/>
  <c r="F822" i="1"/>
  <c r="K1509" i="1" l="1"/>
  <c r="K1526" i="1" s="1"/>
  <c r="I1529" i="1"/>
  <c r="K1529" i="1" s="1"/>
  <c r="A126" i="3"/>
  <c r="B126" i="3" s="1"/>
  <c r="C126" i="3" s="1"/>
  <c r="M1529" i="1" l="1"/>
  <c r="F1566" i="1" l="1"/>
  <c r="H1566" i="1" s="1"/>
  <c r="I1566" i="1" l="1"/>
  <c r="K1566" i="1" s="1"/>
  <c r="G1566" i="1"/>
  <c r="L1548" i="1" l="1"/>
  <c r="K1548" i="1"/>
  <c r="F520" i="1" l="1"/>
  <c r="H520" i="1" s="1"/>
  <c r="G520" i="1" l="1"/>
  <c r="I1551" i="1"/>
  <c r="K1551" i="1" s="1"/>
  <c r="L1551" i="1"/>
  <c r="F1628" i="1"/>
  <c r="H1628" i="1" s="1"/>
  <c r="F1544" i="1"/>
  <c r="G1544" i="1" s="1"/>
  <c r="F377" i="1"/>
  <c r="H377" i="1" s="1"/>
  <c r="G377" i="1" l="1"/>
  <c r="G1628" i="1"/>
  <c r="I1628" i="1"/>
  <c r="K1628" i="1" s="1"/>
  <c r="H1544" i="1"/>
  <c r="I1544" i="1" l="1"/>
  <c r="K1544" i="1" s="1"/>
  <c r="F452" i="1" l="1"/>
  <c r="A141" i="3" l="1"/>
  <c r="B141" i="3" s="1"/>
  <c r="C141" i="3" s="1"/>
  <c r="A132" i="3"/>
  <c r="A124" i="3"/>
  <c r="B132" i="3" l="1"/>
  <c r="C132" i="3" s="1"/>
  <c r="B124" i="3"/>
  <c r="C124" i="3" s="1"/>
  <c r="L475" i="1"/>
  <c r="I475" i="1"/>
  <c r="K475" i="1" s="1"/>
  <c r="F475" i="1"/>
  <c r="G475" i="1" s="1"/>
  <c r="I53" i="1" l="1"/>
  <c r="K53" i="1" s="1"/>
  <c r="D240" i="1" l="1"/>
  <c r="D306" i="1" l="1"/>
  <c r="I929" i="1" l="1"/>
  <c r="K929" i="1" s="1"/>
  <c r="I878" i="1"/>
  <c r="K878" i="1" s="1"/>
  <c r="I761" i="1"/>
  <c r="K761" i="1" s="1"/>
  <c r="I724" i="1"/>
  <c r="K724" i="1" s="1"/>
  <c r="I695" i="1"/>
  <c r="K695" i="1" s="1"/>
  <c r="I668" i="1"/>
  <c r="K668" i="1" s="1"/>
  <c r="I630" i="1"/>
  <c r="K630" i="1" s="1"/>
  <c r="I579" i="1"/>
  <c r="K579" i="1" s="1"/>
  <c r="F324" i="1" l="1"/>
  <c r="G324" i="1" s="1"/>
  <c r="F323" i="1"/>
  <c r="G323" i="1" s="1"/>
  <c r="F1626" i="1"/>
  <c r="G1626" i="1" s="1"/>
  <c r="L355" i="1"/>
  <c r="F355" i="1"/>
  <c r="G355" i="1" s="1"/>
  <c r="H1626" i="1" l="1"/>
  <c r="I1626" i="1" s="1"/>
  <c r="K1626" i="1" s="1"/>
  <c r="H324" i="1"/>
  <c r="I324" i="1" s="1"/>
  <c r="K324" i="1" s="1"/>
  <c r="H323" i="1"/>
  <c r="H355" i="1"/>
  <c r="I355" i="1" s="1"/>
  <c r="F453" i="1"/>
  <c r="I323" i="1" l="1"/>
  <c r="K323" i="1" s="1"/>
  <c r="K355" i="1"/>
  <c r="F322" i="1" l="1"/>
  <c r="H322" i="1" s="1"/>
  <c r="G322" i="1" l="1"/>
  <c r="I322" i="1"/>
  <c r="K322" i="1" s="1"/>
  <c r="F566" i="1"/>
  <c r="H566" i="1" s="1"/>
  <c r="F484" i="1"/>
  <c r="F485" i="1"/>
  <c r="F486" i="1"/>
  <c r="F488" i="1"/>
  <c r="F489" i="1"/>
  <c r="F490" i="1"/>
  <c r="F491" i="1"/>
  <c r="F492" i="1"/>
  <c r="F493" i="1"/>
  <c r="F494" i="1"/>
  <c r="G566" i="1" l="1"/>
  <c r="I566" i="1"/>
  <c r="K566" i="1" s="1"/>
  <c r="F1627" i="1"/>
  <c r="F1625" i="1"/>
  <c r="I334" i="1"/>
  <c r="K334" i="1" s="1"/>
  <c r="L53" i="1" l="1"/>
  <c r="L54" i="1"/>
  <c r="I54" i="1"/>
  <c r="K54" i="1" s="1"/>
  <c r="K1155" i="1" l="1"/>
  <c r="F1040" i="1" l="1"/>
  <c r="L1044" i="1"/>
  <c r="F1044" i="1"/>
  <c r="G1044" i="1" s="1"/>
  <c r="L1043" i="1"/>
  <c r="F1043" i="1"/>
  <c r="L1042" i="1"/>
  <c r="F1042" i="1"/>
  <c r="F1041" i="1"/>
  <c r="H1041" i="1" s="1"/>
  <c r="G1041" i="1" l="1"/>
  <c r="G1042" i="1"/>
  <c r="H1042" i="1"/>
  <c r="I1042" i="1" s="1"/>
  <c r="G1043" i="1"/>
  <c r="H1043" i="1"/>
  <c r="G1040" i="1"/>
  <c r="H1040" i="1"/>
  <c r="I1040" i="1" s="1"/>
  <c r="K1040" i="1" s="1"/>
  <c r="H1044" i="1"/>
  <c r="I1044" i="1" s="1"/>
  <c r="A133" i="3"/>
  <c r="A144" i="3"/>
  <c r="B144" i="3" s="1"/>
  <c r="A122" i="3"/>
  <c r="K1042" i="1" l="1"/>
  <c r="K1044" i="1"/>
  <c r="I1043" i="1"/>
  <c r="K1043" i="1" s="1"/>
  <c r="B133" i="3"/>
  <c r="C133" i="3" s="1"/>
  <c r="C144" i="3"/>
  <c r="I279" i="1" l="1"/>
  <c r="K279" i="1" s="1"/>
  <c r="I256" i="1"/>
  <c r="K256" i="1" s="1"/>
  <c r="I232" i="1"/>
  <c r="K232" i="1" s="1"/>
  <c r="I210" i="1"/>
  <c r="K210" i="1" s="1"/>
  <c r="L254" i="1" l="1"/>
  <c r="H254" i="1"/>
  <c r="I233" i="1"/>
  <c r="K233" i="1" s="1"/>
  <c r="I254" i="1" l="1"/>
  <c r="K254" i="1" s="1"/>
  <c r="I1290" i="1" l="1"/>
  <c r="K1290" i="1" s="1"/>
  <c r="F1290" i="1"/>
  <c r="G1290" i="1" s="1"/>
  <c r="F1611" i="1" l="1"/>
  <c r="G1611" i="1" s="1"/>
  <c r="L360" i="1"/>
  <c r="H1611" i="1" l="1"/>
  <c r="I1611" i="1" s="1"/>
  <c r="K1611" i="1" s="1"/>
  <c r="F738" i="1" l="1"/>
  <c r="H738" i="1" s="1"/>
  <c r="G738" i="1" l="1"/>
  <c r="I738" i="1"/>
  <c r="K738" i="1" s="1"/>
  <c r="L270" i="1" l="1"/>
  <c r="L271" i="1"/>
  <c r="L272" i="1"/>
  <c r="F272" i="1"/>
  <c r="G272" i="1" s="1"/>
  <c r="L274" i="1"/>
  <c r="F274" i="1"/>
  <c r="H274" i="1" s="1"/>
  <c r="F271" i="1"/>
  <c r="G271" i="1" s="1"/>
  <c r="H271" i="1" l="1"/>
  <c r="H272" i="1"/>
  <c r="G274" i="1"/>
  <c r="A118" i="3"/>
  <c r="B118" i="3" s="1"/>
  <c r="C118" i="3" s="1"/>
  <c r="L738" i="1" l="1"/>
  <c r="E135" i="1" l="1"/>
  <c r="J135" i="1"/>
  <c r="F119" i="1"/>
  <c r="G119" i="1" s="1"/>
  <c r="L119" i="1"/>
  <c r="H119" i="1" l="1"/>
  <c r="L1567" i="1"/>
  <c r="F1567" i="1"/>
  <c r="G1567" i="1" s="1"/>
  <c r="I119" i="1" l="1"/>
  <c r="K119" i="1" s="1"/>
  <c r="H1567" i="1"/>
  <c r="I1567" i="1" s="1"/>
  <c r="K1567" i="1" s="1"/>
  <c r="L229" i="1"/>
  <c r="I229" i="1" l="1"/>
  <c r="K229" i="1" s="1"/>
  <c r="F535" i="1" l="1"/>
  <c r="G535" i="1" s="1"/>
  <c r="I1499" i="1" l="1"/>
  <c r="I1500" i="1"/>
  <c r="K1500" i="1" s="1"/>
  <c r="L1500" i="1"/>
  <c r="F615" i="1" l="1"/>
  <c r="L615" i="1"/>
  <c r="G615" i="1" l="1"/>
  <c r="H615" i="1"/>
  <c r="I615" i="1" s="1"/>
  <c r="F741" i="1"/>
  <c r="G741" i="1" s="1"/>
  <c r="K615" i="1" l="1"/>
  <c r="I280" i="1"/>
  <c r="K280" i="1" s="1"/>
  <c r="I415" i="1"/>
  <c r="K415" i="1" s="1"/>
  <c r="I396" i="1"/>
  <c r="K396" i="1" s="1"/>
  <c r="I366" i="1"/>
  <c r="K366" i="1" s="1"/>
  <c r="I333" i="1"/>
  <c r="K333" i="1" s="1"/>
  <c r="L1495" i="1" l="1"/>
  <c r="L1494" i="1"/>
  <c r="J1502" i="1"/>
  <c r="J1505" i="1" s="1"/>
  <c r="E1502" i="1"/>
  <c r="L1501" i="1"/>
  <c r="I1501" i="1"/>
  <c r="K1501" i="1" s="1"/>
  <c r="F1501" i="1"/>
  <c r="G1501" i="1" s="1"/>
  <c r="L1498" i="1"/>
  <c r="I1498" i="1"/>
  <c r="K1498" i="1" s="1"/>
  <c r="F1498" i="1"/>
  <c r="L1497" i="1"/>
  <c r="I1497" i="1"/>
  <c r="K1497" i="1" s="1"/>
  <c r="F1497" i="1"/>
  <c r="G1497" i="1" s="1"/>
  <c r="L1496" i="1"/>
  <c r="F1496" i="1"/>
  <c r="H1496" i="1" s="1"/>
  <c r="F1495" i="1"/>
  <c r="H1495" i="1" s="1"/>
  <c r="F1494" i="1"/>
  <c r="H1494" i="1" s="1"/>
  <c r="L1493" i="1"/>
  <c r="F1493" i="1"/>
  <c r="H1493" i="1" s="1"/>
  <c r="L1492" i="1"/>
  <c r="F1492" i="1"/>
  <c r="G1492" i="1" s="1"/>
  <c r="L1491" i="1"/>
  <c r="F1491" i="1"/>
  <c r="H1491" i="1" s="1"/>
  <c r="L1490" i="1"/>
  <c r="F1490" i="1"/>
  <c r="H1490" i="1" s="1"/>
  <c r="L1489" i="1"/>
  <c r="F1489" i="1"/>
  <c r="H1489" i="1" s="1"/>
  <c r="L1488" i="1"/>
  <c r="F1488" i="1"/>
  <c r="H1488" i="1" s="1"/>
  <c r="L1487" i="1"/>
  <c r="F1487" i="1"/>
  <c r="H1487" i="1" s="1"/>
  <c r="L1486" i="1"/>
  <c r="F1486" i="1"/>
  <c r="H1486" i="1" s="1"/>
  <c r="L1485" i="1"/>
  <c r="F1485" i="1"/>
  <c r="E1483" i="1"/>
  <c r="D1483" i="1"/>
  <c r="B1483" i="1"/>
  <c r="F1446" i="1"/>
  <c r="C1503" i="1" l="1"/>
  <c r="H18" i="2" s="1"/>
  <c r="H1492" i="1"/>
  <c r="G1488" i="1"/>
  <c r="G1486" i="1"/>
  <c r="G1490" i="1"/>
  <c r="G1494" i="1"/>
  <c r="G1496" i="1"/>
  <c r="F1502" i="1"/>
  <c r="L1502" i="1"/>
  <c r="L1505" i="1" s="1"/>
  <c r="I1493" i="1"/>
  <c r="K1493" i="1" s="1"/>
  <c r="I1487" i="1"/>
  <c r="K1487" i="1" s="1"/>
  <c r="I1491" i="1"/>
  <c r="K1491" i="1" s="1"/>
  <c r="I1495" i="1"/>
  <c r="K1495" i="1" s="1"/>
  <c r="I1489" i="1"/>
  <c r="K1489" i="1" s="1"/>
  <c r="G1485" i="1"/>
  <c r="I1486" i="1"/>
  <c r="K1486" i="1" s="1"/>
  <c r="G1487" i="1"/>
  <c r="I1488" i="1"/>
  <c r="K1488" i="1" s="1"/>
  <c r="G1489" i="1"/>
  <c r="I1490" i="1"/>
  <c r="K1490" i="1" s="1"/>
  <c r="G1491" i="1"/>
  <c r="I1492" i="1"/>
  <c r="K1492" i="1" s="1"/>
  <c r="G1493" i="1"/>
  <c r="I1494" i="1"/>
  <c r="K1494" i="1" s="1"/>
  <c r="G1495" i="1"/>
  <c r="I1496" i="1"/>
  <c r="K1496" i="1" s="1"/>
  <c r="H1485" i="1"/>
  <c r="L100" i="1"/>
  <c r="F100" i="1"/>
  <c r="G100" i="1" s="1"/>
  <c r="C1504" i="1" l="1"/>
  <c r="H38" i="2" s="1"/>
  <c r="H1502" i="1"/>
  <c r="H1505" i="1" s="1"/>
  <c r="I1485" i="1"/>
  <c r="I1502" i="1" s="1"/>
  <c r="G1502" i="1"/>
  <c r="H100" i="1"/>
  <c r="E910" i="1"/>
  <c r="J931" i="1"/>
  <c r="E931" i="1"/>
  <c r="J905" i="1"/>
  <c r="E905" i="1"/>
  <c r="J880" i="1"/>
  <c r="J827" i="1"/>
  <c r="E827" i="1"/>
  <c r="J763" i="1"/>
  <c r="E763" i="1"/>
  <c r="J726" i="1"/>
  <c r="E726" i="1"/>
  <c r="J697" i="1"/>
  <c r="E697" i="1"/>
  <c r="J670" i="1"/>
  <c r="E670" i="1"/>
  <c r="J632" i="1"/>
  <c r="E632" i="1"/>
  <c r="J581" i="1"/>
  <c r="E581" i="1"/>
  <c r="J540" i="1"/>
  <c r="J513" i="1"/>
  <c r="E513" i="1"/>
  <c r="J477" i="1"/>
  <c r="E477" i="1"/>
  <c r="H473" i="1"/>
  <c r="K1485" i="1" l="1"/>
  <c r="K1502" i="1" s="1"/>
  <c r="I1505" i="1"/>
  <c r="K1505" i="1" s="1"/>
  <c r="M1505" i="1" s="1"/>
  <c r="H535" i="1"/>
  <c r="E540" i="1"/>
  <c r="F458" i="1" l="1"/>
  <c r="F405" i="1" l="1"/>
  <c r="F406" i="1"/>
  <c r="F407" i="1"/>
  <c r="F408" i="1"/>
  <c r="F409" i="1"/>
  <c r="F410" i="1"/>
  <c r="F411" i="1"/>
  <c r="F412" i="1"/>
  <c r="A131" i="3" l="1"/>
  <c r="B131" i="3" s="1"/>
  <c r="C131" i="3" s="1"/>
  <c r="H741" i="1" l="1"/>
  <c r="H899" i="1"/>
  <c r="L864" i="1" l="1"/>
  <c r="F864" i="1"/>
  <c r="G864" i="1" l="1"/>
  <c r="H864" i="1"/>
  <c r="F889" i="1"/>
  <c r="H889" i="1" s="1"/>
  <c r="F708" i="1"/>
  <c r="H708" i="1" s="1"/>
  <c r="G889" i="1" l="1"/>
  <c r="I889" i="1"/>
  <c r="K889" i="1" s="1"/>
  <c r="I708" i="1"/>
  <c r="K708" i="1" s="1"/>
  <c r="G708" i="1"/>
  <c r="F736" i="1" l="1"/>
  <c r="H736" i="1" s="1"/>
  <c r="I736" i="1" l="1"/>
  <c r="G736" i="1"/>
  <c r="J959" i="1"/>
  <c r="J962" i="1" s="1"/>
  <c r="E959" i="1"/>
  <c r="L958" i="1"/>
  <c r="F958" i="1"/>
  <c r="G958" i="1" s="1"/>
  <c r="L957" i="1"/>
  <c r="F957" i="1"/>
  <c r="H957" i="1" s="1"/>
  <c r="L956" i="1"/>
  <c r="F956" i="1"/>
  <c r="G956" i="1" s="1"/>
  <c r="L955" i="1"/>
  <c r="F955" i="1"/>
  <c r="H955" i="1" s="1"/>
  <c r="L954" i="1"/>
  <c r="F954" i="1"/>
  <c r="G954" i="1" s="1"/>
  <c r="L953" i="1"/>
  <c r="F953" i="1"/>
  <c r="H953" i="1" s="1"/>
  <c r="L952" i="1"/>
  <c r="F952" i="1"/>
  <c r="G952" i="1" s="1"/>
  <c r="L951" i="1"/>
  <c r="F951" i="1"/>
  <c r="H951" i="1" s="1"/>
  <c r="L950" i="1"/>
  <c r="F950" i="1"/>
  <c r="G950" i="1" s="1"/>
  <c r="L949" i="1"/>
  <c r="F949" i="1"/>
  <c r="L948" i="1"/>
  <c r="F948" i="1"/>
  <c r="G948" i="1" s="1"/>
  <c r="L947" i="1"/>
  <c r="F947" i="1"/>
  <c r="L946" i="1"/>
  <c r="F946" i="1"/>
  <c r="G946" i="1" s="1"/>
  <c r="L945" i="1"/>
  <c r="F945" i="1"/>
  <c r="H945" i="1" s="1"/>
  <c r="L944" i="1"/>
  <c r="F944" i="1"/>
  <c r="G944" i="1" s="1"/>
  <c r="L943" i="1"/>
  <c r="F943" i="1"/>
  <c r="H943" i="1" s="1"/>
  <c r="L942" i="1"/>
  <c r="F942" i="1"/>
  <c r="G942" i="1" s="1"/>
  <c r="L941" i="1"/>
  <c r="F941" i="1"/>
  <c r="H941" i="1" s="1"/>
  <c r="L940" i="1"/>
  <c r="F940" i="1"/>
  <c r="L939" i="1"/>
  <c r="F939" i="1"/>
  <c r="H939" i="1" s="1"/>
  <c r="E937" i="1"/>
  <c r="D937" i="1"/>
  <c r="C960" i="1" s="1"/>
  <c r="B937" i="1"/>
  <c r="G940" i="1" l="1"/>
  <c r="H940" i="1"/>
  <c r="I940" i="1" s="1"/>
  <c r="K940" i="1" s="1"/>
  <c r="H946" i="1"/>
  <c r="I946" i="1" s="1"/>
  <c r="K946" i="1" s="1"/>
  <c r="H952" i="1"/>
  <c r="I952" i="1" s="1"/>
  <c r="K952" i="1" s="1"/>
  <c r="H942" i="1"/>
  <c r="I942" i="1" s="1"/>
  <c r="H954" i="1"/>
  <c r="I954" i="1" s="1"/>
  <c r="K954" i="1" s="1"/>
  <c r="L959" i="1"/>
  <c r="L962" i="1" s="1"/>
  <c r="H956" i="1"/>
  <c r="I956" i="1" s="1"/>
  <c r="H950" i="1"/>
  <c r="I950" i="1" s="1"/>
  <c r="K950" i="1" s="1"/>
  <c r="H958" i="1"/>
  <c r="I958" i="1" s="1"/>
  <c r="K958" i="1" s="1"/>
  <c r="I957" i="1"/>
  <c r="K957" i="1" s="1"/>
  <c r="I939" i="1"/>
  <c r="K939" i="1" s="1"/>
  <c r="I941" i="1"/>
  <c r="K941" i="1" s="1"/>
  <c r="I953" i="1"/>
  <c r="K953" i="1" s="1"/>
  <c r="I951" i="1"/>
  <c r="K951" i="1" s="1"/>
  <c r="I943" i="1"/>
  <c r="K943" i="1" s="1"/>
  <c r="I945" i="1"/>
  <c r="K945" i="1" s="1"/>
  <c r="I955" i="1"/>
  <c r="K955" i="1" s="1"/>
  <c r="G939" i="1"/>
  <c r="G941" i="1"/>
  <c r="G943" i="1"/>
  <c r="G945" i="1"/>
  <c r="G947" i="1"/>
  <c r="G949" i="1"/>
  <c r="G951" i="1"/>
  <c r="G953" i="1"/>
  <c r="G955" i="1"/>
  <c r="G957" i="1"/>
  <c r="F959" i="1"/>
  <c r="C961" i="1" s="1"/>
  <c r="L1409" i="1"/>
  <c r="I1409" i="1"/>
  <c r="K1409" i="1" s="1"/>
  <c r="F1039" i="1"/>
  <c r="F1045" i="1"/>
  <c r="F1046" i="1"/>
  <c r="H1046" i="1" l="1"/>
  <c r="G1045" i="1"/>
  <c r="H1045" i="1"/>
  <c r="I1045" i="1" s="1"/>
  <c r="I1041" i="1"/>
  <c r="K1041" i="1" s="1"/>
  <c r="G1039" i="1"/>
  <c r="H1039" i="1"/>
  <c r="K942" i="1"/>
  <c r="K956" i="1"/>
  <c r="G959" i="1"/>
  <c r="G1046" i="1"/>
  <c r="I1046" i="1" l="1"/>
  <c r="K1046" i="1" s="1"/>
  <c r="K1045" i="1"/>
  <c r="I1039" i="1"/>
  <c r="K1039" i="1" s="1"/>
  <c r="F89" i="1"/>
  <c r="G89" i="1" s="1"/>
  <c r="H89" i="1" l="1"/>
  <c r="I89" i="1" l="1"/>
  <c r="K89" i="1" s="1"/>
  <c r="L1457" i="1" l="1"/>
  <c r="I1457" i="1"/>
  <c r="F1457" i="1"/>
  <c r="G1457" i="1" s="1"/>
  <c r="K1457" i="1" l="1"/>
  <c r="A123" i="3" l="1"/>
  <c r="B123" i="3" s="1"/>
  <c r="C123" i="3" s="1"/>
  <c r="A136" i="3"/>
  <c r="B136" i="3" s="1"/>
  <c r="C136" i="3" s="1"/>
  <c r="A116" i="3"/>
  <c r="B116" i="3" s="1"/>
  <c r="C116" i="3" s="1"/>
  <c r="L736" i="1" l="1"/>
  <c r="K736" i="1" l="1"/>
  <c r="E732" i="1"/>
  <c r="K157" i="1" l="1"/>
  <c r="K156" i="1"/>
  <c r="L577" i="1"/>
  <c r="L576" i="1"/>
  <c r="L574" i="1"/>
  <c r="L982" i="1" l="1"/>
  <c r="F982" i="1"/>
  <c r="G982" i="1" s="1"/>
  <c r="L926" i="1"/>
  <c r="F926" i="1"/>
  <c r="L875" i="1"/>
  <c r="F875" i="1"/>
  <c r="L822" i="1"/>
  <c r="L772" i="1"/>
  <c r="F772" i="1"/>
  <c r="L756" i="1"/>
  <c r="F756" i="1"/>
  <c r="G756" i="1" s="1"/>
  <c r="L900" i="1"/>
  <c r="F900" i="1"/>
  <c r="G900" i="1" s="1"/>
  <c r="L721" i="1"/>
  <c r="F721" i="1"/>
  <c r="F692" i="1"/>
  <c r="L665" i="1"/>
  <c r="F665" i="1"/>
  <c r="G665" i="1" s="1"/>
  <c r="L627" i="1"/>
  <c r="F627" i="1"/>
  <c r="H627" i="1" s="1"/>
  <c r="F576" i="1"/>
  <c r="L535" i="1"/>
  <c r="L468" i="1"/>
  <c r="F468" i="1"/>
  <c r="G468" i="1" s="1"/>
  <c r="G721" i="1" l="1"/>
  <c r="H721" i="1"/>
  <c r="I721" i="1" s="1"/>
  <c r="K721" i="1" s="1"/>
  <c r="I822" i="1"/>
  <c r="K822" i="1" s="1"/>
  <c r="G926" i="1"/>
  <c r="H926" i="1"/>
  <c r="I926" i="1" s="1"/>
  <c r="K926" i="1" s="1"/>
  <c r="G576" i="1"/>
  <c r="H576" i="1"/>
  <c r="I576" i="1" s="1"/>
  <c r="K576" i="1" s="1"/>
  <c r="G772" i="1"/>
  <c r="H772" i="1"/>
  <c r="I772" i="1" s="1"/>
  <c r="K772" i="1" s="1"/>
  <c r="G875" i="1"/>
  <c r="H875" i="1"/>
  <c r="I875" i="1" s="1"/>
  <c r="K875" i="1" s="1"/>
  <c r="G627" i="1"/>
  <c r="H900" i="1"/>
  <c r="H982" i="1"/>
  <c r="I982" i="1" s="1"/>
  <c r="K982" i="1" s="1"/>
  <c r="H756" i="1"/>
  <c r="I756" i="1" s="1"/>
  <c r="K756" i="1" s="1"/>
  <c r="G692" i="1"/>
  <c r="H692" i="1"/>
  <c r="I692" i="1" s="1"/>
  <c r="K692" i="1" s="1"/>
  <c r="I627" i="1"/>
  <c r="K627" i="1" s="1"/>
  <c r="H665" i="1"/>
  <c r="I665" i="1" s="1"/>
  <c r="K665" i="1" s="1"/>
  <c r="H468" i="1"/>
  <c r="I535" i="1" l="1"/>
  <c r="K535" i="1" s="1"/>
  <c r="L275" i="1" l="1"/>
  <c r="F275" i="1"/>
  <c r="H275" i="1" s="1"/>
  <c r="L1594" i="1"/>
  <c r="L1593" i="1"/>
  <c r="F1594" i="1"/>
  <c r="G1594" i="1" s="1"/>
  <c r="H1594" i="1" l="1"/>
  <c r="I275" i="1"/>
  <c r="K275" i="1" s="1"/>
  <c r="G275" i="1"/>
  <c r="I1594" i="1" l="1"/>
  <c r="K1594" i="1" s="1"/>
  <c r="J987" i="1" l="1"/>
  <c r="J990" i="1" s="1"/>
  <c r="E987" i="1"/>
  <c r="L986" i="1"/>
  <c r="F986" i="1"/>
  <c r="L985" i="1"/>
  <c r="F985" i="1"/>
  <c r="H985" i="1" s="1"/>
  <c r="L984" i="1"/>
  <c r="F984" i="1"/>
  <c r="L983" i="1"/>
  <c r="F983" i="1"/>
  <c r="H983" i="1" s="1"/>
  <c r="L981" i="1"/>
  <c r="F981" i="1"/>
  <c r="H981" i="1" s="1"/>
  <c r="L980" i="1"/>
  <c r="F980" i="1"/>
  <c r="H980" i="1" s="1"/>
  <c r="L979" i="1"/>
  <c r="F979" i="1"/>
  <c r="G979" i="1" s="1"/>
  <c r="L978" i="1"/>
  <c r="F978" i="1"/>
  <c r="H978" i="1" s="1"/>
  <c r="L977" i="1"/>
  <c r="F977" i="1"/>
  <c r="G977" i="1" s="1"/>
  <c r="L976" i="1"/>
  <c r="F976" i="1"/>
  <c r="L975" i="1"/>
  <c r="F975" i="1"/>
  <c r="G975" i="1" s="1"/>
  <c r="L974" i="1"/>
  <c r="F974" i="1"/>
  <c r="H974" i="1" s="1"/>
  <c r="L973" i="1"/>
  <c r="F973" i="1"/>
  <c r="G973" i="1" s="1"/>
  <c r="L972" i="1"/>
  <c r="F972" i="1"/>
  <c r="L971" i="1"/>
  <c r="F971" i="1"/>
  <c r="G971" i="1" s="1"/>
  <c r="L970" i="1"/>
  <c r="F970" i="1"/>
  <c r="H970" i="1" s="1"/>
  <c r="L969" i="1"/>
  <c r="F969" i="1"/>
  <c r="G969" i="1" s="1"/>
  <c r="L968" i="1"/>
  <c r="F968" i="1"/>
  <c r="H968" i="1" s="1"/>
  <c r="L967" i="1"/>
  <c r="F967" i="1"/>
  <c r="E965" i="1"/>
  <c r="D965" i="1"/>
  <c r="C988" i="1" s="1"/>
  <c r="B965" i="1"/>
  <c r="J934" i="1"/>
  <c r="L930" i="1"/>
  <c r="F930" i="1"/>
  <c r="H930" i="1" s="1"/>
  <c r="I930" i="1" s="1"/>
  <c r="L929" i="1"/>
  <c r="F929" i="1"/>
  <c r="L928" i="1"/>
  <c r="F928" i="1"/>
  <c r="H928" i="1" s="1"/>
  <c r="L927" i="1"/>
  <c r="F927" i="1"/>
  <c r="H927" i="1" s="1"/>
  <c r="L925" i="1"/>
  <c r="F925" i="1"/>
  <c r="H925" i="1" s="1"/>
  <c r="L924" i="1"/>
  <c r="F924" i="1"/>
  <c r="H924" i="1" s="1"/>
  <c r="L923" i="1"/>
  <c r="F923" i="1"/>
  <c r="G923" i="1" s="1"/>
  <c r="L922" i="1"/>
  <c r="F922" i="1"/>
  <c r="H922" i="1" s="1"/>
  <c r="L921" i="1"/>
  <c r="F921" i="1"/>
  <c r="G921" i="1" s="1"/>
  <c r="L920" i="1"/>
  <c r="F920" i="1"/>
  <c r="L919" i="1"/>
  <c r="F919" i="1"/>
  <c r="G919" i="1" s="1"/>
  <c r="L918" i="1"/>
  <c r="F918" i="1"/>
  <c r="H918" i="1" s="1"/>
  <c r="L917" i="1"/>
  <c r="F917" i="1"/>
  <c r="G917" i="1" s="1"/>
  <c r="L916" i="1"/>
  <c r="F916" i="1"/>
  <c r="H916" i="1" s="1"/>
  <c r="L915" i="1"/>
  <c r="F915" i="1"/>
  <c r="H915" i="1" s="1"/>
  <c r="L914" i="1"/>
  <c r="F914" i="1"/>
  <c r="H914" i="1" s="1"/>
  <c r="L913" i="1"/>
  <c r="F913" i="1"/>
  <c r="H913" i="1" s="1"/>
  <c r="L912" i="1"/>
  <c r="F912" i="1"/>
  <c r="H912" i="1" s="1"/>
  <c r="D910" i="1"/>
  <c r="C932" i="1" s="1"/>
  <c r="E19" i="2" s="1"/>
  <c r="B910" i="1"/>
  <c r="G915" i="1" l="1"/>
  <c r="L931" i="1"/>
  <c r="L934" i="1" s="1"/>
  <c r="I912" i="1"/>
  <c r="F931" i="1"/>
  <c r="C933" i="1" s="1"/>
  <c r="E39" i="2" s="1"/>
  <c r="H979" i="1"/>
  <c r="I979" i="1" s="1"/>
  <c r="K979" i="1" s="1"/>
  <c r="G967" i="1"/>
  <c r="H967" i="1"/>
  <c r="I967" i="1" s="1"/>
  <c r="K967" i="1" s="1"/>
  <c r="I915" i="1"/>
  <c r="K915" i="1" s="1"/>
  <c r="G984" i="1"/>
  <c r="H984" i="1"/>
  <c r="G986" i="1"/>
  <c r="H986" i="1"/>
  <c r="G925" i="1"/>
  <c r="G928" i="1"/>
  <c r="G930" i="1"/>
  <c r="G981" i="1"/>
  <c r="G912" i="1"/>
  <c r="G913" i="1"/>
  <c r="I913" i="1"/>
  <c r="K913" i="1" s="1"/>
  <c r="L987" i="1"/>
  <c r="L990" i="1" s="1"/>
  <c r="H973" i="1"/>
  <c r="I973" i="1" s="1"/>
  <c r="K973" i="1" s="1"/>
  <c r="H969" i="1"/>
  <c r="I969" i="1" s="1"/>
  <c r="K969" i="1" s="1"/>
  <c r="H971" i="1"/>
  <c r="I971" i="1" s="1"/>
  <c r="K971" i="1" s="1"/>
  <c r="I974" i="1"/>
  <c r="K974" i="1" s="1"/>
  <c r="I978" i="1"/>
  <c r="K978" i="1" s="1"/>
  <c r="I968" i="1"/>
  <c r="K968" i="1" s="1"/>
  <c r="I980" i="1"/>
  <c r="K980" i="1" s="1"/>
  <c r="I970" i="1"/>
  <c r="K970" i="1" s="1"/>
  <c r="G968" i="1"/>
  <c r="G970" i="1"/>
  <c r="G972" i="1"/>
  <c r="G974" i="1"/>
  <c r="G976" i="1"/>
  <c r="G978" i="1"/>
  <c r="G980" i="1"/>
  <c r="G983" i="1"/>
  <c r="G985" i="1"/>
  <c r="F987" i="1"/>
  <c r="C989" i="1" s="1"/>
  <c r="H917" i="1"/>
  <c r="I917" i="1" s="1"/>
  <c r="K917" i="1" s="1"/>
  <c r="H923" i="1"/>
  <c r="I923" i="1" s="1"/>
  <c r="I924" i="1"/>
  <c r="K924" i="1" s="1"/>
  <c r="I914" i="1"/>
  <c r="K914" i="1" s="1"/>
  <c r="I918" i="1"/>
  <c r="K918" i="1" s="1"/>
  <c r="I922" i="1"/>
  <c r="K922" i="1" s="1"/>
  <c r="G914" i="1"/>
  <c r="G916" i="1"/>
  <c r="G918" i="1"/>
  <c r="G920" i="1"/>
  <c r="G922" i="1"/>
  <c r="G924" i="1"/>
  <c r="G927" i="1"/>
  <c r="G929" i="1"/>
  <c r="F311" i="1"/>
  <c r="H311" i="1" s="1"/>
  <c r="L311" i="1"/>
  <c r="F312" i="1"/>
  <c r="G312" i="1" s="1"/>
  <c r="L312" i="1"/>
  <c r="G931" i="1" l="1"/>
  <c r="K912" i="1"/>
  <c r="G987" i="1"/>
  <c r="I984" i="1"/>
  <c r="K984" i="1" s="1"/>
  <c r="I928" i="1"/>
  <c r="K928" i="1" s="1"/>
  <c r="K923" i="1"/>
  <c r="I983" i="1"/>
  <c r="K983" i="1" s="1"/>
  <c r="I985" i="1"/>
  <c r="K985" i="1" s="1"/>
  <c r="I927" i="1"/>
  <c r="K927" i="1" s="1"/>
  <c r="G311" i="1"/>
  <c r="I311" i="1"/>
  <c r="K311" i="1" s="1"/>
  <c r="H312" i="1"/>
  <c r="I312" i="1" l="1"/>
  <c r="K312" i="1" s="1"/>
  <c r="J1559" i="1"/>
  <c r="B122" i="3" l="1"/>
  <c r="C122" i="3" s="1"/>
  <c r="F244" i="1" l="1"/>
  <c r="L244" i="1"/>
  <c r="G244" i="1" l="1"/>
  <c r="H244" i="1"/>
  <c r="L329" i="1"/>
  <c r="H329" i="1"/>
  <c r="I329" i="1" s="1"/>
  <c r="I244" i="1" l="1"/>
  <c r="K244" i="1" s="1"/>
  <c r="F154" i="1"/>
  <c r="G154" i="1" s="1"/>
  <c r="F153" i="1"/>
  <c r="G153" i="1" s="1"/>
  <c r="H153" i="1" l="1"/>
  <c r="I153" i="1" s="1"/>
  <c r="K153" i="1" s="1"/>
  <c r="H154" i="1"/>
  <c r="I154" i="1" s="1"/>
  <c r="K154" i="1" s="1"/>
  <c r="L358" i="1"/>
  <c r="F358" i="1"/>
  <c r="G358" i="1" s="1"/>
  <c r="L273" i="1"/>
  <c r="F273" i="1"/>
  <c r="H273" i="1" s="1"/>
  <c r="I273" i="1" s="1"/>
  <c r="K273" i="1" s="1"/>
  <c r="G273" i="1" l="1"/>
  <c r="H358" i="1"/>
  <c r="I358" i="1" s="1"/>
  <c r="K358" i="1" s="1"/>
  <c r="L226" i="1" l="1"/>
  <c r="L225" i="1"/>
  <c r="L224" i="1"/>
  <c r="L223" i="1"/>
  <c r="L222" i="1"/>
  <c r="L221" i="1"/>
  <c r="L220" i="1"/>
  <c r="L219" i="1"/>
  <c r="F225" i="1"/>
  <c r="G225" i="1" s="1"/>
  <c r="F224" i="1"/>
  <c r="H224" i="1" s="1"/>
  <c r="H225" i="1" l="1"/>
  <c r="G224" i="1"/>
  <c r="F1061" i="1"/>
  <c r="F1058" i="1"/>
  <c r="F1057" i="1"/>
  <c r="F1056" i="1"/>
  <c r="G1056" i="1" s="1"/>
  <c r="L863" i="1"/>
  <c r="L865" i="1"/>
  <c r="L866" i="1"/>
  <c r="L867" i="1"/>
  <c r="L868" i="1"/>
  <c r="L869" i="1"/>
  <c r="L870" i="1"/>
  <c r="L871" i="1"/>
  <c r="L872" i="1"/>
  <c r="L873" i="1"/>
  <c r="L874" i="1"/>
  <c r="L876" i="1"/>
  <c r="L877" i="1"/>
  <c r="L878" i="1"/>
  <c r="L879" i="1"/>
  <c r="F879" i="1"/>
  <c r="H879" i="1" s="1"/>
  <c r="F878" i="1"/>
  <c r="F877" i="1"/>
  <c r="F876" i="1"/>
  <c r="F874" i="1"/>
  <c r="H874" i="1" s="1"/>
  <c r="L818" i="1"/>
  <c r="L819" i="1"/>
  <c r="L820" i="1"/>
  <c r="L821" i="1"/>
  <c r="L823" i="1"/>
  <c r="L824" i="1"/>
  <c r="L825" i="1"/>
  <c r="L826" i="1"/>
  <c r="F826" i="1"/>
  <c r="H826" i="1" s="1"/>
  <c r="I826" i="1" s="1"/>
  <c r="K826" i="1" s="1"/>
  <c r="F825" i="1"/>
  <c r="H825" i="1" s="1"/>
  <c r="I825" i="1" s="1"/>
  <c r="K825" i="1" s="1"/>
  <c r="F821" i="1"/>
  <c r="H821" i="1" s="1"/>
  <c r="F823" i="1"/>
  <c r="F824" i="1"/>
  <c r="L774" i="1"/>
  <c r="L775" i="1"/>
  <c r="L776" i="1"/>
  <c r="F776" i="1"/>
  <c r="F775" i="1"/>
  <c r="F774" i="1"/>
  <c r="F773" i="1"/>
  <c r="H773" i="1" s="1"/>
  <c r="L746" i="1"/>
  <c r="L747" i="1"/>
  <c r="L748" i="1"/>
  <c r="L749" i="1"/>
  <c r="L750" i="1"/>
  <c r="L751" i="1"/>
  <c r="L752" i="1"/>
  <c r="L753" i="1"/>
  <c r="L754" i="1"/>
  <c r="L755" i="1"/>
  <c r="L757" i="1"/>
  <c r="L758" i="1"/>
  <c r="L759" i="1"/>
  <c r="L760" i="1"/>
  <c r="L761" i="1"/>
  <c r="L762" i="1"/>
  <c r="F762" i="1"/>
  <c r="G762" i="1" s="1"/>
  <c r="F761" i="1"/>
  <c r="F758" i="1"/>
  <c r="F755" i="1"/>
  <c r="H755" i="1" s="1"/>
  <c r="L711" i="1"/>
  <c r="L712" i="1"/>
  <c r="L713" i="1"/>
  <c r="L714" i="1"/>
  <c r="L715" i="1"/>
  <c r="L716" i="1"/>
  <c r="L717" i="1"/>
  <c r="L718" i="1"/>
  <c r="L719" i="1"/>
  <c r="L720" i="1"/>
  <c r="L722" i="1"/>
  <c r="L723" i="1"/>
  <c r="L724" i="1"/>
  <c r="L725" i="1"/>
  <c r="F724" i="1"/>
  <c r="F723" i="1"/>
  <c r="F722" i="1"/>
  <c r="F720" i="1"/>
  <c r="H720" i="1" s="1"/>
  <c r="F695" i="1"/>
  <c r="G695" i="1" s="1"/>
  <c r="F694" i="1"/>
  <c r="H694" i="1" s="1"/>
  <c r="I694" i="1" s="1"/>
  <c r="F693" i="1"/>
  <c r="F666" i="1"/>
  <c r="L654" i="1"/>
  <c r="L655" i="1"/>
  <c r="L656" i="1"/>
  <c r="L657" i="1"/>
  <c r="L658" i="1"/>
  <c r="L659" i="1"/>
  <c r="L660" i="1"/>
  <c r="L661" i="1"/>
  <c r="L662" i="1"/>
  <c r="L663" i="1"/>
  <c r="L666" i="1"/>
  <c r="L667" i="1"/>
  <c r="L668" i="1"/>
  <c r="L669" i="1"/>
  <c r="F668" i="1"/>
  <c r="F667" i="1"/>
  <c r="G667" i="1" s="1"/>
  <c r="F664" i="1"/>
  <c r="G664" i="1" s="1"/>
  <c r="L617" i="1"/>
  <c r="L618" i="1"/>
  <c r="L619" i="1"/>
  <c r="L620" i="1"/>
  <c r="L621" i="1"/>
  <c r="L622" i="1"/>
  <c r="L623" i="1"/>
  <c r="L624" i="1"/>
  <c r="L625" i="1"/>
  <c r="L626" i="1"/>
  <c r="L628" i="1"/>
  <c r="L629" i="1"/>
  <c r="L630" i="1"/>
  <c r="L631" i="1"/>
  <c r="F631" i="1"/>
  <c r="G631" i="1" s="1"/>
  <c r="F630" i="1"/>
  <c r="F629" i="1"/>
  <c r="F628" i="1"/>
  <c r="F626" i="1"/>
  <c r="L568" i="1"/>
  <c r="L569" i="1"/>
  <c r="L570" i="1"/>
  <c r="L571" i="1"/>
  <c r="L572" i="1"/>
  <c r="L573" i="1"/>
  <c r="L575" i="1"/>
  <c r="L578" i="1"/>
  <c r="L579" i="1"/>
  <c r="L580" i="1"/>
  <c r="F580" i="1"/>
  <c r="G580" i="1" s="1"/>
  <c r="F578" i="1"/>
  <c r="G578" i="1" s="1"/>
  <c r="F574" i="1"/>
  <c r="H574" i="1" s="1"/>
  <c r="L539" i="1"/>
  <c r="L538" i="1"/>
  <c r="F538" i="1"/>
  <c r="F537" i="1"/>
  <c r="G537" i="1" s="1"/>
  <c r="F536" i="1"/>
  <c r="G536" i="1" s="1"/>
  <c r="L511" i="1"/>
  <c r="F507" i="1"/>
  <c r="G507" i="1" s="1"/>
  <c r="F506" i="1"/>
  <c r="G506" i="1" s="1"/>
  <c r="L476" i="1"/>
  <c r="L473" i="1"/>
  <c r="F471" i="1"/>
  <c r="G471" i="1" s="1"/>
  <c r="F470" i="1"/>
  <c r="H470" i="1" s="1"/>
  <c r="F466" i="1"/>
  <c r="G466" i="1" s="1"/>
  <c r="L470" i="1"/>
  <c r="F511" i="1"/>
  <c r="G511" i="1" s="1"/>
  <c r="L510" i="1"/>
  <c r="F510" i="1"/>
  <c r="G510" i="1" s="1"/>
  <c r="I476" i="1"/>
  <c r="K476" i="1" s="1"/>
  <c r="F476" i="1"/>
  <c r="G476" i="1" s="1"/>
  <c r="I759" i="1"/>
  <c r="K759" i="1" s="1"/>
  <c r="F759" i="1"/>
  <c r="G759" i="1" s="1"/>
  <c r="H760" i="1"/>
  <c r="I760" i="1" s="1"/>
  <c r="K760" i="1" s="1"/>
  <c r="F760" i="1"/>
  <c r="G760" i="1" s="1"/>
  <c r="F725" i="1"/>
  <c r="H725" i="1" s="1"/>
  <c r="F696" i="1"/>
  <c r="F669" i="1"/>
  <c r="G575" i="1"/>
  <c r="H493" i="1"/>
  <c r="H485" i="1"/>
  <c r="H486" i="1"/>
  <c r="H488" i="1"/>
  <c r="H489" i="1"/>
  <c r="H490" i="1"/>
  <c r="H491" i="1"/>
  <c r="H492" i="1"/>
  <c r="H494" i="1"/>
  <c r="F495" i="1"/>
  <c r="G538" i="1" l="1"/>
  <c r="H538" i="1"/>
  <c r="I538" i="1" s="1"/>
  <c r="K538" i="1" s="1"/>
  <c r="H484" i="1"/>
  <c r="H628" i="1"/>
  <c r="I628" i="1" s="1"/>
  <c r="H629" i="1"/>
  <c r="I629" i="1" s="1"/>
  <c r="G626" i="1"/>
  <c r="H626" i="1"/>
  <c r="I626" i="1" s="1"/>
  <c r="G722" i="1"/>
  <c r="H776" i="1"/>
  <c r="I776" i="1" s="1"/>
  <c r="G758" i="1"/>
  <c r="H758" i="1"/>
  <c r="I773" i="1"/>
  <c r="H823" i="1"/>
  <c r="I823" i="1" s="1"/>
  <c r="H824" i="1"/>
  <c r="I824" i="1" s="1"/>
  <c r="G774" i="1"/>
  <c r="H774" i="1"/>
  <c r="I774" i="1" s="1"/>
  <c r="G821" i="1"/>
  <c r="I821" i="1"/>
  <c r="G876" i="1"/>
  <c r="H876" i="1"/>
  <c r="I775" i="1"/>
  <c r="G877" i="1"/>
  <c r="H877" i="1"/>
  <c r="H693" i="1"/>
  <c r="I693" i="1" s="1"/>
  <c r="I755" i="1"/>
  <c r="G470" i="1"/>
  <c r="H578" i="1"/>
  <c r="H631" i="1"/>
  <c r="H762" i="1"/>
  <c r="I762" i="1" s="1"/>
  <c r="H580" i="1"/>
  <c r="I580" i="1" s="1"/>
  <c r="K580" i="1" s="1"/>
  <c r="H666" i="1"/>
  <c r="I666" i="1" s="1"/>
  <c r="H664" i="1"/>
  <c r="I664" i="1" s="1"/>
  <c r="G1061" i="1"/>
  <c r="G1058" i="1"/>
  <c r="G1057" i="1"/>
  <c r="G879" i="1"/>
  <c r="G878" i="1"/>
  <c r="G874" i="1"/>
  <c r="G826" i="1"/>
  <c r="G825" i="1"/>
  <c r="G823" i="1"/>
  <c r="G824" i="1"/>
  <c r="G776" i="1"/>
  <c r="G775" i="1"/>
  <c r="G773" i="1"/>
  <c r="G761" i="1"/>
  <c r="G755" i="1"/>
  <c r="I720" i="1"/>
  <c r="G724" i="1"/>
  <c r="G720" i="1"/>
  <c r="G723" i="1"/>
  <c r="G694" i="1"/>
  <c r="G693" i="1"/>
  <c r="G666" i="1"/>
  <c r="G668" i="1"/>
  <c r="G630" i="1"/>
  <c r="G629" i="1"/>
  <c r="G628" i="1"/>
  <c r="G574" i="1"/>
  <c r="I470" i="1"/>
  <c r="K470" i="1" s="1"/>
  <c r="I725" i="1"/>
  <c r="K725" i="1" s="1"/>
  <c r="G725" i="1"/>
  <c r="I696" i="1"/>
  <c r="K696" i="1" s="1"/>
  <c r="G696" i="1"/>
  <c r="I669" i="1"/>
  <c r="K669" i="1" s="1"/>
  <c r="G669" i="1"/>
  <c r="F770" i="1"/>
  <c r="H770" i="1" s="1"/>
  <c r="I758" i="1" l="1"/>
  <c r="H1019" i="1"/>
  <c r="I1019" i="1" s="1"/>
  <c r="K1019" i="1" s="1"/>
  <c r="H1018" i="1"/>
  <c r="H1020" i="1"/>
  <c r="I631" i="1"/>
  <c r="K631" i="1" s="1"/>
  <c r="I820" i="1"/>
  <c r="K820" i="1" s="1"/>
  <c r="F820" i="1"/>
  <c r="G820" i="1" s="1"/>
  <c r="L745" i="1"/>
  <c r="F745" i="1"/>
  <c r="L744" i="1"/>
  <c r="F744" i="1"/>
  <c r="H744" i="1" s="1"/>
  <c r="L743" i="1"/>
  <c r="F743" i="1"/>
  <c r="H743" i="1" s="1"/>
  <c r="L742" i="1"/>
  <c r="F742" i="1"/>
  <c r="H742" i="1" s="1"/>
  <c r="L741" i="1"/>
  <c r="L493" i="1"/>
  <c r="G493" i="1"/>
  <c r="L492" i="1"/>
  <c r="G492" i="1"/>
  <c r="L491" i="1"/>
  <c r="G491" i="1"/>
  <c r="L453" i="1"/>
  <c r="H453" i="1"/>
  <c r="H1030" i="1" l="1"/>
  <c r="H1033" i="1" s="1"/>
  <c r="I1018" i="1"/>
  <c r="I1020" i="1"/>
  <c r="K1020" i="1" s="1"/>
  <c r="G453" i="1"/>
  <c r="G742" i="1"/>
  <c r="G744" i="1"/>
  <c r="G743" i="1"/>
  <c r="G745" i="1"/>
  <c r="I491" i="1"/>
  <c r="K491" i="1" s="1"/>
  <c r="I493" i="1"/>
  <c r="F1147" i="1"/>
  <c r="G1147" i="1" s="1"/>
  <c r="I1033" i="1" l="1"/>
  <c r="M1033" i="1" s="1"/>
  <c r="B33" i="3"/>
  <c r="C33" i="3" s="1"/>
  <c r="K1018" i="1"/>
  <c r="K1030" i="1" s="1"/>
  <c r="I1030" i="1"/>
  <c r="I453" i="1"/>
  <c r="K453" i="1" s="1"/>
  <c r="K493" i="1"/>
  <c r="I492" i="1"/>
  <c r="K492" i="1" s="1"/>
  <c r="H1147" i="1"/>
  <c r="I1147" i="1" l="1"/>
  <c r="K1147" i="1" s="1"/>
  <c r="F1423" i="1" l="1"/>
  <c r="L1434" i="1"/>
  <c r="F1243" i="1" l="1"/>
  <c r="A128" i="3"/>
  <c r="A127" i="3"/>
  <c r="B127" i="3" s="1"/>
  <c r="C127" i="3" s="1"/>
  <c r="A121" i="3"/>
  <c r="B121" i="3" s="1"/>
  <c r="C121" i="3" s="1"/>
  <c r="A117" i="3"/>
  <c r="B63" i="3"/>
  <c r="C63" i="3" s="1"/>
  <c r="A143" i="3"/>
  <c r="A142" i="3"/>
  <c r="A135" i="3"/>
  <c r="B135" i="3" s="1"/>
  <c r="C135" i="3" s="1"/>
  <c r="A134" i="3"/>
  <c r="B134" i="3" s="1"/>
  <c r="C134" i="3" s="1"/>
  <c r="A130" i="3"/>
  <c r="A129" i="3"/>
  <c r="A1828" i="1"/>
  <c r="L1826" i="1"/>
  <c r="J1823" i="1"/>
  <c r="J1826" i="1" s="1"/>
  <c r="E1823" i="1"/>
  <c r="I1822" i="1"/>
  <c r="K1822" i="1" s="1"/>
  <c r="F1822" i="1"/>
  <c r="I1819" i="1"/>
  <c r="I1818" i="1"/>
  <c r="H1814" i="1"/>
  <c r="G1814" i="1"/>
  <c r="E1812" i="1"/>
  <c r="D1812" i="1"/>
  <c r="C1824" i="1" s="1"/>
  <c r="E1824" i="1" s="1"/>
  <c r="B1812" i="1"/>
  <c r="J1807" i="1"/>
  <c r="J1810" i="1" s="1"/>
  <c r="H1807" i="1"/>
  <c r="H1810" i="1" s="1"/>
  <c r="E1807" i="1"/>
  <c r="L1806" i="1"/>
  <c r="I1806" i="1"/>
  <c r="K1806" i="1" s="1"/>
  <c r="K1807" i="1" s="1"/>
  <c r="F1806" i="1"/>
  <c r="L1805" i="1"/>
  <c r="I1805" i="1"/>
  <c r="B1803" i="1"/>
  <c r="J1798" i="1"/>
  <c r="J1801" i="1" s="1"/>
  <c r="E1798" i="1"/>
  <c r="L1797" i="1"/>
  <c r="F1797" i="1"/>
  <c r="G1797" i="1" s="1"/>
  <c r="F1796" i="1"/>
  <c r="G1796" i="1" s="1"/>
  <c r="L1795" i="1"/>
  <c r="F1795" i="1"/>
  <c r="G1795" i="1" s="1"/>
  <c r="L1794" i="1"/>
  <c r="F1794" i="1"/>
  <c r="L1793" i="1"/>
  <c r="F1793" i="1"/>
  <c r="G1793" i="1" s="1"/>
  <c r="L1792" i="1"/>
  <c r="F1792" i="1"/>
  <c r="L1791" i="1"/>
  <c r="F1791" i="1"/>
  <c r="G1791" i="1" s="1"/>
  <c r="L1790" i="1"/>
  <c r="F1790" i="1"/>
  <c r="L1789" i="1"/>
  <c r="F1789" i="1"/>
  <c r="G1789" i="1" s="1"/>
  <c r="L1788" i="1"/>
  <c r="F1788" i="1"/>
  <c r="E1786" i="1"/>
  <c r="D1786" i="1"/>
  <c r="C1799" i="1" s="1"/>
  <c r="B1786" i="1"/>
  <c r="J1781" i="1"/>
  <c r="J1784" i="1" s="1"/>
  <c r="E1781" i="1"/>
  <c r="L1780" i="1"/>
  <c r="H1780" i="1"/>
  <c r="I1780" i="1" s="1"/>
  <c r="K1780" i="1" s="1"/>
  <c r="F1780" i="1"/>
  <c r="G1780" i="1" s="1"/>
  <c r="L1779" i="1"/>
  <c r="H1779" i="1"/>
  <c r="I1779" i="1" s="1"/>
  <c r="F1779" i="1"/>
  <c r="G1779" i="1" s="1"/>
  <c r="L1778" i="1"/>
  <c r="H1778" i="1"/>
  <c r="I1778" i="1" s="1"/>
  <c r="L1777" i="1"/>
  <c r="F1777" i="1"/>
  <c r="L1776" i="1"/>
  <c r="F1776" i="1"/>
  <c r="G1776" i="1" s="1"/>
  <c r="L1775" i="1"/>
  <c r="H1775" i="1"/>
  <c r="I1775" i="1" s="1"/>
  <c r="K1775" i="1" s="1"/>
  <c r="G1775" i="1"/>
  <c r="L1774" i="1"/>
  <c r="F1774" i="1"/>
  <c r="G1774" i="1" s="1"/>
  <c r="L1773" i="1"/>
  <c r="F1773" i="1"/>
  <c r="L1772" i="1"/>
  <c r="F1772" i="1"/>
  <c r="G1772" i="1" s="1"/>
  <c r="L1771" i="1"/>
  <c r="F1771" i="1"/>
  <c r="L1770" i="1"/>
  <c r="F1770" i="1"/>
  <c r="H1770" i="1" s="1"/>
  <c r="L1769" i="1"/>
  <c r="F1769" i="1"/>
  <c r="L1768" i="1"/>
  <c r="F1768" i="1"/>
  <c r="H1768" i="1" s="1"/>
  <c r="L1767" i="1"/>
  <c r="F1767" i="1"/>
  <c r="L1766" i="1"/>
  <c r="F1766" i="1"/>
  <c r="G1766" i="1" s="1"/>
  <c r="L1765" i="1"/>
  <c r="F1765" i="1"/>
  <c r="E1763" i="1"/>
  <c r="D1763" i="1"/>
  <c r="C1782" i="1" s="1"/>
  <c r="B1763" i="1"/>
  <c r="J1758" i="1"/>
  <c r="J1761" i="1" s="1"/>
  <c r="E1758" i="1"/>
  <c r="L1757" i="1"/>
  <c r="I1757" i="1"/>
  <c r="K1757" i="1" s="1"/>
  <c r="F1757" i="1"/>
  <c r="G1757" i="1" s="1"/>
  <c r="L1756" i="1"/>
  <c r="F1756" i="1"/>
  <c r="G1756" i="1" s="1"/>
  <c r="F1755" i="1"/>
  <c r="L1754" i="1"/>
  <c r="I1754" i="1"/>
  <c r="K1754" i="1" s="1"/>
  <c r="L1753" i="1"/>
  <c r="F1753" i="1"/>
  <c r="G1753" i="1" s="1"/>
  <c r="L1752" i="1"/>
  <c r="F1752" i="1"/>
  <c r="L1751" i="1"/>
  <c r="F1751" i="1"/>
  <c r="H1751" i="1" s="1"/>
  <c r="L1750" i="1"/>
  <c r="F1750" i="1"/>
  <c r="L1749" i="1"/>
  <c r="F1749" i="1"/>
  <c r="H1749" i="1" s="1"/>
  <c r="L1748" i="1"/>
  <c r="F1748" i="1"/>
  <c r="L1747" i="1"/>
  <c r="F1747" i="1"/>
  <c r="H1747" i="1" s="1"/>
  <c r="L1746" i="1"/>
  <c r="F1746" i="1"/>
  <c r="L1745" i="1"/>
  <c r="F1745" i="1"/>
  <c r="G1745" i="1" s="1"/>
  <c r="L1744" i="1"/>
  <c r="F1744" i="1"/>
  <c r="L1743" i="1"/>
  <c r="F1743" i="1"/>
  <c r="H1743" i="1" s="1"/>
  <c r="L1742" i="1"/>
  <c r="F1742" i="1"/>
  <c r="L1741" i="1"/>
  <c r="F1741" i="1"/>
  <c r="H1741" i="1" s="1"/>
  <c r="L1740" i="1"/>
  <c r="F1740" i="1"/>
  <c r="E1738" i="1"/>
  <c r="D1738" i="1"/>
  <c r="C1759" i="1" s="1"/>
  <c r="B1738" i="1"/>
  <c r="J1733" i="1"/>
  <c r="J1736" i="1" s="1"/>
  <c r="E1733" i="1"/>
  <c r="L1732" i="1"/>
  <c r="I1732" i="1"/>
  <c r="K1732" i="1" s="1"/>
  <c r="F1732" i="1"/>
  <c r="G1732" i="1" s="1"/>
  <c r="L1731" i="1"/>
  <c r="F1731" i="1"/>
  <c r="G1731" i="1" s="1"/>
  <c r="F1730" i="1"/>
  <c r="G1730" i="1" s="1"/>
  <c r="L1729" i="1"/>
  <c r="F1729" i="1"/>
  <c r="G1729" i="1" s="1"/>
  <c r="L1726" i="1"/>
  <c r="F1726" i="1"/>
  <c r="H1726" i="1" s="1"/>
  <c r="I1726" i="1" s="1"/>
  <c r="L1725" i="1"/>
  <c r="F1725" i="1"/>
  <c r="G1725" i="1" s="1"/>
  <c r="L1724" i="1"/>
  <c r="F1724" i="1"/>
  <c r="H1724" i="1" s="1"/>
  <c r="I1724" i="1" s="1"/>
  <c r="L1723" i="1"/>
  <c r="F1723" i="1"/>
  <c r="G1723" i="1" s="1"/>
  <c r="L1722" i="1"/>
  <c r="F1722" i="1"/>
  <c r="H1722" i="1" s="1"/>
  <c r="I1722" i="1" s="1"/>
  <c r="L1721" i="1"/>
  <c r="F1721" i="1"/>
  <c r="G1721" i="1" s="1"/>
  <c r="L1720" i="1"/>
  <c r="F1720" i="1"/>
  <c r="H1720" i="1" s="1"/>
  <c r="I1720" i="1" s="1"/>
  <c r="L1719" i="1"/>
  <c r="F1719" i="1"/>
  <c r="G1719" i="1" s="1"/>
  <c r="L1718" i="1"/>
  <c r="F1718" i="1"/>
  <c r="H1718" i="1" s="1"/>
  <c r="I1718" i="1" s="1"/>
  <c r="L1717" i="1"/>
  <c r="F1717" i="1"/>
  <c r="G1717" i="1" s="1"/>
  <c r="L1716" i="1"/>
  <c r="F1716" i="1"/>
  <c r="H1716" i="1" s="1"/>
  <c r="I1716" i="1" s="1"/>
  <c r="L1715" i="1"/>
  <c r="F1715" i="1"/>
  <c r="G1715" i="1" s="1"/>
  <c r="L1714" i="1"/>
  <c r="F1714" i="1"/>
  <c r="H1714" i="1" s="1"/>
  <c r="E1712" i="1"/>
  <c r="D1712" i="1"/>
  <c r="C1734" i="1" s="1"/>
  <c r="B1712" i="1"/>
  <c r="L1709" i="1"/>
  <c r="H1705" i="1" s="1"/>
  <c r="H1708" i="1"/>
  <c r="J1707" i="1"/>
  <c r="J1710" i="1" s="1"/>
  <c r="E1707" i="1"/>
  <c r="L1706" i="1"/>
  <c r="I1706" i="1"/>
  <c r="K1706" i="1" s="1"/>
  <c r="L1705" i="1"/>
  <c r="F1705" i="1"/>
  <c r="G1705" i="1" s="1"/>
  <c r="L1704" i="1"/>
  <c r="H1704" i="1"/>
  <c r="I1704" i="1" s="1"/>
  <c r="K1704" i="1" s="1"/>
  <c r="F1704" i="1"/>
  <c r="G1704" i="1" s="1"/>
  <c r="L1703" i="1"/>
  <c r="F1703" i="1"/>
  <c r="G1703" i="1" s="1"/>
  <c r="L1702" i="1"/>
  <c r="I1702" i="1"/>
  <c r="K1702" i="1" s="1"/>
  <c r="F1702" i="1"/>
  <c r="G1702" i="1" s="1"/>
  <c r="L1701" i="1"/>
  <c r="F1701" i="1"/>
  <c r="H1701" i="1" s="1"/>
  <c r="L1700" i="1"/>
  <c r="H1700" i="1"/>
  <c r="I1700" i="1" s="1"/>
  <c r="K1700" i="1" s="1"/>
  <c r="G1700" i="1"/>
  <c r="L1699" i="1"/>
  <c r="I1699" i="1"/>
  <c r="K1699" i="1" s="1"/>
  <c r="L1698" i="1"/>
  <c r="F1698" i="1"/>
  <c r="L1697" i="1"/>
  <c r="F1697" i="1"/>
  <c r="H1697" i="1" s="1"/>
  <c r="L1695" i="1"/>
  <c r="F1695" i="1"/>
  <c r="L1694" i="1"/>
  <c r="F1694" i="1"/>
  <c r="H1694" i="1" s="1"/>
  <c r="L1693" i="1"/>
  <c r="F1693" i="1"/>
  <c r="L1692" i="1"/>
  <c r="F1692" i="1"/>
  <c r="H1692" i="1" s="1"/>
  <c r="L1691" i="1"/>
  <c r="F1691" i="1"/>
  <c r="L1690" i="1"/>
  <c r="F1690" i="1"/>
  <c r="H1690" i="1" s="1"/>
  <c r="L1689" i="1"/>
  <c r="F1689" i="1"/>
  <c r="E1687" i="1"/>
  <c r="D1687" i="1"/>
  <c r="C1708" i="1" s="1"/>
  <c r="B1687" i="1"/>
  <c r="J1682" i="1"/>
  <c r="J1685" i="1" s="1"/>
  <c r="E1682" i="1"/>
  <c r="L1681" i="1"/>
  <c r="I1681" i="1"/>
  <c r="K1681" i="1" s="1"/>
  <c r="F1681" i="1"/>
  <c r="G1681" i="1" s="1"/>
  <c r="L1680" i="1"/>
  <c r="F1680" i="1"/>
  <c r="G1680" i="1" s="1"/>
  <c r="F1679" i="1"/>
  <c r="G1679" i="1" s="1"/>
  <c r="L1678" i="1"/>
  <c r="F1678" i="1"/>
  <c r="H1678" i="1" s="1"/>
  <c r="L1677" i="1"/>
  <c r="F1677" i="1"/>
  <c r="L1676" i="1"/>
  <c r="F1676" i="1"/>
  <c r="H1676" i="1" s="1"/>
  <c r="L1675" i="1"/>
  <c r="F1675" i="1"/>
  <c r="L1674" i="1"/>
  <c r="F1674" i="1"/>
  <c r="H1674" i="1" s="1"/>
  <c r="L1673" i="1"/>
  <c r="F1673" i="1"/>
  <c r="L1672" i="1"/>
  <c r="F1672" i="1"/>
  <c r="H1672" i="1" s="1"/>
  <c r="L1671" i="1"/>
  <c r="F1671" i="1"/>
  <c r="L1670" i="1"/>
  <c r="F1670" i="1"/>
  <c r="H1670" i="1" s="1"/>
  <c r="L1669" i="1"/>
  <c r="F1669" i="1"/>
  <c r="L1668" i="1"/>
  <c r="F1668" i="1"/>
  <c r="G1668" i="1" s="1"/>
  <c r="E1666" i="1"/>
  <c r="D1666" i="1"/>
  <c r="C1683" i="1" s="1"/>
  <c r="B1666" i="1"/>
  <c r="H1662" i="1"/>
  <c r="J1661" i="1"/>
  <c r="J1664" i="1" s="1"/>
  <c r="E1661" i="1"/>
  <c r="L1660" i="1"/>
  <c r="I1660" i="1"/>
  <c r="K1660" i="1" s="1"/>
  <c r="F1660" i="1"/>
  <c r="G1660" i="1" s="1"/>
  <c r="L1659" i="1"/>
  <c r="I1659" i="1"/>
  <c r="K1659" i="1" s="1"/>
  <c r="F1659" i="1"/>
  <c r="G1659" i="1" s="1"/>
  <c r="L1658" i="1"/>
  <c r="I1658" i="1"/>
  <c r="K1658" i="1" s="1"/>
  <c r="F1658" i="1"/>
  <c r="G1658" i="1" s="1"/>
  <c r="L1657" i="1"/>
  <c r="I1657" i="1"/>
  <c r="K1657" i="1" s="1"/>
  <c r="F1657" i="1"/>
  <c r="G1657" i="1" s="1"/>
  <c r="L1656" i="1"/>
  <c r="I1656" i="1"/>
  <c r="K1656" i="1" s="1"/>
  <c r="F1656" i="1"/>
  <c r="G1656" i="1" s="1"/>
  <c r="K1655" i="1"/>
  <c r="L1654" i="1"/>
  <c r="F1654" i="1"/>
  <c r="H1654" i="1" s="1"/>
  <c r="I1654" i="1" s="1"/>
  <c r="L1653" i="1"/>
  <c r="F1653" i="1"/>
  <c r="H1653" i="1" s="1"/>
  <c r="I1653" i="1" s="1"/>
  <c r="L1652" i="1"/>
  <c r="F1652" i="1"/>
  <c r="H1652" i="1" s="1"/>
  <c r="I1652" i="1" s="1"/>
  <c r="L1651" i="1"/>
  <c r="F1651" i="1"/>
  <c r="H1651" i="1" s="1"/>
  <c r="L1650" i="1"/>
  <c r="F1650" i="1"/>
  <c r="L1649" i="1"/>
  <c r="F1649" i="1"/>
  <c r="H1649" i="1" s="1"/>
  <c r="L1648" i="1"/>
  <c r="F1648" i="1"/>
  <c r="H1648" i="1" s="1"/>
  <c r="L1647" i="1"/>
  <c r="F1647" i="1"/>
  <c r="H1647" i="1" s="1"/>
  <c r="E1645" i="1"/>
  <c r="D1645" i="1"/>
  <c r="C1662" i="1" s="1"/>
  <c r="B1645" i="1"/>
  <c r="H1641" i="1"/>
  <c r="J1640" i="1"/>
  <c r="E1640" i="1"/>
  <c r="L1639" i="1"/>
  <c r="I1639" i="1"/>
  <c r="K1639" i="1" s="1"/>
  <c r="F1639" i="1"/>
  <c r="G1639" i="1" s="1"/>
  <c r="L1638" i="1"/>
  <c r="I1638" i="1"/>
  <c r="K1638" i="1" s="1"/>
  <c r="F1638" i="1"/>
  <c r="G1638" i="1" s="1"/>
  <c r="L1637" i="1"/>
  <c r="I1637" i="1"/>
  <c r="K1637" i="1" s="1"/>
  <c r="F1637" i="1"/>
  <c r="G1637" i="1" s="1"/>
  <c r="L1636" i="1"/>
  <c r="I1636" i="1"/>
  <c r="K1636" i="1" s="1"/>
  <c r="F1636" i="1"/>
  <c r="G1636" i="1" s="1"/>
  <c r="L1635" i="1"/>
  <c r="I1635" i="1"/>
  <c r="K1635" i="1" s="1"/>
  <c r="F1635" i="1"/>
  <c r="G1635" i="1" s="1"/>
  <c r="K1634" i="1"/>
  <c r="L1633" i="1"/>
  <c r="F1633" i="1"/>
  <c r="H1633" i="1" s="1"/>
  <c r="L1632" i="1"/>
  <c r="F1632" i="1"/>
  <c r="L1631" i="1"/>
  <c r="H1631" i="1"/>
  <c r="L1630" i="1"/>
  <c r="L1629" i="1"/>
  <c r="H1629" i="1"/>
  <c r="L1628" i="1"/>
  <c r="L1627" i="1"/>
  <c r="H1627" i="1"/>
  <c r="I1627" i="1" s="1"/>
  <c r="L1625" i="1"/>
  <c r="E1623" i="1"/>
  <c r="D1623" i="1"/>
  <c r="B1623" i="1"/>
  <c r="J1618" i="1"/>
  <c r="J1621" i="1" s="1"/>
  <c r="E1618" i="1"/>
  <c r="H1617" i="1"/>
  <c r="F1617" i="1"/>
  <c r="G1617" i="1" s="1"/>
  <c r="I1615" i="1"/>
  <c r="K1615" i="1" s="1"/>
  <c r="F1615" i="1"/>
  <c r="G1615" i="1" s="1"/>
  <c r="L1614" i="1"/>
  <c r="I1614" i="1"/>
  <c r="K1614" i="1" s="1"/>
  <c r="F1614" i="1"/>
  <c r="G1614" i="1" s="1"/>
  <c r="L1613" i="1"/>
  <c r="F1613" i="1"/>
  <c r="F1612" i="1"/>
  <c r="L1610" i="1"/>
  <c r="F1610" i="1"/>
  <c r="H1610" i="1" s="1"/>
  <c r="L1609" i="1"/>
  <c r="F1609" i="1"/>
  <c r="H1609" i="1" s="1"/>
  <c r="L1608" i="1"/>
  <c r="F1608" i="1"/>
  <c r="H1608" i="1" s="1"/>
  <c r="I1608" i="1" s="1"/>
  <c r="L1607" i="1"/>
  <c r="H1607" i="1"/>
  <c r="L1606" i="1"/>
  <c r="E1604" i="1"/>
  <c r="D1604" i="1"/>
  <c r="C1619" i="1" s="1"/>
  <c r="B1604" i="1"/>
  <c r="J1602" i="1"/>
  <c r="J1599" i="1"/>
  <c r="E1599" i="1"/>
  <c r="I1598" i="1"/>
  <c r="K1598" i="1" s="1"/>
  <c r="F1598" i="1"/>
  <c r="G1598" i="1" s="1"/>
  <c r="L1597" i="1"/>
  <c r="F1597" i="1"/>
  <c r="H1597" i="1" s="1"/>
  <c r="L1596" i="1"/>
  <c r="F1596" i="1"/>
  <c r="L1595" i="1"/>
  <c r="F1595" i="1"/>
  <c r="H1595" i="1" s="1"/>
  <c r="F1593" i="1"/>
  <c r="H1593" i="1" s="1"/>
  <c r="L1592" i="1"/>
  <c r="F1592" i="1"/>
  <c r="H1592" i="1" s="1"/>
  <c r="I1592" i="1" s="1"/>
  <c r="L1591" i="1"/>
  <c r="F1591" i="1"/>
  <c r="H1591" i="1" s="1"/>
  <c r="I1591" i="1" s="1"/>
  <c r="L1590" i="1"/>
  <c r="F1590" i="1"/>
  <c r="H1590" i="1" s="1"/>
  <c r="I1590" i="1" s="1"/>
  <c r="L1589" i="1"/>
  <c r="F1589" i="1"/>
  <c r="H1589" i="1" s="1"/>
  <c r="I1589" i="1" s="1"/>
  <c r="L1588" i="1"/>
  <c r="F1588" i="1"/>
  <c r="L1587" i="1"/>
  <c r="F1587" i="1"/>
  <c r="H1587" i="1" s="1"/>
  <c r="E1585" i="1"/>
  <c r="D1585" i="1"/>
  <c r="C1600" i="1" s="1"/>
  <c r="B1585" i="1"/>
  <c r="J1580" i="1"/>
  <c r="E1580" i="1"/>
  <c r="L1579" i="1"/>
  <c r="H1579" i="1"/>
  <c r="I1579" i="1" s="1"/>
  <c r="K1579" i="1" s="1"/>
  <c r="L1578" i="1"/>
  <c r="I1578" i="1"/>
  <c r="K1578" i="1" s="1"/>
  <c r="F1578" i="1"/>
  <c r="G1578" i="1" s="1"/>
  <c r="L1577" i="1"/>
  <c r="H1577" i="1"/>
  <c r="I1577" i="1" s="1"/>
  <c r="K1577" i="1" s="1"/>
  <c r="F1577" i="1"/>
  <c r="G1577" i="1" s="1"/>
  <c r="H1576" i="1"/>
  <c r="F1576" i="1"/>
  <c r="G1576" i="1" s="1"/>
  <c r="L1575" i="1"/>
  <c r="I1575" i="1"/>
  <c r="K1575" i="1" s="1"/>
  <c r="F1575" i="1"/>
  <c r="G1575" i="1" s="1"/>
  <c r="F1574" i="1"/>
  <c r="G1574" i="1" s="1"/>
  <c r="L1572" i="1"/>
  <c r="F1572" i="1"/>
  <c r="L1571" i="1"/>
  <c r="F1571" i="1"/>
  <c r="G1571" i="1" s="1"/>
  <c r="L1570" i="1"/>
  <c r="F1570" i="1"/>
  <c r="H1570" i="1" s="1"/>
  <c r="L1569" i="1"/>
  <c r="F1569" i="1"/>
  <c r="G1569" i="1" s="1"/>
  <c r="L1568" i="1"/>
  <c r="F1568" i="1"/>
  <c r="L1565" i="1"/>
  <c r="F1565" i="1"/>
  <c r="L1564" i="1"/>
  <c r="F1564" i="1"/>
  <c r="L1563" i="1"/>
  <c r="F1563" i="1"/>
  <c r="H1563" i="1" s="1"/>
  <c r="E1561" i="1"/>
  <c r="D1561" i="1"/>
  <c r="C1581" i="1" s="1"/>
  <c r="K9" i="2" s="1"/>
  <c r="B1561" i="1"/>
  <c r="E1554" i="1"/>
  <c r="L1553" i="1"/>
  <c r="H1553" i="1"/>
  <c r="L1552" i="1"/>
  <c r="I1552" i="1"/>
  <c r="K1552" i="1" s="1"/>
  <c r="G1552" i="1"/>
  <c r="L1550" i="1"/>
  <c r="I1550" i="1"/>
  <c r="K1550" i="1" s="1"/>
  <c r="F1550" i="1"/>
  <c r="G1550" i="1" s="1"/>
  <c r="L1549" i="1"/>
  <c r="H1549" i="1"/>
  <c r="F1549" i="1"/>
  <c r="G1549" i="1" s="1"/>
  <c r="L1547" i="1"/>
  <c r="I1547" i="1"/>
  <c r="K1547" i="1" s="1"/>
  <c r="F1547" i="1"/>
  <c r="G1547" i="1" s="1"/>
  <c r="L1546" i="1"/>
  <c r="I1546" i="1"/>
  <c r="K1546" i="1" s="1"/>
  <c r="F1546" i="1"/>
  <c r="G1546" i="1" s="1"/>
  <c r="L1545" i="1"/>
  <c r="F1545" i="1"/>
  <c r="L1544" i="1"/>
  <c r="L1543" i="1"/>
  <c r="F1543" i="1"/>
  <c r="H1543" i="1" s="1"/>
  <c r="L1542" i="1"/>
  <c r="F1542" i="1"/>
  <c r="H1542" i="1" s="1"/>
  <c r="I1542" i="1" s="1"/>
  <c r="L1541" i="1"/>
  <c r="F1541" i="1"/>
  <c r="H1541" i="1" s="1"/>
  <c r="I1541" i="1" s="1"/>
  <c r="F1540" i="1"/>
  <c r="L1538" i="1"/>
  <c r="F1538" i="1"/>
  <c r="H1538" i="1" s="1"/>
  <c r="L1537" i="1"/>
  <c r="F1537" i="1"/>
  <c r="L1536" i="1"/>
  <c r="F1536" i="1"/>
  <c r="H1536" i="1" s="1"/>
  <c r="L1535" i="1"/>
  <c r="F1535" i="1"/>
  <c r="L1534" i="1"/>
  <c r="F1534" i="1"/>
  <c r="H1534" i="1" s="1"/>
  <c r="E1532" i="1"/>
  <c r="D1532" i="1"/>
  <c r="C1555" i="1" s="1"/>
  <c r="B1532" i="1"/>
  <c r="J1478" i="1"/>
  <c r="J1481" i="1" s="1"/>
  <c r="E1478" i="1"/>
  <c r="F1477" i="1"/>
  <c r="G1477" i="1" s="1"/>
  <c r="L1475" i="1"/>
  <c r="F1475" i="1"/>
  <c r="G1475" i="1" s="1"/>
  <c r="L1474" i="1"/>
  <c r="F1474" i="1"/>
  <c r="L1473" i="1"/>
  <c r="I1473" i="1"/>
  <c r="K1473" i="1" s="1"/>
  <c r="F1473" i="1"/>
  <c r="G1473" i="1" s="1"/>
  <c r="L1472" i="1"/>
  <c r="F1472" i="1"/>
  <c r="L1471" i="1"/>
  <c r="F1471" i="1"/>
  <c r="H1471" i="1" s="1"/>
  <c r="L1470" i="1"/>
  <c r="F1470" i="1"/>
  <c r="L1469" i="1"/>
  <c r="F1469" i="1"/>
  <c r="H1469" i="1" s="1"/>
  <c r="L1468" i="1"/>
  <c r="F1468" i="1"/>
  <c r="L1467" i="1"/>
  <c r="F1467" i="1"/>
  <c r="H1467" i="1" s="1"/>
  <c r="E1465" i="1"/>
  <c r="D1465" i="1"/>
  <c r="B1465" i="1"/>
  <c r="J1460" i="1"/>
  <c r="J1463" i="1" s="1"/>
  <c r="E1460" i="1"/>
  <c r="L1459" i="1"/>
  <c r="I1459" i="1"/>
  <c r="K1459" i="1" s="1"/>
  <c r="F1459" i="1"/>
  <c r="G1459" i="1" s="1"/>
  <c r="I1458" i="1"/>
  <c r="K1458" i="1" s="1"/>
  <c r="L1456" i="1"/>
  <c r="I1456" i="1"/>
  <c r="K1456" i="1" s="1"/>
  <c r="F1456" i="1"/>
  <c r="G1456" i="1" s="1"/>
  <c r="L1455" i="1"/>
  <c r="I1455" i="1"/>
  <c r="K1455" i="1" s="1"/>
  <c r="F1455" i="1"/>
  <c r="G1455" i="1" s="1"/>
  <c r="L1454" i="1"/>
  <c r="F1454" i="1"/>
  <c r="H1454" i="1" s="1"/>
  <c r="L1453" i="1"/>
  <c r="F1453" i="1"/>
  <c r="L1452" i="1"/>
  <c r="F1452" i="1"/>
  <c r="H1452" i="1" s="1"/>
  <c r="L1451" i="1"/>
  <c r="F1451" i="1"/>
  <c r="L1450" i="1"/>
  <c r="F1450" i="1"/>
  <c r="H1450" i="1" s="1"/>
  <c r="L1449" i="1"/>
  <c r="F1449" i="1"/>
  <c r="L1448" i="1"/>
  <c r="F1448" i="1"/>
  <c r="H1448" i="1" s="1"/>
  <c r="L1447" i="1"/>
  <c r="F1447" i="1"/>
  <c r="L1446" i="1"/>
  <c r="H1446" i="1"/>
  <c r="G1446" i="1"/>
  <c r="L1445" i="1"/>
  <c r="F1445" i="1"/>
  <c r="H1445" i="1" s="1"/>
  <c r="L1444" i="1"/>
  <c r="F1444" i="1"/>
  <c r="H1444" i="1" s="1"/>
  <c r="L1443" i="1"/>
  <c r="F1443" i="1"/>
  <c r="E1441" i="1"/>
  <c r="D1441" i="1"/>
  <c r="C1461" i="1" s="1"/>
  <c r="H16" i="2" s="1"/>
  <c r="B1441" i="1"/>
  <c r="J1436" i="1"/>
  <c r="J1439" i="1" s="1"/>
  <c r="E1436" i="1"/>
  <c r="L1435" i="1"/>
  <c r="I1435" i="1"/>
  <c r="K1435" i="1" s="1"/>
  <c r="F1435" i="1"/>
  <c r="G1435" i="1" s="1"/>
  <c r="I1434" i="1"/>
  <c r="K1434" i="1" s="1"/>
  <c r="L1433" i="1"/>
  <c r="I1433" i="1"/>
  <c r="K1433" i="1" s="1"/>
  <c r="F1433" i="1"/>
  <c r="G1433" i="1" s="1"/>
  <c r="L1432" i="1"/>
  <c r="I1432" i="1"/>
  <c r="K1432" i="1" s="1"/>
  <c r="F1432" i="1"/>
  <c r="G1432" i="1" s="1"/>
  <c r="L1431" i="1"/>
  <c r="F1431" i="1"/>
  <c r="H1431" i="1" s="1"/>
  <c r="L1430" i="1"/>
  <c r="F1430" i="1"/>
  <c r="L1429" i="1"/>
  <c r="F1429" i="1"/>
  <c r="G1429" i="1" s="1"/>
  <c r="L1428" i="1"/>
  <c r="F1428" i="1"/>
  <c r="L1427" i="1"/>
  <c r="F1427" i="1"/>
  <c r="H1427" i="1" s="1"/>
  <c r="L1426" i="1"/>
  <c r="F1426" i="1"/>
  <c r="L1425" i="1"/>
  <c r="F1425" i="1"/>
  <c r="L1424" i="1"/>
  <c r="F1424" i="1"/>
  <c r="L1423" i="1"/>
  <c r="H1423" i="1"/>
  <c r="G1423" i="1"/>
  <c r="L1422" i="1"/>
  <c r="F1422" i="1"/>
  <c r="H1422" i="1" s="1"/>
  <c r="I1422" i="1" s="1"/>
  <c r="L1421" i="1"/>
  <c r="F1421" i="1"/>
  <c r="H1421" i="1" s="1"/>
  <c r="I1421" i="1" s="1"/>
  <c r="L1420" i="1"/>
  <c r="F1420" i="1"/>
  <c r="E1418" i="1"/>
  <c r="D1418" i="1"/>
  <c r="C1437" i="1" s="1"/>
  <c r="H15" i="2" s="1"/>
  <c r="B1418" i="1"/>
  <c r="J1413" i="1"/>
  <c r="J1416" i="1" s="1"/>
  <c r="E1413" i="1"/>
  <c r="L1412" i="1"/>
  <c r="I1412" i="1"/>
  <c r="K1412" i="1" s="1"/>
  <c r="F1412" i="1"/>
  <c r="G1412" i="1" s="1"/>
  <c r="I1411" i="1"/>
  <c r="K1411" i="1" s="1"/>
  <c r="L1410" i="1"/>
  <c r="I1410" i="1"/>
  <c r="K1410" i="1" s="1"/>
  <c r="F1410" i="1"/>
  <c r="G1410" i="1" s="1"/>
  <c r="L1408" i="1"/>
  <c r="I1408" i="1"/>
  <c r="K1408" i="1" s="1"/>
  <c r="F1408" i="1"/>
  <c r="G1408" i="1" s="1"/>
  <c r="L1407" i="1"/>
  <c r="F1407" i="1"/>
  <c r="H1407" i="1" s="1"/>
  <c r="L1406" i="1"/>
  <c r="F1406" i="1"/>
  <c r="L1405" i="1"/>
  <c r="F1405" i="1"/>
  <c r="H1405" i="1" s="1"/>
  <c r="L1404" i="1"/>
  <c r="F1404" i="1"/>
  <c r="L1403" i="1"/>
  <c r="F1403" i="1"/>
  <c r="H1403" i="1" s="1"/>
  <c r="L1402" i="1"/>
  <c r="F1402" i="1"/>
  <c r="L1401" i="1"/>
  <c r="F1401" i="1"/>
  <c r="H1401" i="1" s="1"/>
  <c r="L1400" i="1"/>
  <c r="F1400" i="1"/>
  <c r="G1400" i="1" s="1"/>
  <c r="L1399" i="1"/>
  <c r="F1399" i="1"/>
  <c r="L1398" i="1"/>
  <c r="F1398" i="1"/>
  <c r="G1398" i="1" s="1"/>
  <c r="L1397" i="1"/>
  <c r="F1397" i="1"/>
  <c r="G1397" i="1" s="1"/>
  <c r="L1396" i="1"/>
  <c r="F1396" i="1"/>
  <c r="H1396" i="1" s="1"/>
  <c r="E1394" i="1"/>
  <c r="D1394" i="1"/>
  <c r="C1414" i="1" s="1"/>
  <c r="H14" i="2" s="1"/>
  <c r="B1394" i="1"/>
  <c r="J1389" i="1"/>
  <c r="J1392" i="1" s="1"/>
  <c r="E1389" i="1"/>
  <c r="L1388" i="1"/>
  <c r="F1388" i="1"/>
  <c r="H1388" i="1" s="1"/>
  <c r="I1388" i="1" s="1"/>
  <c r="L1387" i="1"/>
  <c r="F1387" i="1"/>
  <c r="H1387" i="1" s="1"/>
  <c r="L1386" i="1"/>
  <c r="F1386" i="1"/>
  <c r="G1386" i="1" s="1"/>
  <c r="L1385" i="1"/>
  <c r="F1385" i="1"/>
  <c r="L1384" i="1"/>
  <c r="F1384" i="1"/>
  <c r="G1384" i="1" s="1"/>
  <c r="L1383" i="1"/>
  <c r="F1383" i="1"/>
  <c r="L1382" i="1"/>
  <c r="F1382" i="1"/>
  <c r="G1382" i="1" s="1"/>
  <c r="L1381" i="1"/>
  <c r="F1381" i="1"/>
  <c r="E1379" i="1"/>
  <c r="D1379" i="1"/>
  <c r="C1390" i="1" s="1"/>
  <c r="B1379" i="1"/>
  <c r="J1374" i="1"/>
  <c r="J1377" i="1" s="1"/>
  <c r="E1374" i="1"/>
  <c r="L1372" i="1"/>
  <c r="F1372" i="1"/>
  <c r="G1372" i="1" s="1"/>
  <c r="H1371" i="1"/>
  <c r="I1371" i="1" s="1"/>
  <c r="F1371" i="1"/>
  <c r="G1371" i="1" s="1"/>
  <c r="L1370" i="1"/>
  <c r="F1370" i="1"/>
  <c r="I1369" i="1"/>
  <c r="K1369" i="1" s="1"/>
  <c r="F1369" i="1"/>
  <c r="G1369" i="1" s="1"/>
  <c r="L1368" i="1"/>
  <c r="F1368" i="1"/>
  <c r="H1368" i="1" s="1"/>
  <c r="I1368" i="1" s="1"/>
  <c r="L1367" i="1"/>
  <c r="F1367" i="1"/>
  <c r="L1366" i="1"/>
  <c r="F1366" i="1"/>
  <c r="H1366" i="1" s="1"/>
  <c r="L1365" i="1"/>
  <c r="F1365" i="1"/>
  <c r="G1365" i="1" s="1"/>
  <c r="L1364" i="1"/>
  <c r="F1364" i="1"/>
  <c r="H1364" i="1" s="1"/>
  <c r="E1362" i="1"/>
  <c r="D1362" i="1"/>
  <c r="C1375" i="1" s="1"/>
  <c r="B1362" i="1"/>
  <c r="J1357" i="1"/>
  <c r="J1360" i="1" s="1"/>
  <c r="E1357" i="1"/>
  <c r="F1356" i="1"/>
  <c r="G1356" i="1" s="1"/>
  <c r="L1355" i="1"/>
  <c r="F1355" i="1"/>
  <c r="G1355" i="1" s="1"/>
  <c r="L1354" i="1"/>
  <c r="F1354" i="1"/>
  <c r="L1353" i="1"/>
  <c r="I1353" i="1"/>
  <c r="K1353" i="1" s="1"/>
  <c r="F1353" i="1"/>
  <c r="G1353" i="1" s="1"/>
  <c r="L1351" i="1"/>
  <c r="F1351" i="1"/>
  <c r="G1351" i="1" s="1"/>
  <c r="L1350" i="1"/>
  <c r="F1350" i="1"/>
  <c r="G1350" i="1" s="1"/>
  <c r="L1349" i="1"/>
  <c r="F1349" i="1"/>
  <c r="H1349" i="1" s="1"/>
  <c r="L1348" i="1"/>
  <c r="F1348" i="1"/>
  <c r="H1348" i="1" s="1"/>
  <c r="L1347" i="1"/>
  <c r="F1347" i="1"/>
  <c r="H1347" i="1" s="1"/>
  <c r="F1346" i="1"/>
  <c r="L1345" i="1"/>
  <c r="F1345" i="1"/>
  <c r="G1345" i="1" s="1"/>
  <c r="E1343" i="1"/>
  <c r="D1343" i="1"/>
  <c r="C1358" i="1" s="1"/>
  <c r="B1343" i="1"/>
  <c r="L1340" i="1"/>
  <c r="J1338" i="1"/>
  <c r="J1341" i="1" s="1"/>
  <c r="E1338" i="1"/>
  <c r="L1337" i="1"/>
  <c r="I1337" i="1"/>
  <c r="K1337" i="1" s="1"/>
  <c r="F1337" i="1"/>
  <c r="G1337" i="1" s="1"/>
  <c r="L1336" i="1"/>
  <c r="I1336" i="1"/>
  <c r="K1336" i="1" s="1"/>
  <c r="L1335" i="1"/>
  <c r="F1335" i="1"/>
  <c r="G1335" i="1" s="1"/>
  <c r="L1334" i="1"/>
  <c r="F1334" i="1"/>
  <c r="H1334" i="1" s="1"/>
  <c r="L1333" i="1"/>
  <c r="H1333" i="1"/>
  <c r="I1333" i="1" s="1"/>
  <c r="K1333" i="1" s="1"/>
  <c r="L1332" i="1"/>
  <c r="F1332" i="1"/>
  <c r="H1332" i="1" s="1"/>
  <c r="L1331" i="1"/>
  <c r="F1331" i="1"/>
  <c r="H1331" i="1" s="1"/>
  <c r="L1330" i="1"/>
  <c r="F1330" i="1"/>
  <c r="H1330" i="1" s="1"/>
  <c r="L1329" i="1"/>
  <c r="F1329" i="1"/>
  <c r="H1329" i="1" s="1"/>
  <c r="L1328" i="1"/>
  <c r="F1328" i="1"/>
  <c r="H1328" i="1" s="1"/>
  <c r="L1327" i="1"/>
  <c r="F1327" i="1"/>
  <c r="H1327" i="1" s="1"/>
  <c r="L1326" i="1"/>
  <c r="F1326" i="1"/>
  <c r="H1326" i="1" s="1"/>
  <c r="L1325" i="1"/>
  <c r="F1325" i="1"/>
  <c r="H1325" i="1" s="1"/>
  <c r="L1324" i="1"/>
  <c r="H1324" i="1"/>
  <c r="I1324" i="1" s="1"/>
  <c r="K1324" i="1" s="1"/>
  <c r="G1324" i="1"/>
  <c r="L1323" i="1"/>
  <c r="F1323" i="1"/>
  <c r="G1323" i="1" s="1"/>
  <c r="E1321" i="1"/>
  <c r="D1321" i="1"/>
  <c r="C1339" i="1" s="1"/>
  <c r="B1321" i="1"/>
  <c r="J1316" i="1"/>
  <c r="J1319" i="1" s="1"/>
  <c r="E1316" i="1"/>
  <c r="L1315" i="1"/>
  <c r="I1315" i="1"/>
  <c r="K1315" i="1" s="1"/>
  <c r="F1315" i="1"/>
  <c r="G1315" i="1" s="1"/>
  <c r="L1314" i="1"/>
  <c r="I1314" i="1"/>
  <c r="K1314" i="1" s="1"/>
  <c r="L1313" i="1"/>
  <c r="I1313" i="1"/>
  <c r="K1313" i="1" s="1"/>
  <c r="F1313" i="1"/>
  <c r="L1312" i="1"/>
  <c r="I1312" i="1"/>
  <c r="K1312" i="1" s="1"/>
  <c r="F1312" i="1"/>
  <c r="G1312" i="1" s="1"/>
  <c r="L1311" i="1"/>
  <c r="F1311" i="1"/>
  <c r="G1311" i="1" s="1"/>
  <c r="L1310" i="1"/>
  <c r="F1310" i="1"/>
  <c r="L1309" i="1"/>
  <c r="F1309" i="1"/>
  <c r="G1309" i="1" s="1"/>
  <c r="L1308" i="1"/>
  <c r="F1308" i="1"/>
  <c r="L1307" i="1"/>
  <c r="F1307" i="1"/>
  <c r="G1307" i="1" s="1"/>
  <c r="L1306" i="1"/>
  <c r="F1306" i="1"/>
  <c r="L1305" i="1"/>
  <c r="F1305" i="1"/>
  <c r="G1305" i="1" s="1"/>
  <c r="L1304" i="1"/>
  <c r="F1304" i="1"/>
  <c r="L1303" i="1"/>
  <c r="F1303" i="1"/>
  <c r="G1303" i="1" s="1"/>
  <c r="L1302" i="1"/>
  <c r="F1302" i="1"/>
  <c r="L1301" i="1"/>
  <c r="F1301" i="1"/>
  <c r="G1301" i="1" s="1"/>
  <c r="L1300" i="1"/>
  <c r="F1300" i="1"/>
  <c r="E1298" i="1"/>
  <c r="D1298" i="1"/>
  <c r="C1317" i="1" s="1"/>
  <c r="B1298" i="1"/>
  <c r="L1294" i="1"/>
  <c r="J1292" i="1"/>
  <c r="J1295" i="1" s="1"/>
  <c r="E1292" i="1"/>
  <c r="L1291" i="1"/>
  <c r="I1291" i="1"/>
  <c r="K1291" i="1" s="1"/>
  <c r="F1291" i="1"/>
  <c r="G1291" i="1" s="1"/>
  <c r="L1289" i="1"/>
  <c r="I1289" i="1"/>
  <c r="K1289" i="1" s="1"/>
  <c r="L1288" i="1"/>
  <c r="F1288" i="1"/>
  <c r="G1288" i="1" s="1"/>
  <c r="L1287" i="1"/>
  <c r="F1287" i="1"/>
  <c r="H1287" i="1" s="1"/>
  <c r="L1286" i="1"/>
  <c r="H1286" i="1"/>
  <c r="I1286" i="1" s="1"/>
  <c r="L1285" i="1"/>
  <c r="F1285" i="1"/>
  <c r="H1285" i="1" s="1"/>
  <c r="I1285" i="1" s="1"/>
  <c r="L1284" i="1"/>
  <c r="F1284" i="1"/>
  <c r="H1284" i="1" s="1"/>
  <c r="L1283" i="1"/>
  <c r="F1283" i="1"/>
  <c r="H1283" i="1" s="1"/>
  <c r="I1283" i="1" s="1"/>
  <c r="L1282" i="1"/>
  <c r="F1282" i="1"/>
  <c r="H1282" i="1" s="1"/>
  <c r="L1281" i="1"/>
  <c r="F1281" i="1"/>
  <c r="H1281" i="1" s="1"/>
  <c r="I1281" i="1" s="1"/>
  <c r="L1280" i="1"/>
  <c r="F1280" i="1"/>
  <c r="H1280" i="1" s="1"/>
  <c r="L1279" i="1"/>
  <c r="F1279" i="1"/>
  <c r="H1279" i="1" s="1"/>
  <c r="I1279" i="1" s="1"/>
  <c r="L1278" i="1"/>
  <c r="F1278" i="1"/>
  <c r="H1278" i="1" s="1"/>
  <c r="L1277" i="1"/>
  <c r="H1277" i="1"/>
  <c r="I1277" i="1" s="1"/>
  <c r="G1277" i="1"/>
  <c r="L1276" i="1"/>
  <c r="F1276" i="1"/>
  <c r="H1276" i="1" s="1"/>
  <c r="E1274" i="1"/>
  <c r="D1274" i="1"/>
  <c r="C1293" i="1" s="1"/>
  <c r="B1274" i="1"/>
  <c r="J1269" i="1"/>
  <c r="E1269" i="1"/>
  <c r="L1268" i="1"/>
  <c r="I1268" i="1"/>
  <c r="K1268" i="1" s="1"/>
  <c r="F1268" i="1"/>
  <c r="G1268" i="1" s="1"/>
  <c r="I1267" i="1"/>
  <c r="K1267" i="1" s="1"/>
  <c r="L1266" i="1"/>
  <c r="I1266" i="1"/>
  <c r="K1266" i="1" s="1"/>
  <c r="F1266" i="1"/>
  <c r="G1266" i="1" s="1"/>
  <c r="L1265" i="1"/>
  <c r="I1265" i="1"/>
  <c r="K1265" i="1" s="1"/>
  <c r="F1265" i="1"/>
  <c r="G1265" i="1" s="1"/>
  <c r="L1264" i="1"/>
  <c r="F1264" i="1"/>
  <c r="H1264" i="1" s="1"/>
  <c r="L1263" i="1"/>
  <c r="F1263" i="1"/>
  <c r="H1263" i="1" s="1"/>
  <c r="L1262" i="1"/>
  <c r="F1262" i="1"/>
  <c r="H1262" i="1" s="1"/>
  <c r="L1261" i="1"/>
  <c r="F1261" i="1"/>
  <c r="H1261" i="1" s="1"/>
  <c r="L1260" i="1"/>
  <c r="F1260" i="1"/>
  <c r="H1260" i="1" s="1"/>
  <c r="L1259" i="1"/>
  <c r="F1259" i="1"/>
  <c r="H1259" i="1" s="1"/>
  <c r="L1258" i="1"/>
  <c r="F1258" i="1"/>
  <c r="G1258" i="1" s="1"/>
  <c r="L1257" i="1"/>
  <c r="F1257" i="1"/>
  <c r="H1257" i="1" s="1"/>
  <c r="L1256" i="1"/>
  <c r="F1256" i="1"/>
  <c r="G1256" i="1" s="1"/>
  <c r="L1255" i="1"/>
  <c r="F1255" i="1"/>
  <c r="H1255" i="1" s="1"/>
  <c r="L1254" i="1"/>
  <c r="F1254" i="1"/>
  <c r="H1254" i="1" s="1"/>
  <c r="L1253" i="1"/>
  <c r="F1253" i="1"/>
  <c r="G1253" i="1" s="1"/>
  <c r="E1251" i="1"/>
  <c r="D1251" i="1"/>
  <c r="C1270" i="1" s="1"/>
  <c r="H12" i="2" s="1"/>
  <c r="B1251" i="1"/>
  <c r="J1246" i="1"/>
  <c r="E1246" i="1"/>
  <c r="L1245" i="1"/>
  <c r="I1245" i="1"/>
  <c r="K1245" i="1" s="1"/>
  <c r="F1245" i="1"/>
  <c r="G1245" i="1" s="1"/>
  <c r="L1244" i="1"/>
  <c r="I1244" i="1"/>
  <c r="K1244" i="1" s="1"/>
  <c r="L1243" i="1"/>
  <c r="I1243" i="1"/>
  <c r="K1243" i="1" s="1"/>
  <c r="G1243" i="1"/>
  <c r="L1242" i="1"/>
  <c r="F1242" i="1"/>
  <c r="H1242" i="1" s="1"/>
  <c r="I1242" i="1" s="1"/>
  <c r="L1241" i="1"/>
  <c r="F1241" i="1"/>
  <c r="H1241" i="1" s="1"/>
  <c r="L1240" i="1"/>
  <c r="F1240" i="1"/>
  <c r="H1240" i="1" s="1"/>
  <c r="L1239" i="1"/>
  <c r="F1239" i="1"/>
  <c r="H1239" i="1" s="1"/>
  <c r="L1238" i="1"/>
  <c r="F1238" i="1"/>
  <c r="H1238" i="1" s="1"/>
  <c r="I1238" i="1" s="1"/>
  <c r="L1237" i="1"/>
  <c r="F1237" i="1"/>
  <c r="H1237" i="1" s="1"/>
  <c r="L1236" i="1"/>
  <c r="F1236" i="1"/>
  <c r="H1236" i="1" s="1"/>
  <c r="I1236" i="1" s="1"/>
  <c r="L1235" i="1"/>
  <c r="F1235" i="1"/>
  <c r="H1235" i="1" s="1"/>
  <c r="L1234" i="1"/>
  <c r="F1234" i="1"/>
  <c r="G1234" i="1" s="1"/>
  <c r="L1233" i="1"/>
  <c r="F1233" i="1"/>
  <c r="H1233" i="1" s="1"/>
  <c r="L1232" i="1"/>
  <c r="F1232" i="1"/>
  <c r="G1232" i="1" s="1"/>
  <c r="L1231" i="1"/>
  <c r="F1231" i="1"/>
  <c r="G1231" i="1" s="1"/>
  <c r="E1229" i="1"/>
  <c r="D1229" i="1"/>
  <c r="B1229" i="1"/>
  <c r="J1224" i="1"/>
  <c r="J1227" i="1" s="1"/>
  <c r="E1224" i="1"/>
  <c r="L1223" i="1"/>
  <c r="I1223" i="1"/>
  <c r="K1223" i="1" s="1"/>
  <c r="F1223" i="1"/>
  <c r="G1223" i="1" s="1"/>
  <c r="L1222" i="1"/>
  <c r="I1222" i="1"/>
  <c r="K1222" i="1" s="1"/>
  <c r="L1221" i="1"/>
  <c r="I1221" i="1"/>
  <c r="K1221" i="1" s="1"/>
  <c r="F1221" i="1"/>
  <c r="G1221" i="1" s="1"/>
  <c r="L1220" i="1"/>
  <c r="I1220" i="1"/>
  <c r="K1220" i="1" s="1"/>
  <c r="F1220" i="1"/>
  <c r="G1220" i="1" s="1"/>
  <c r="L1219" i="1"/>
  <c r="F1219" i="1"/>
  <c r="H1219" i="1" s="1"/>
  <c r="I1219" i="1" s="1"/>
  <c r="L1218" i="1"/>
  <c r="F1218" i="1"/>
  <c r="L1217" i="1"/>
  <c r="F1217" i="1"/>
  <c r="G1217" i="1" s="1"/>
  <c r="L1216" i="1"/>
  <c r="F1216" i="1"/>
  <c r="H1216" i="1" s="1"/>
  <c r="I1216" i="1" s="1"/>
  <c r="L1215" i="1"/>
  <c r="F1215" i="1"/>
  <c r="G1215" i="1" s="1"/>
  <c r="L1214" i="1"/>
  <c r="F1214" i="1"/>
  <c r="H1214" i="1" s="1"/>
  <c r="I1214" i="1" s="1"/>
  <c r="L1213" i="1"/>
  <c r="F1213" i="1"/>
  <c r="H1213" i="1" s="1"/>
  <c r="I1213" i="1" s="1"/>
  <c r="L1212" i="1"/>
  <c r="F1212" i="1"/>
  <c r="H1212" i="1" s="1"/>
  <c r="L1211" i="1"/>
  <c r="F1211" i="1"/>
  <c r="H1211" i="1" s="1"/>
  <c r="I1211" i="1" s="1"/>
  <c r="L1210" i="1"/>
  <c r="F1210" i="1"/>
  <c r="H1210" i="1" s="1"/>
  <c r="L1209" i="1"/>
  <c r="F1209" i="1"/>
  <c r="H1209" i="1" s="1"/>
  <c r="I1209" i="1" s="1"/>
  <c r="L1208" i="1"/>
  <c r="F1208" i="1"/>
  <c r="H1208" i="1" s="1"/>
  <c r="I1208" i="1" s="1"/>
  <c r="E1206" i="1"/>
  <c r="D1206" i="1"/>
  <c r="C1225" i="1" s="1"/>
  <c r="B1206" i="1"/>
  <c r="L907" i="1"/>
  <c r="J908" i="1"/>
  <c r="L901" i="1"/>
  <c r="I901" i="1"/>
  <c r="K901" i="1" s="1"/>
  <c r="F901" i="1"/>
  <c r="G901" i="1" s="1"/>
  <c r="L902" i="1"/>
  <c r="I902" i="1"/>
  <c r="K902" i="1" s="1"/>
  <c r="L903" i="1"/>
  <c r="I903" i="1"/>
  <c r="K903" i="1" s="1"/>
  <c r="F903" i="1"/>
  <c r="G903" i="1" s="1"/>
  <c r="L904" i="1"/>
  <c r="F904" i="1"/>
  <c r="I904" i="1" s="1"/>
  <c r="L899" i="1"/>
  <c r="I899" i="1"/>
  <c r="K899" i="1" s="1"/>
  <c r="L898" i="1"/>
  <c r="F898" i="1"/>
  <c r="H898" i="1" s="1"/>
  <c r="L897" i="1"/>
  <c r="F897" i="1"/>
  <c r="G897" i="1" s="1"/>
  <c r="L896" i="1"/>
  <c r="F896" i="1"/>
  <c r="H896" i="1" s="1"/>
  <c r="L895" i="1"/>
  <c r="F895" i="1"/>
  <c r="G895" i="1" s="1"/>
  <c r="L894" i="1"/>
  <c r="F894" i="1"/>
  <c r="H894" i="1" s="1"/>
  <c r="L893" i="1"/>
  <c r="F893" i="1"/>
  <c r="L892" i="1"/>
  <c r="F892" i="1"/>
  <c r="H892" i="1" s="1"/>
  <c r="L891" i="1"/>
  <c r="F891" i="1"/>
  <c r="H891" i="1" s="1"/>
  <c r="L890" i="1"/>
  <c r="F890" i="1"/>
  <c r="H890" i="1" s="1"/>
  <c r="L888" i="1"/>
  <c r="F888" i="1"/>
  <c r="E886" i="1"/>
  <c r="D886" i="1"/>
  <c r="C906" i="1" s="1"/>
  <c r="B886" i="1"/>
  <c r="J1201" i="1"/>
  <c r="E1201" i="1"/>
  <c r="L1200" i="1"/>
  <c r="I1200" i="1"/>
  <c r="K1200" i="1" s="1"/>
  <c r="F1200" i="1"/>
  <c r="G1200" i="1" s="1"/>
  <c r="L1199" i="1"/>
  <c r="I1199" i="1"/>
  <c r="K1199" i="1" s="1"/>
  <c r="L1198" i="1"/>
  <c r="I1198" i="1"/>
  <c r="K1198" i="1" s="1"/>
  <c r="F1198" i="1"/>
  <c r="L1197" i="1"/>
  <c r="I1197" i="1"/>
  <c r="K1197" i="1" s="1"/>
  <c r="F1197" i="1"/>
  <c r="G1197" i="1" s="1"/>
  <c r="L1196" i="1"/>
  <c r="F1196" i="1"/>
  <c r="H1196" i="1" s="1"/>
  <c r="I1196" i="1" s="1"/>
  <c r="L1195" i="1"/>
  <c r="F1195" i="1"/>
  <c r="H1195" i="1" s="1"/>
  <c r="I1195" i="1" s="1"/>
  <c r="L1194" i="1"/>
  <c r="F1194" i="1"/>
  <c r="L1193" i="1"/>
  <c r="F1193" i="1"/>
  <c r="H1193" i="1" s="1"/>
  <c r="L1192" i="1"/>
  <c r="F1192" i="1"/>
  <c r="H1192" i="1" s="1"/>
  <c r="I1192" i="1" s="1"/>
  <c r="K1192" i="1" s="1"/>
  <c r="L1191" i="1"/>
  <c r="F1191" i="1"/>
  <c r="H1191" i="1" s="1"/>
  <c r="I1191" i="1" s="1"/>
  <c r="L1190" i="1"/>
  <c r="F1190" i="1"/>
  <c r="H1190" i="1" s="1"/>
  <c r="L1189" i="1"/>
  <c r="F1189" i="1"/>
  <c r="H1189" i="1" s="1"/>
  <c r="L1188" i="1"/>
  <c r="F1188" i="1"/>
  <c r="H1188" i="1" s="1"/>
  <c r="I1188" i="1" s="1"/>
  <c r="K1188" i="1" s="1"/>
  <c r="L1187" i="1"/>
  <c r="F1187" i="1"/>
  <c r="H1187" i="1" s="1"/>
  <c r="I1187" i="1" s="1"/>
  <c r="E1185" i="1"/>
  <c r="D1185" i="1"/>
  <c r="B1185" i="1"/>
  <c r="J1180" i="1"/>
  <c r="J1183" i="1" s="1"/>
  <c r="E1180" i="1"/>
  <c r="L1179" i="1"/>
  <c r="F1179" i="1"/>
  <c r="G1179" i="1" s="1"/>
  <c r="L1178" i="1"/>
  <c r="I1178" i="1"/>
  <c r="K1178" i="1" s="1"/>
  <c r="F1178" i="1"/>
  <c r="G1178" i="1" s="1"/>
  <c r="L1177" i="1"/>
  <c r="I1177" i="1"/>
  <c r="K1177" i="1" s="1"/>
  <c r="L1176" i="1"/>
  <c r="I1176" i="1"/>
  <c r="K1176" i="1" s="1"/>
  <c r="F1176" i="1"/>
  <c r="G1176" i="1" s="1"/>
  <c r="L1174" i="1"/>
  <c r="F1174" i="1"/>
  <c r="L1173" i="1"/>
  <c r="F1173" i="1"/>
  <c r="L1172" i="1"/>
  <c r="F1172" i="1"/>
  <c r="G1172" i="1" s="1"/>
  <c r="L1171" i="1"/>
  <c r="F1171" i="1"/>
  <c r="H1171" i="1" s="1"/>
  <c r="I1171" i="1" s="1"/>
  <c r="L1170" i="1"/>
  <c r="F1170" i="1"/>
  <c r="G1170" i="1" s="1"/>
  <c r="L1169" i="1"/>
  <c r="F1169" i="1"/>
  <c r="H1169" i="1" s="1"/>
  <c r="I1169" i="1" s="1"/>
  <c r="L1167" i="1"/>
  <c r="F1167" i="1"/>
  <c r="H1167" i="1" s="1"/>
  <c r="I1167" i="1" s="1"/>
  <c r="L1166" i="1"/>
  <c r="F1166" i="1"/>
  <c r="H1166" i="1" s="1"/>
  <c r="I1166" i="1" s="1"/>
  <c r="L1165" i="1"/>
  <c r="F1165" i="1"/>
  <c r="G1165" i="1" s="1"/>
  <c r="E1163" i="1"/>
  <c r="D1163" i="1"/>
  <c r="C1181" i="1" s="1"/>
  <c r="B1163" i="1"/>
  <c r="J1158" i="1"/>
  <c r="J1161" i="1" s="1"/>
  <c r="E1158" i="1"/>
  <c r="L1157" i="1"/>
  <c r="I1157" i="1"/>
  <c r="K1157" i="1" s="1"/>
  <c r="F1157" i="1"/>
  <c r="G1157" i="1" s="1"/>
  <c r="I1156" i="1"/>
  <c r="K1156" i="1" s="1"/>
  <c r="I1153" i="1"/>
  <c r="K1153" i="1" s="1"/>
  <c r="F1153" i="1"/>
  <c r="G1153" i="1" s="1"/>
  <c r="L1152" i="1"/>
  <c r="I1152" i="1"/>
  <c r="K1152" i="1" s="1"/>
  <c r="F1152" i="1"/>
  <c r="G1152" i="1" s="1"/>
  <c r="L1151" i="1"/>
  <c r="I1151" i="1"/>
  <c r="K1151" i="1" s="1"/>
  <c r="F1151" i="1"/>
  <c r="G1151" i="1" s="1"/>
  <c r="L1150" i="1"/>
  <c r="F1150" i="1"/>
  <c r="F1149" i="1"/>
  <c r="H1149" i="1" s="1"/>
  <c r="I1149" i="1" s="1"/>
  <c r="L1148" i="1"/>
  <c r="F1148" i="1"/>
  <c r="G1148" i="1" s="1"/>
  <c r="L1146" i="1"/>
  <c r="F1146" i="1"/>
  <c r="L1145" i="1"/>
  <c r="F1145" i="1"/>
  <c r="H1145" i="1" s="1"/>
  <c r="I1145" i="1" s="1"/>
  <c r="F1144" i="1"/>
  <c r="L1143" i="1"/>
  <c r="F1143" i="1"/>
  <c r="H1143" i="1" s="1"/>
  <c r="L1142" i="1"/>
  <c r="F1142" i="1"/>
  <c r="H1142" i="1" s="1"/>
  <c r="L1141" i="1"/>
  <c r="F1141" i="1"/>
  <c r="G1141" i="1" s="1"/>
  <c r="F1140" i="1"/>
  <c r="H1140" i="1" s="1"/>
  <c r="L1139" i="1"/>
  <c r="F1139" i="1"/>
  <c r="H1139" i="1" s="1"/>
  <c r="I1139" i="1" s="1"/>
  <c r="L1138" i="1"/>
  <c r="F1138" i="1"/>
  <c r="L1137" i="1"/>
  <c r="F1137" i="1"/>
  <c r="L1136" i="1"/>
  <c r="F1136" i="1"/>
  <c r="H1136" i="1" s="1"/>
  <c r="I1136" i="1" s="1"/>
  <c r="L1135" i="1"/>
  <c r="F1135" i="1"/>
  <c r="L1134" i="1"/>
  <c r="F1134" i="1"/>
  <c r="G1134" i="1" s="1"/>
  <c r="E1132" i="1"/>
  <c r="D1132" i="1"/>
  <c r="C1159" i="1" s="1"/>
  <c r="B1132" i="1"/>
  <c r="J1127" i="1"/>
  <c r="J1130" i="1" s="1"/>
  <c r="E1127" i="1"/>
  <c r="L1126" i="1"/>
  <c r="F1126" i="1"/>
  <c r="G1126" i="1" s="1"/>
  <c r="L1125" i="1"/>
  <c r="F1125" i="1"/>
  <c r="G1125" i="1" s="1"/>
  <c r="L1124" i="1"/>
  <c r="I1124" i="1"/>
  <c r="K1124" i="1" s="1"/>
  <c r="F1124" i="1"/>
  <c r="G1124" i="1" s="1"/>
  <c r="L1123" i="1"/>
  <c r="I1123" i="1"/>
  <c r="K1123" i="1" s="1"/>
  <c r="F1123" i="1"/>
  <c r="G1123" i="1" s="1"/>
  <c r="L1122" i="1"/>
  <c r="F1122" i="1"/>
  <c r="L1121" i="1"/>
  <c r="F1121" i="1"/>
  <c r="L1120" i="1"/>
  <c r="F1120" i="1"/>
  <c r="H1120" i="1" s="1"/>
  <c r="L1119" i="1"/>
  <c r="F1119" i="1"/>
  <c r="L1118" i="1"/>
  <c r="F1118" i="1"/>
  <c r="L1117" i="1"/>
  <c r="F1117" i="1"/>
  <c r="L1116" i="1"/>
  <c r="F1116" i="1"/>
  <c r="H1116" i="1" s="1"/>
  <c r="L1115" i="1"/>
  <c r="F1115" i="1"/>
  <c r="L1114" i="1"/>
  <c r="F1114" i="1"/>
  <c r="L1113" i="1"/>
  <c r="F1113" i="1"/>
  <c r="L1112" i="1"/>
  <c r="F1112" i="1"/>
  <c r="H1112" i="1" s="1"/>
  <c r="E1110" i="1"/>
  <c r="D1110" i="1"/>
  <c r="C1128" i="1" s="1"/>
  <c r="B1110" i="1"/>
  <c r="L1107" i="1"/>
  <c r="J1105" i="1"/>
  <c r="J1108" i="1" s="1"/>
  <c r="E1105" i="1"/>
  <c r="L1104" i="1"/>
  <c r="I1104" i="1"/>
  <c r="K1104" i="1" s="1"/>
  <c r="F1104" i="1"/>
  <c r="G1104" i="1" s="1"/>
  <c r="I1103" i="1"/>
  <c r="K1103" i="1" s="1"/>
  <c r="F1102" i="1"/>
  <c r="G1102" i="1" s="1"/>
  <c r="L1101" i="1"/>
  <c r="I1101" i="1"/>
  <c r="K1101" i="1" s="1"/>
  <c r="F1101" i="1"/>
  <c r="G1101" i="1" s="1"/>
  <c r="L1100" i="1"/>
  <c r="F1100" i="1"/>
  <c r="L1099" i="1"/>
  <c r="F1099" i="1"/>
  <c r="L1098" i="1"/>
  <c r="F1098" i="1"/>
  <c r="L1097" i="1"/>
  <c r="F1097" i="1"/>
  <c r="L1096" i="1"/>
  <c r="F1096" i="1"/>
  <c r="L1095" i="1"/>
  <c r="F1095" i="1"/>
  <c r="L1094" i="1"/>
  <c r="F1094" i="1"/>
  <c r="G1094" i="1" s="1"/>
  <c r="F1093" i="1"/>
  <c r="G1093" i="1" s="1"/>
  <c r="F1092" i="1"/>
  <c r="L1091" i="1"/>
  <c r="F1091" i="1"/>
  <c r="E1089" i="1"/>
  <c r="D1089" i="1"/>
  <c r="C1106" i="1" s="1"/>
  <c r="B1089" i="1"/>
  <c r="J1084" i="1"/>
  <c r="J1087" i="1" s="1"/>
  <c r="E1084" i="1"/>
  <c r="L1083" i="1"/>
  <c r="I1083" i="1"/>
  <c r="K1083" i="1" s="1"/>
  <c r="F1083" i="1"/>
  <c r="G1083" i="1" s="1"/>
  <c r="F1082" i="1"/>
  <c r="G1082" i="1" s="1"/>
  <c r="L1081" i="1"/>
  <c r="F1081" i="1"/>
  <c r="G1081" i="1" s="1"/>
  <c r="L1080" i="1"/>
  <c r="I1080" i="1"/>
  <c r="K1080" i="1" s="1"/>
  <c r="F1080" i="1"/>
  <c r="G1080" i="1" s="1"/>
  <c r="L1079" i="1"/>
  <c r="I1079" i="1"/>
  <c r="K1079" i="1" s="1"/>
  <c r="F1079" i="1"/>
  <c r="G1079" i="1" s="1"/>
  <c r="L1078" i="1"/>
  <c r="I1078" i="1"/>
  <c r="K1078" i="1" s="1"/>
  <c r="L1077" i="1"/>
  <c r="I1077" i="1"/>
  <c r="K1077" i="1" s="1"/>
  <c r="L1076" i="1"/>
  <c r="F1076" i="1"/>
  <c r="L1075" i="1"/>
  <c r="F1075" i="1"/>
  <c r="L1074" i="1"/>
  <c r="F1074" i="1"/>
  <c r="L1073" i="1"/>
  <c r="F1073" i="1"/>
  <c r="L1072" i="1"/>
  <c r="F1072" i="1"/>
  <c r="L1071" i="1"/>
  <c r="F1071" i="1"/>
  <c r="H1071" i="1" s="1"/>
  <c r="I1071" i="1" s="1"/>
  <c r="E1069" i="1"/>
  <c r="D1069" i="1"/>
  <c r="C1085" i="1" s="1"/>
  <c r="B1069" i="1"/>
  <c r="J1062" i="1"/>
  <c r="E1062" i="1"/>
  <c r="L1060" i="1"/>
  <c r="I1060" i="1"/>
  <c r="K1060" i="1" s="1"/>
  <c r="F1060" i="1"/>
  <c r="G1060" i="1" s="1"/>
  <c r="L1059" i="1"/>
  <c r="I1059" i="1"/>
  <c r="K1059" i="1" s="1"/>
  <c r="F1059" i="1"/>
  <c r="G1059" i="1" s="1"/>
  <c r="L1058" i="1"/>
  <c r="L1057" i="1"/>
  <c r="L1056" i="1"/>
  <c r="L1055" i="1"/>
  <c r="F1055" i="1"/>
  <c r="H1055" i="1" s="1"/>
  <c r="L1054" i="1"/>
  <c r="F1054" i="1"/>
  <c r="G1054" i="1" s="1"/>
  <c r="F1053" i="1"/>
  <c r="G1053" i="1" s="1"/>
  <c r="L1052" i="1"/>
  <c r="F1052" i="1"/>
  <c r="F1051" i="1"/>
  <c r="G1051" i="1" s="1"/>
  <c r="L1050" i="1"/>
  <c r="F1050" i="1"/>
  <c r="L1049" i="1"/>
  <c r="F1049" i="1"/>
  <c r="L1048" i="1"/>
  <c r="F1048" i="1"/>
  <c r="F1047" i="1"/>
  <c r="H1047" i="1" s="1"/>
  <c r="L1046" i="1"/>
  <c r="L1045" i="1"/>
  <c r="H1058" i="1"/>
  <c r="I1058" i="1" s="1"/>
  <c r="I1056" i="1"/>
  <c r="L1041" i="1"/>
  <c r="L1039" i="1"/>
  <c r="E1037" i="1"/>
  <c r="D1037" i="1"/>
  <c r="B1037" i="1"/>
  <c r="J700" i="1"/>
  <c r="K693" i="1"/>
  <c r="F691" i="1"/>
  <c r="F690" i="1"/>
  <c r="F689" i="1"/>
  <c r="H689" i="1" s="1"/>
  <c r="F688" i="1"/>
  <c r="F687" i="1"/>
  <c r="F686" i="1"/>
  <c r="F685" i="1"/>
  <c r="H685" i="1" s="1"/>
  <c r="F684" i="1"/>
  <c r="F683" i="1"/>
  <c r="F682" i="1"/>
  <c r="F681" i="1"/>
  <c r="H681" i="1" s="1"/>
  <c r="F680" i="1"/>
  <c r="H680" i="1" s="1"/>
  <c r="F679" i="1"/>
  <c r="H679" i="1" s="1"/>
  <c r="F678" i="1"/>
  <c r="H678" i="1" s="1"/>
  <c r="F677" i="1"/>
  <c r="E675" i="1"/>
  <c r="D675" i="1"/>
  <c r="C698" i="1" s="1"/>
  <c r="E14" i="2" s="1"/>
  <c r="B675" i="1"/>
  <c r="J1002" i="1"/>
  <c r="J1005" i="1" s="1"/>
  <c r="E1002" i="1"/>
  <c r="I1001" i="1"/>
  <c r="K1001" i="1" s="1"/>
  <c r="F1001" i="1"/>
  <c r="G1001" i="1" s="1"/>
  <c r="I1000" i="1"/>
  <c r="K1000" i="1" s="1"/>
  <c r="F1000" i="1"/>
  <c r="G1000" i="1" s="1"/>
  <c r="L999" i="1"/>
  <c r="H999" i="1"/>
  <c r="I998" i="1"/>
  <c r="K998" i="1" s="1"/>
  <c r="L997" i="1"/>
  <c r="F997" i="1"/>
  <c r="L996" i="1"/>
  <c r="F996" i="1"/>
  <c r="L995" i="1"/>
  <c r="F995" i="1"/>
  <c r="H995" i="1" s="1"/>
  <c r="E993" i="1"/>
  <c r="D993" i="1"/>
  <c r="C1003" i="1" s="1"/>
  <c r="B993" i="1"/>
  <c r="J604" i="1"/>
  <c r="J607" i="1" s="1"/>
  <c r="E604" i="1"/>
  <c r="F603" i="1"/>
  <c r="G603" i="1" s="1"/>
  <c r="I602" i="1"/>
  <c r="K602" i="1" s="1"/>
  <c r="F602" i="1"/>
  <c r="G602" i="1" s="1"/>
  <c r="L601" i="1"/>
  <c r="H601" i="1"/>
  <c r="I601" i="1" s="1"/>
  <c r="I600" i="1"/>
  <c r="K600" i="1" s="1"/>
  <c r="L599" i="1"/>
  <c r="F599" i="1"/>
  <c r="E597" i="1"/>
  <c r="D597" i="1"/>
  <c r="C605" i="1" s="1"/>
  <c r="B597" i="1"/>
  <c r="J852" i="1"/>
  <c r="J855" i="1" s="1"/>
  <c r="E852" i="1"/>
  <c r="F851" i="1"/>
  <c r="G851" i="1" s="1"/>
  <c r="I850" i="1"/>
  <c r="K850" i="1" s="1"/>
  <c r="F850" i="1"/>
  <c r="G850" i="1" s="1"/>
  <c r="L849" i="1"/>
  <c r="H849" i="1"/>
  <c r="I849" i="1" s="1"/>
  <c r="I848" i="1"/>
  <c r="K848" i="1" s="1"/>
  <c r="L847" i="1"/>
  <c r="F847" i="1"/>
  <c r="G847" i="1" s="1"/>
  <c r="E845" i="1"/>
  <c r="D845" i="1"/>
  <c r="C853" i="1" s="1"/>
  <c r="B845" i="1"/>
  <c r="J840" i="1"/>
  <c r="J843" i="1" s="1"/>
  <c r="E840" i="1"/>
  <c r="I839" i="1"/>
  <c r="K839" i="1" s="1"/>
  <c r="F839" i="1"/>
  <c r="G839" i="1" s="1"/>
  <c r="I838" i="1"/>
  <c r="K838" i="1" s="1"/>
  <c r="F838" i="1"/>
  <c r="G838" i="1" s="1"/>
  <c r="L837" i="1"/>
  <c r="H837" i="1"/>
  <c r="I837" i="1" s="1"/>
  <c r="I836" i="1"/>
  <c r="K836" i="1" s="1"/>
  <c r="L835" i="1"/>
  <c r="F835" i="1"/>
  <c r="E833" i="1"/>
  <c r="D833" i="1"/>
  <c r="C841" i="1" s="1"/>
  <c r="B833" i="1"/>
  <c r="J830" i="1"/>
  <c r="K823" i="1"/>
  <c r="K821" i="1"/>
  <c r="F819" i="1"/>
  <c r="F818" i="1"/>
  <c r="G818" i="1" s="1"/>
  <c r="L817" i="1"/>
  <c r="F817" i="1"/>
  <c r="H817" i="1" s="1"/>
  <c r="L815" i="1"/>
  <c r="F815" i="1"/>
  <c r="H815" i="1" s="1"/>
  <c r="L814" i="1"/>
  <c r="F814" i="1"/>
  <c r="H814" i="1" s="1"/>
  <c r="L813" i="1"/>
  <c r="F813" i="1"/>
  <c r="H813" i="1" s="1"/>
  <c r="L812" i="1"/>
  <c r="F812" i="1"/>
  <c r="H812" i="1" s="1"/>
  <c r="L811" i="1"/>
  <c r="F811" i="1"/>
  <c r="H811" i="1" s="1"/>
  <c r="L810" i="1"/>
  <c r="F810" i="1"/>
  <c r="H810" i="1" s="1"/>
  <c r="L809" i="1"/>
  <c r="F809" i="1"/>
  <c r="E807" i="1"/>
  <c r="C828" i="1"/>
  <c r="B807" i="1"/>
  <c r="J802" i="1"/>
  <c r="J805" i="1" s="1"/>
  <c r="E802" i="1"/>
  <c r="I801" i="1"/>
  <c r="K801" i="1" s="1"/>
  <c r="F801" i="1"/>
  <c r="G801" i="1" s="1"/>
  <c r="I800" i="1"/>
  <c r="K800" i="1" s="1"/>
  <c r="F800" i="1"/>
  <c r="G800" i="1" s="1"/>
  <c r="L799" i="1"/>
  <c r="H799" i="1"/>
  <c r="L798" i="1"/>
  <c r="H798" i="1"/>
  <c r="H797" i="1"/>
  <c r="L796" i="1"/>
  <c r="F796" i="1"/>
  <c r="G796" i="1" s="1"/>
  <c r="E794" i="1"/>
  <c r="D794" i="1"/>
  <c r="C803" i="1" s="1"/>
  <c r="B794" i="1"/>
  <c r="J789" i="1"/>
  <c r="J792" i="1" s="1"/>
  <c r="E789" i="1"/>
  <c r="I788" i="1"/>
  <c r="K788" i="1" s="1"/>
  <c r="F788" i="1"/>
  <c r="G788" i="1" s="1"/>
  <c r="I787" i="1"/>
  <c r="K787" i="1" s="1"/>
  <c r="F787" i="1"/>
  <c r="G787" i="1" s="1"/>
  <c r="L786" i="1"/>
  <c r="H786" i="1"/>
  <c r="I786" i="1" s="1"/>
  <c r="K786" i="1" s="1"/>
  <c r="H785" i="1"/>
  <c r="I785" i="1" s="1"/>
  <c r="K785" i="1" s="1"/>
  <c r="L784" i="1"/>
  <c r="F784" i="1"/>
  <c r="E782" i="1"/>
  <c r="D782" i="1"/>
  <c r="C790" i="1" s="1"/>
  <c r="B782" i="1"/>
  <c r="J777" i="1"/>
  <c r="J780" i="1" s="1"/>
  <c r="E777" i="1"/>
  <c r="K776" i="1"/>
  <c r="K775" i="1"/>
  <c r="L773" i="1"/>
  <c r="K773" i="1"/>
  <c r="K774" i="1"/>
  <c r="I771" i="1"/>
  <c r="K771" i="1" s="1"/>
  <c r="L770" i="1"/>
  <c r="E768" i="1"/>
  <c r="D768" i="1"/>
  <c r="C778" i="1" s="1"/>
  <c r="B768" i="1"/>
  <c r="J543" i="1"/>
  <c r="F539" i="1"/>
  <c r="L536" i="1"/>
  <c r="I536" i="1"/>
  <c r="K536" i="1" s="1"/>
  <c r="L537" i="1"/>
  <c r="H537" i="1"/>
  <c r="L534" i="1"/>
  <c r="F534" i="1"/>
  <c r="H534" i="1" s="1"/>
  <c r="L533" i="1"/>
  <c r="F533" i="1"/>
  <c r="L532" i="1"/>
  <c r="F532" i="1"/>
  <c r="L531" i="1"/>
  <c r="F531" i="1"/>
  <c r="H531" i="1" s="1"/>
  <c r="L530" i="1"/>
  <c r="F530" i="1"/>
  <c r="L529" i="1"/>
  <c r="F529" i="1"/>
  <c r="H529" i="1" s="1"/>
  <c r="L528" i="1"/>
  <c r="F528" i="1"/>
  <c r="H528" i="1" s="1"/>
  <c r="L527" i="1"/>
  <c r="F527" i="1"/>
  <c r="H527" i="1" s="1"/>
  <c r="L526" i="1"/>
  <c r="F526" i="1"/>
  <c r="H526" i="1" s="1"/>
  <c r="L525" i="1"/>
  <c r="F525" i="1"/>
  <c r="H525" i="1" s="1"/>
  <c r="L524" i="1"/>
  <c r="F524" i="1"/>
  <c r="H524" i="1" s="1"/>
  <c r="L523" i="1"/>
  <c r="F523" i="1"/>
  <c r="H523" i="1" s="1"/>
  <c r="L522" i="1"/>
  <c r="F522" i="1"/>
  <c r="H522" i="1" s="1"/>
  <c r="L520" i="1"/>
  <c r="E518" i="1"/>
  <c r="D518" i="1"/>
  <c r="C541" i="1" s="1"/>
  <c r="E10" i="2" s="1"/>
  <c r="B518" i="1"/>
  <c r="J729" i="1"/>
  <c r="K720" i="1"/>
  <c r="I719" i="1"/>
  <c r="K719" i="1" s="1"/>
  <c r="F719" i="1"/>
  <c r="G719" i="1" s="1"/>
  <c r="F718" i="1"/>
  <c r="F717" i="1"/>
  <c r="H717" i="1" s="1"/>
  <c r="F716" i="1"/>
  <c r="H716" i="1" s="1"/>
  <c r="F715" i="1"/>
  <c r="H715" i="1" s="1"/>
  <c r="F714" i="1"/>
  <c r="H714" i="1" s="1"/>
  <c r="I714" i="1" s="1"/>
  <c r="F713" i="1"/>
  <c r="H713" i="1" s="1"/>
  <c r="I713" i="1" s="1"/>
  <c r="F712" i="1"/>
  <c r="H712" i="1" s="1"/>
  <c r="I712" i="1" s="1"/>
  <c r="F711" i="1"/>
  <c r="L710" i="1"/>
  <c r="F710" i="1"/>
  <c r="H710" i="1" s="1"/>
  <c r="L709" i="1"/>
  <c r="F709" i="1"/>
  <c r="H709" i="1" s="1"/>
  <c r="L707" i="1"/>
  <c r="F707" i="1"/>
  <c r="H707" i="1" s="1"/>
  <c r="L706" i="1"/>
  <c r="F706" i="1"/>
  <c r="H706" i="1" s="1"/>
  <c r="L705" i="1"/>
  <c r="F705" i="1"/>
  <c r="H705" i="1" s="1"/>
  <c r="E703" i="1"/>
  <c r="D703" i="1"/>
  <c r="C727" i="1" s="1"/>
  <c r="E15" i="2" s="1"/>
  <c r="B703" i="1"/>
  <c r="J673" i="1"/>
  <c r="K666" i="1"/>
  <c r="K664" i="1"/>
  <c r="I663" i="1"/>
  <c r="K663" i="1" s="1"/>
  <c r="F663" i="1"/>
  <c r="G663" i="1" s="1"/>
  <c r="F662" i="1"/>
  <c r="F661" i="1"/>
  <c r="F660" i="1"/>
  <c r="H660" i="1" s="1"/>
  <c r="F659" i="1"/>
  <c r="F658" i="1"/>
  <c r="F657" i="1"/>
  <c r="H657" i="1" s="1"/>
  <c r="F656" i="1"/>
  <c r="H656" i="1" s="1"/>
  <c r="F655" i="1"/>
  <c r="F654" i="1"/>
  <c r="H654" i="1" s="1"/>
  <c r="L653" i="1"/>
  <c r="F653" i="1"/>
  <c r="H653" i="1" s="1"/>
  <c r="L652" i="1"/>
  <c r="F652" i="1"/>
  <c r="H652" i="1" s="1"/>
  <c r="L651" i="1"/>
  <c r="F651" i="1"/>
  <c r="H651" i="1" s="1"/>
  <c r="L650" i="1"/>
  <c r="F650" i="1"/>
  <c r="E648" i="1"/>
  <c r="D648" i="1"/>
  <c r="C671" i="1" s="1"/>
  <c r="E13" i="2" s="1"/>
  <c r="B648" i="1"/>
  <c r="J643" i="1"/>
  <c r="J646" i="1" s="1"/>
  <c r="E643" i="1"/>
  <c r="I642" i="1"/>
  <c r="K642" i="1" s="1"/>
  <c r="F642" i="1"/>
  <c r="G642" i="1" s="1"/>
  <c r="I641" i="1"/>
  <c r="K641" i="1" s="1"/>
  <c r="F641" i="1"/>
  <c r="G641" i="1" s="1"/>
  <c r="L640" i="1"/>
  <c r="I640" i="1"/>
  <c r="K640" i="1" s="1"/>
  <c r="L639" i="1"/>
  <c r="F639" i="1"/>
  <c r="E637" i="1"/>
  <c r="D637" i="1"/>
  <c r="C644" i="1" s="1"/>
  <c r="B637" i="1"/>
  <c r="J766" i="1"/>
  <c r="K762" i="1"/>
  <c r="F757" i="1"/>
  <c r="K758" i="1"/>
  <c r="K755" i="1"/>
  <c r="I754" i="1"/>
  <c r="K754" i="1" s="1"/>
  <c r="F754" i="1"/>
  <c r="G754" i="1" s="1"/>
  <c r="F753" i="1"/>
  <c r="G753" i="1" s="1"/>
  <c r="F752" i="1"/>
  <c r="F751" i="1"/>
  <c r="F750" i="1"/>
  <c r="F749" i="1"/>
  <c r="F748" i="1"/>
  <c r="F747" i="1"/>
  <c r="G747" i="1" s="1"/>
  <c r="F746" i="1"/>
  <c r="L740" i="1"/>
  <c r="F740" i="1"/>
  <c r="H740" i="1" s="1"/>
  <c r="L739" i="1"/>
  <c r="F739" i="1"/>
  <c r="H739" i="1" s="1"/>
  <c r="L737" i="1"/>
  <c r="F737" i="1"/>
  <c r="H737" i="1" s="1"/>
  <c r="L735" i="1"/>
  <c r="F735" i="1"/>
  <c r="H735" i="1" s="1"/>
  <c r="L734" i="1"/>
  <c r="F734" i="1"/>
  <c r="D732" i="1"/>
  <c r="C764" i="1" s="1"/>
  <c r="E16" i="2" s="1"/>
  <c r="B732" i="1"/>
  <c r="E880" i="1"/>
  <c r="F873" i="1"/>
  <c r="F872" i="1"/>
  <c r="F871" i="1"/>
  <c r="H871" i="1" s="1"/>
  <c r="I876" i="1" s="1"/>
  <c r="F870" i="1"/>
  <c r="F869" i="1"/>
  <c r="H869" i="1" s="1"/>
  <c r="F868" i="1"/>
  <c r="F867" i="1"/>
  <c r="H867" i="1" s="1"/>
  <c r="F866" i="1"/>
  <c r="H866" i="1" s="1"/>
  <c r="F865" i="1"/>
  <c r="F863" i="1"/>
  <c r="H863" i="1" s="1"/>
  <c r="L862" i="1"/>
  <c r="F862" i="1"/>
  <c r="H862" i="1" s="1"/>
  <c r="L861" i="1"/>
  <c r="F861" i="1"/>
  <c r="L860" i="1"/>
  <c r="F860" i="1"/>
  <c r="H860" i="1" s="1"/>
  <c r="E858" i="1"/>
  <c r="D858" i="1"/>
  <c r="B858" i="1"/>
  <c r="J635" i="1"/>
  <c r="K629" i="1"/>
  <c r="K626" i="1"/>
  <c r="F625" i="1"/>
  <c r="H625" i="1" s="1"/>
  <c r="F624" i="1"/>
  <c r="F623" i="1"/>
  <c r="G623" i="1" s="1"/>
  <c r="F622" i="1"/>
  <c r="F621" i="1"/>
  <c r="H621" i="1" s="1"/>
  <c r="F620" i="1"/>
  <c r="F619" i="1"/>
  <c r="H619" i="1" s="1"/>
  <c r="I619" i="1" s="1"/>
  <c r="F618" i="1"/>
  <c r="H618" i="1" s="1"/>
  <c r="I618" i="1" s="1"/>
  <c r="F617" i="1"/>
  <c r="L616" i="1"/>
  <c r="F616" i="1"/>
  <c r="H616" i="1" s="1"/>
  <c r="L614" i="1"/>
  <c r="F614" i="1"/>
  <c r="H614" i="1" s="1"/>
  <c r="L612" i="1"/>
  <c r="F612" i="1"/>
  <c r="H612" i="1" s="1"/>
  <c r="L611" i="1"/>
  <c r="F611" i="1"/>
  <c r="H611" i="1" s="1"/>
  <c r="E609" i="1"/>
  <c r="D609" i="1"/>
  <c r="C633" i="1" s="1"/>
  <c r="E12" i="2" s="1"/>
  <c r="B609" i="1"/>
  <c r="J592" i="1"/>
  <c r="J595" i="1" s="1"/>
  <c r="E592" i="1"/>
  <c r="I591" i="1"/>
  <c r="K591" i="1" s="1"/>
  <c r="F591" i="1"/>
  <c r="G591" i="1" s="1"/>
  <c r="I590" i="1"/>
  <c r="K590" i="1" s="1"/>
  <c r="F590" i="1"/>
  <c r="G590" i="1" s="1"/>
  <c r="L589" i="1"/>
  <c r="I589" i="1"/>
  <c r="K589" i="1" s="1"/>
  <c r="L588" i="1"/>
  <c r="F588" i="1"/>
  <c r="E586" i="1"/>
  <c r="D586" i="1"/>
  <c r="C593" i="1" s="1"/>
  <c r="B586" i="1"/>
  <c r="J584" i="1"/>
  <c r="F579" i="1"/>
  <c r="G579" i="1" s="1"/>
  <c r="I577" i="1"/>
  <c r="K577" i="1" s="1"/>
  <c r="F577" i="1"/>
  <c r="G577" i="1" s="1"/>
  <c r="I578" i="1"/>
  <c r="K578" i="1" s="1"/>
  <c r="I575" i="1"/>
  <c r="K575" i="1" s="1"/>
  <c r="I574" i="1"/>
  <c r="K574" i="1" s="1"/>
  <c r="F573" i="1"/>
  <c r="G573" i="1" s="1"/>
  <c r="F572" i="1"/>
  <c r="F571" i="1"/>
  <c r="H571" i="1" s="1"/>
  <c r="F570" i="1"/>
  <c r="F569" i="1"/>
  <c r="G569" i="1" s="1"/>
  <c r="F568" i="1"/>
  <c r="L567" i="1"/>
  <c r="F567" i="1"/>
  <c r="H567" i="1" s="1"/>
  <c r="L566" i="1"/>
  <c r="L565" i="1"/>
  <c r="F565" i="1"/>
  <c r="H565" i="1" s="1"/>
  <c r="L564" i="1"/>
  <c r="F564" i="1"/>
  <c r="H564" i="1" s="1"/>
  <c r="L563" i="1"/>
  <c r="F563" i="1"/>
  <c r="H563" i="1" s="1"/>
  <c r="L562" i="1"/>
  <c r="F562" i="1"/>
  <c r="H562" i="1" s="1"/>
  <c r="L561" i="1"/>
  <c r="F561" i="1"/>
  <c r="H561" i="1" s="1"/>
  <c r="L560" i="1"/>
  <c r="F560" i="1"/>
  <c r="E558" i="1"/>
  <c r="B558" i="1"/>
  <c r="J553" i="1"/>
  <c r="J556" i="1" s="1"/>
  <c r="E553" i="1"/>
  <c r="H552" i="1"/>
  <c r="I552" i="1" s="1"/>
  <c r="K552" i="1" s="1"/>
  <c r="F552" i="1"/>
  <c r="G552" i="1" s="1"/>
  <c r="L551" i="1"/>
  <c r="I551" i="1"/>
  <c r="K551" i="1" s="1"/>
  <c r="F551" i="1"/>
  <c r="G551" i="1" s="1"/>
  <c r="F550" i="1"/>
  <c r="G550" i="1" s="1"/>
  <c r="L549" i="1"/>
  <c r="I549" i="1"/>
  <c r="K549" i="1" s="1"/>
  <c r="I548" i="1"/>
  <c r="K548" i="1" s="1"/>
  <c r="L547" i="1"/>
  <c r="F547" i="1"/>
  <c r="E545" i="1"/>
  <c r="D545" i="1"/>
  <c r="C554" i="1" s="1"/>
  <c r="B545" i="1"/>
  <c r="J516" i="1"/>
  <c r="F512" i="1"/>
  <c r="L508" i="1"/>
  <c r="I508" i="1"/>
  <c r="K508" i="1" s="1"/>
  <c r="F508" i="1"/>
  <c r="G508" i="1" s="1"/>
  <c r="L509" i="1"/>
  <c r="H509" i="1"/>
  <c r="F509" i="1"/>
  <c r="G509" i="1" s="1"/>
  <c r="L506" i="1"/>
  <c r="H506" i="1"/>
  <c r="I506" i="1" s="1"/>
  <c r="K506" i="1" s="1"/>
  <c r="L507" i="1"/>
  <c r="I507" i="1"/>
  <c r="K507" i="1" s="1"/>
  <c r="L505" i="1"/>
  <c r="F505" i="1"/>
  <c r="H505" i="1" s="1"/>
  <c r="F504" i="1"/>
  <c r="H504" i="1" s="1"/>
  <c r="L503" i="1"/>
  <c r="F503" i="1"/>
  <c r="L502" i="1"/>
  <c r="F502" i="1"/>
  <c r="H502" i="1" s="1"/>
  <c r="I502" i="1" s="1"/>
  <c r="L501" i="1"/>
  <c r="F501" i="1"/>
  <c r="L500" i="1"/>
  <c r="F500" i="1"/>
  <c r="H500" i="1" s="1"/>
  <c r="L499" i="1"/>
  <c r="F499" i="1"/>
  <c r="H499" i="1" s="1"/>
  <c r="L498" i="1"/>
  <c r="F498" i="1"/>
  <c r="H498" i="1" s="1"/>
  <c r="I510" i="1" s="1"/>
  <c r="K510" i="1" s="1"/>
  <c r="L497" i="1"/>
  <c r="F497" i="1"/>
  <c r="H497" i="1" s="1"/>
  <c r="I497" i="1" s="1"/>
  <c r="L496" i="1"/>
  <c r="F496" i="1"/>
  <c r="L495" i="1"/>
  <c r="H495" i="1"/>
  <c r="L494" i="1"/>
  <c r="L490" i="1"/>
  <c r="I490" i="1"/>
  <c r="L489" i="1"/>
  <c r="G489" i="1"/>
  <c r="L488" i="1"/>
  <c r="I488" i="1"/>
  <c r="L486" i="1"/>
  <c r="L485" i="1"/>
  <c r="I485" i="1"/>
  <c r="L484" i="1"/>
  <c r="G484" i="1"/>
  <c r="E482" i="1"/>
  <c r="D482" i="1"/>
  <c r="C514" i="1" s="1"/>
  <c r="E9" i="2" s="1"/>
  <c r="B482" i="1"/>
  <c r="J480" i="1"/>
  <c r="F473" i="1"/>
  <c r="G473" i="1" s="1"/>
  <c r="L474" i="1"/>
  <c r="I474" i="1"/>
  <c r="K474" i="1" s="1"/>
  <c r="F474" i="1"/>
  <c r="G474" i="1" s="1"/>
  <c r="L472" i="1"/>
  <c r="I472" i="1"/>
  <c r="K472" i="1" s="1"/>
  <c r="F472" i="1"/>
  <c r="G472" i="1" s="1"/>
  <c r="L471" i="1"/>
  <c r="I471" i="1"/>
  <c r="K471" i="1" s="1"/>
  <c r="L469" i="1"/>
  <c r="F469" i="1"/>
  <c r="H469" i="1" s="1"/>
  <c r="L467" i="1"/>
  <c r="I467" i="1"/>
  <c r="K467" i="1" s="1"/>
  <c r="F467" i="1"/>
  <c r="G467" i="1" s="1"/>
  <c r="L466" i="1"/>
  <c r="H466" i="1"/>
  <c r="I466" i="1" s="1"/>
  <c r="K466" i="1" s="1"/>
  <c r="L465" i="1"/>
  <c r="F465" i="1"/>
  <c r="G465" i="1" s="1"/>
  <c r="L464" i="1"/>
  <c r="F464" i="1"/>
  <c r="L463" i="1"/>
  <c r="F463" i="1"/>
  <c r="H463" i="1" s="1"/>
  <c r="L462" i="1"/>
  <c r="F462" i="1"/>
  <c r="L461" i="1"/>
  <c r="F461" i="1"/>
  <c r="L460" i="1"/>
  <c r="F460" i="1"/>
  <c r="H460" i="1" s="1"/>
  <c r="L459" i="1"/>
  <c r="F459" i="1"/>
  <c r="L458" i="1"/>
  <c r="H458" i="1"/>
  <c r="L457" i="1"/>
  <c r="F457" i="1"/>
  <c r="H457" i="1" s="1"/>
  <c r="L456" i="1"/>
  <c r="F456" i="1"/>
  <c r="H456" i="1" s="1"/>
  <c r="L455" i="1"/>
  <c r="F455" i="1"/>
  <c r="H455" i="1" s="1"/>
  <c r="L454" i="1"/>
  <c r="F454" i="1"/>
  <c r="H454" i="1" s="1"/>
  <c r="L452" i="1"/>
  <c r="H452" i="1"/>
  <c r="L451" i="1"/>
  <c r="F451" i="1"/>
  <c r="H451" i="1" s="1"/>
  <c r="L450" i="1"/>
  <c r="F450" i="1"/>
  <c r="H450" i="1" s="1"/>
  <c r="L449" i="1"/>
  <c r="F449" i="1"/>
  <c r="H449" i="1" s="1"/>
  <c r="L448" i="1"/>
  <c r="F448" i="1"/>
  <c r="H448" i="1" s="1"/>
  <c r="L447" i="1"/>
  <c r="F447" i="1"/>
  <c r="E445" i="1"/>
  <c r="D445" i="1"/>
  <c r="C478" i="1" s="1"/>
  <c r="E8" i="2" s="1"/>
  <c r="B445" i="1"/>
  <c r="J283" i="1"/>
  <c r="J286" i="1" s="1"/>
  <c r="E283" i="1"/>
  <c r="I282" i="1"/>
  <c r="K282" i="1" s="1"/>
  <c r="F282" i="1"/>
  <c r="G282" i="1" s="1"/>
  <c r="I278" i="1"/>
  <c r="K278" i="1" s="1"/>
  <c r="F278" i="1"/>
  <c r="G278" i="1" s="1"/>
  <c r="L277" i="1"/>
  <c r="I277" i="1"/>
  <c r="K277" i="1" s="1"/>
  <c r="I276" i="1"/>
  <c r="K276" i="1" s="1"/>
  <c r="F276" i="1"/>
  <c r="G276" i="1" s="1"/>
  <c r="F270" i="1"/>
  <c r="H270" i="1" s="1"/>
  <c r="L269" i="1"/>
  <c r="F269" i="1"/>
  <c r="H269" i="1" s="1"/>
  <c r="L268" i="1"/>
  <c r="F268" i="1"/>
  <c r="H268" i="1" s="1"/>
  <c r="L267" i="1"/>
  <c r="F267" i="1"/>
  <c r="H267" i="1" s="1"/>
  <c r="L266" i="1"/>
  <c r="F266" i="1"/>
  <c r="H266" i="1" s="1"/>
  <c r="E264" i="1"/>
  <c r="D264" i="1"/>
  <c r="C284" i="1" s="1"/>
  <c r="B19" i="2" s="1"/>
  <c r="B264" i="1"/>
  <c r="J417" i="1"/>
  <c r="J420" i="1" s="1"/>
  <c r="E417" i="1"/>
  <c r="I416" i="1"/>
  <c r="K416" i="1" s="1"/>
  <c r="F416" i="1"/>
  <c r="G416" i="1" s="1"/>
  <c r="I414" i="1"/>
  <c r="K414" i="1" s="1"/>
  <c r="F414" i="1"/>
  <c r="G414" i="1" s="1"/>
  <c r="L413" i="1"/>
  <c r="I413" i="1"/>
  <c r="K413" i="1" s="1"/>
  <c r="I412" i="1"/>
  <c r="K412" i="1" s="1"/>
  <c r="G412" i="1"/>
  <c r="L411" i="1"/>
  <c r="L410" i="1"/>
  <c r="H410" i="1"/>
  <c r="L409" i="1"/>
  <c r="L408" i="1"/>
  <c r="G408" i="1"/>
  <c r="L407" i="1"/>
  <c r="L406" i="1"/>
  <c r="L405" i="1"/>
  <c r="E403" i="1"/>
  <c r="D403" i="1"/>
  <c r="C418" i="1" s="1"/>
  <c r="B403" i="1"/>
  <c r="J398" i="1"/>
  <c r="J401" i="1" s="1"/>
  <c r="E398" i="1"/>
  <c r="I397" i="1"/>
  <c r="K397" i="1" s="1"/>
  <c r="F397" i="1"/>
  <c r="G397" i="1" s="1"/>
  <c r="L395" i="1"/>
  <c r="I395" i="1"/>
  <c r="K395" i="1" s="1"/>
  <c r="L394" i="1"/>
  <c r="I394" i="1"/>
  <c r="K394" i="1" s="1"/>
  <c r="H392" i="1"/>
  <c r="G392" i="1"/>
  <c r="H391" i="1"/>
  <c r="G391" i="1"/>
  <c r="L390" i="1"/>
  <c r="H390" i="1"/>
  <c r="I390" i="1" s="1"/>
  <c r="K390" i="1" s="1"/>
  <c r="G390" i="1"/>
  <c r="L389" i="1"/>
  <c r="H389" i="1"/>
  <c r="I389" i="1" s="1"/>
  <c r="K389" i="1" s="1"/>
  <c r="G389" i="1"/>
  <c r="L388" i="1"/>
  <c r="H388" i="1"/>
  <c r="G388" i="1"/>
  <c r="L387" i="1"/>
  <c r="H387" i="1"/>
  <c r="G387" i="1"/>
  <c r="L386" i="1"/>
  <c r="F386" i="1"/>
  <c r="H386" i="1" s="1"/>
  <c r="I386" i="1" s="1"/>
  <c r="L385" i="1"/>
  <c r="F385" i="1"/>
  <c r="H385" i="1" s="1"/>
  <c r="L384" i="1"/>
  <c r="F384" i="1"/>
  <c r="H384" i="1" s="1"/>
  <c r="I384" i="1" s="1"/>
  <c r="L383" i="1"/>
  <c r="F383" i="1"/>
  <c r="H383" i="1" s="1"/>
  <c r="L382" i="1"/>
  <c r="F382" i="1"/>
  <c r="H382" i="1" s="1"/>
  <c r="I382" i="1" s="1"/>
  <c r="L381" i="1"/>
  <c r="F381" i="1"/>
  <c r="G381" i="1" s="1"/>
  <c r="L380" i="1"/>
  <c r="F380" i="1"/>
  <c r="H380" i="1" s="1"/>
  <c r="F379" i="1"/>
  <c r="L378" i="1"/>
  <c r="F378" i="1"/>
  <c r="H378" i="1" s="1"/>
  <c r="L377" i="1"/>
  <c r="L376" i="1"/>
  <c r="F376" i="1"/>
  <c r="H376" i="1" s="1"/>
  <c r="L375" i="1"/>
  <c r="F375" i="1"/>
  <c r="E373" i="1"/>
  <c r="B373" i="1"/>
  <c r="J368" i="1"/>
  <c r="J371" i="1" s="1"/>
  <c r="E368" i="1"/>
  <c r="L367" i="1"/>
  <c r="I367" i="1"/>
  <c r="K367" i="1" s="1"/>
  <c r="F367" i="1"/>
  <c r="G367" i="1" s="1"/>
  <c r="L364" i="1"/>
  <c r="I364" i="1"/>
  <c r="K364" i="1" s="1"/>
  <c r="F364" i="1"/>
  <c r="G364" i="1" s="1"/>
  <c r="L363" i="1"/>
  <c r="I363" i="1"/>
  <c r="K363" i="1" s="1"/>
  <c r="F363" i="1"/>
  <c r="G363" i="1" s="1"/>
  <c r="L362" i="1"/>
  <c r="H362" i="1"/>
  <c r="L361" i="1"/>
  <c r="H361" i="1"/>
  <c r="F360" i="1"/>
  <c r="H360" i="1" s="1"/>
  <c r="L359" i="1"/>
  <c r="F359" i="1"/>
  <c r="H359" i="1" s="1"/>
  <c r="L357" i="1"/>
  <c r="F357" i="1"/>
  <c r="H357" i="1" s="1"/>
  <c r="L356" i="1"/>
  <c r="F356" i="1"/>
  <c r="L354" i="1"/>
  <c r="F354" i="1"/>
  <c r="L353" i="1"/>
  <c r="F353" i="1"/>
  <c r="L352" i="1"/>
  <c r="F352" i="1"/>
  <c r="G352" i="1" s="1"/>
  <c r="L351" i="1"/>
  <c r="F351" i="1"/>
  <c r="L350" i="1"/>
  <c r="F350" i="1"/>
  <c r="G350" i="1" s="1"/>
  <c r="L349" i="1"/>
  <c r="F349" i="1"/>
  <c r="L348" i="1"/>
  <c r="F348" i="1"/>
  <c r="H348" i="1" s="1"/>
  <c r="L347" i="1"/>
  <c r="F347" i="1"/>
  <c r="L346" i="1"/>
  <c r="F346" i="1"/>
  <c r="G346" i="1" s="1"/>
  <c r="L345" i="1"/>
  <c r="F345" i="1"/>
  <c r="L344" i="1"/>
  <c r="F344" i="1"/>
  <c r="L343" i="1"/>
  <c r="F343" i="1"/>
  <c r="E341" i="1"/>
  <c r="D341" i="1"/>
  <c r="C369" i="1" s="1"/>
  <c r="B21" i="2" s="1"/>
  <c r="B341" i="1"/>
  <c r="J336" i="1"/>
  <c r="J339" i="1" s="1"/>
  <c r="E336" i="1"/>
  <c r="I335" i="1"/>
  <c r="K335" i="1" s="1"/>
  <c r="F335" i="1"/>
  <c r="G335" i="1" s="1"/>
  <c r="I332" i="1"/>
  <c r="K332" i="1" s="1"/>
  <c r="I331" i="1"/>
  <c r="K331" i="1" s="1"/>
  <c r="F331" i="1"/>
  <c r="G331" i="1" s="1"/>
  <c r="L330" i="1"/>
  <c r="I330" i="1"/>
  <c r="K330" i="1" s="1"/>
  <c r="F327" i="1"/>
  <c r="H327" i="1" s="1"/>
  <c r="F326" i="1"/>
  <c r="H326" i="1" s="1"/>
  <c r="F321" i="1"/>
  <c r="L320" i="1"/>
  <c r="F320" i="1"/>
  <c r="G320" i="1" s="1"/>
  <c r="F319" i="1"/>
  <c r="L318" i="1"/>
  <c r="F318" i="1"/>
  <c r="L317" i="1"/>
  <c r="F317" i="1"/>
  <c r="G317" i="1" s="1"/>
  <c r="L316" i="1"/>
  <c r="F316" i="1"/>
  <c r="L315" i="1"/>
  <c r="F315" i="1"/>
  <c r="L314" i="1"/>
  <c r="F314" i="1"/>
  <c r="H314" i="1" s="1"/>
  <c r="L313" i="1"/>
  <c r="F313" i="1"/>
  <c r="H313" i="1" s="1"/>
  <c r="L310" i="1"/>
  <c r="F310" i="1"/>
  <c r="H310" i="1" s="1"/>
  <c r="I310" i="1" s="1"/>
  <c r="L309" i="1"/>
  <c r="F309" i="1"/>
  <c r="H309" i="1" s="1"/>
  <c r="L308" i="1"/>
  <c r="F308" i="1"/>
  <c r="E306" i="1"/>
  <c r="C337" i="1"/>
  <c r="B306" i="1"/>
  <c r="J301" i="1"/>
  <c r="E301" i="1"/>
  <c r="I300" i="1"/>
  <c r="K300" i="1" s="1"/>
  <c r="F300" i="1"/>
  <c r="G300" i="1" s="1"/>
  <c r="I299" i="1"/>
  <c r="K299" i="1" s="1"/>
  <c r="F299" i="1"/>
  <c r="G299" i="1" s="1"/>
  <c r="L298" i="1"/>
  <c r="I298" i="1"/>
  <c r="K298" i="1" s="1"/>
  <c r="I297" i="1"/>
  <c r="K297" i="1" s="1"/>
  <c r="F297" i="1"/>
  <c r="G297" i="1" s="1"/>
  <c r="L296" i="1"/>
  <c r="F296" i="1"/>
  <c r="H296" i="1" s="1"/>
  <c r="L295" i="1"/>
  <c r="F295" i="1"/>
  <c r="L294" i="1"/>
  <c r="F294" i="1"/>
  <c r="H294" i="1" s="1"/>
  <c r="L293" i="1"/>
  <c r="F293" i="1"/>
  <c r="L292" i="1"/>
  <c r="F292" i="1"/>
  <c r="H292" i="1" s="1"/>
  <c r="L291" i="1"/>
  <c r="F291" i="1"/>
  <c r="L290" i="1"/>
  <c r="F290" i="1"/>
  <c r="E288" i="1"/>
  <c r="D288" i="1"/>
  <c r="C302" i="1" s="1"/>
  <c r="B18" i="2" s="1"/>
  <c r="B288" i="1"/>
  <c r="J259" i="1"/>
  <c r="J262" i="1" s="1"/>
  <c r="E259" i="1"/>
  <c r="F258" i="1"/>
  <c r="G258" i="1" s="1"/>
  <c r="I257" i="1"/>
  <c r="K257" i="1" s="1"/>
  <c r="F257" i="1"/>
  <c r="G257" i="1" s="1"/>
  <c r="L255" i="1"/>
  <c r="I255" i="1"/>
  <c r="K255" i="1" s="1"/>
  <c r="F251" i="1"/>
  <c r="L250" i="1"/>
  <c r="F250" i="1"/>
  <c r="G250" i="1" s="1"/>
  <c r="L249" i="1"/>
  <c r="F249" i="1"/>
  <c r="H249" i="1" s="1"/>
  <c r="I249" i="1" s="1"/>
  <c r="L248" i="1"/>
  <c r="F248" i="1"/>
  <c r="H248" i="1" s="1"/>
  <c r="L247" i="1"/>
  <c r="F247" i="1"/>
  <c r="H247" i="1" s="1"/>
  <c r="I247" i="1" s="1"/>
  <c r="L246" i="1"/>
  <c r="F246" i="1"/>
  <c r="H246" i="1" s="1"/>
  <c r="I246" i="1" s="1"/>
  <c r="L245" i="1"/>
  <c r="F245" i="1"/>
  <c r="H245" i="1" s="1"/>
  <c r="I245" i="1" s="1"/>
  <c r="L243" i="1"/>
  <c r="F243" i="1"/>
  <c r="L242" i="1"/>
  <c r="F242" i="1"/>
  <c r="H242" i="1" s="1"/>
  <c r="E240" i="1"/>
  <c r="C260" i="1"/>
  <c r="B17" i="2" s="1"/>
  <c r="B240" i="1"/>
  <c r="J235" i="1"/>
  <c r="J238" i="1" s="1"/>
  <c r="E235" i="1"/>
  <c r="I234" i="1"/>
  <c r="K234" i="1" s="1"/>
  <c r="F234" i="1"/>
  <c r="G234" i="1" s="1"/>
  <c r="I231" i="1"/>
  <c r="K231" i="1" s="1"/>
  <c r="F231" i="1"/>
  <c r="G231" i="1" s="1"/>
  <c r="L230" i="1"/>
  <c r="I230" i="1"/>
  <c r="K230" i="1" s="1"/>
  <c r="F227" i="1"/>
  <c r="F226" i="1"/>
  <c r="F223" i="1"/>
  <c r="G223" i="1" s="1"/>
  <c r="F222" i="1"/>
  <c r="F221" i="1"/>
  <c r="H221" i="1" s="1"/>
  <c r="I221" i="1" s="1"/>
  <c r="F220" i="1"/>
  <c r="F219" i="1"/>
  <c r="H219" i="1" s="1"/>
  <c r="E217" i="1"/>
  <c r="D217" i="1"/>
  <c r="C236" i="1" s="1"/>
  <c r="B16" i="2" s="1"/>
  <c r="B217" i="1"/>
  <c r="J212" i="1"/>
  <c r="J215" i="1" s="1"/>
  <c r="E212" i="1"/>
  <c r="L211" i="1"/>
  <c r="I211" i="1"/>
  <c r="K211" i="1" s="1"/>
  <c r="F211" i="1"/>
  <c r="G211" i="1" s="1"/>
  <c r="I209" i="1"/>
  <c r="K209" i="1" s="1"/>
  <c r="F209" i="1"/>
  <c r="G209" i="1" s="1"/>
  <c r="I208" i="1"/>
  <c r="K208" i="1" s="1"/>
  <c r="I207" i="1"/>
  <c r="K207" i="1" s="1"/>
  <c r="F207" i="1"/>
  <c r="G207" i="1" s="1"/>
  <c r="I206" i="1"/>
  <c r="K206" i="1" s="1"/>
  <c r="F206" i="1"/>
  <c r="G206" i="1" s="1"/>
  <c r="L205" i="1"/>
  <c r="I205" i="1"/>
  <c r="K205" i="1" s="1"/>
  <c r="F205" i="1"/>
  <c r="G205" i="1" s="1"/>
  <c r="F203" i="1"/>
  <c r="H203" i="1" s="1"/>
  <c r="I203" i="1" s="1"/>
  <c r="F202" i="1"/>
  <c r="F201" i="1"/>
  <c r="H201" i="1" s="1"/>
  <c r="I201" i="1" s="1"/>
  <c r="F200" i="1"/>
  <c r="L199" i="1"/>
  <c r="F199" i="1"/>
  <c r="F198" i="1"/>
  <c r="F197" i="1"/>
  <c r="H197" i="1" s="1"/>
  <c r="F196" i="1"/>
  <c r="H196" i="1" s="1"/>
  <c r="I196" i="1" s="1"/>
  <c r="F195" i="1"/>
  <c r="F194" i="1"/>
  <c r="H194" i="1" s="1"/>
  <c r="I194" i="1" s="1"/>
  <c r="L193" i="1"/>
  <c r="F193" i="1"/>
  <c r="L192" i="1"/>
  <c r="F192" i="1"/>
  <c r="L191" i="1"/>
  <c r="F191" i="1"/>
  <c r="H191" i="1" s="1"/>
  <c r="I191" i="1" s="1"/>
  <c r="L190" i="1"/>
  <c r="F190" i="1"/>
  <c r="H190" i="1" s="1"/>
  <c r="L189" i="1"/>
  <c r="F189" i="1"/>
  <c r="H189" i="1" s="1"/>
  <c r="I189" i="1" s="1"/>
  <c r="L188" i="1"/>
  <c r="F188" i="1"/>
  <c r="H188" i="1" s="1"/>
  <c r="E186" i="1"/>
  <c r="D186" i="1"/>
  <c r="C213" i="1" s="1"/>
  <c r="B186" i="1"/>
  <c r="J181" i="1"/>
  <c r="E181" i="1"/>
  <c r="F180" i="1"/>
  <c r="G180" i="1" s="1"/>
  <c r="I178" i="1"/>
  <c r="K178" i="1" s="1"/>
  <c r="F178" i="1"/>
  <c r="G178" i="1" s="1"/>
  <c r="L177" i="1"/>
  <c r="I177" i="1"/>
  <c r="K177" i="1" s="1"/>
  <c r="I176" i="1"/>
  <c r="K176" i="1" s="1"/>
  <c r="F176" i="1"/>
  <c r="G176" i="1" s="1"/>
  <c r="L175" i="1"/>
  <c r="F175" i="1"/>
  <c r="L174" i="1"/>
  <c r="F174" i="1"/>
  <c r="G174" i="1" s="1"/>
  <c r="L173" i="1"/>
  <c r="F173" i="1"/>
  <c r="L172" i="1"/>
  <c r="F172" i="1"/>
  <c r="L171" i="1"/>
  <c r="F171" i="1"/>
  <c r="L170" i="1"/>
  <c r="F170" i="1"/>
  <c r="H170" i="1" s="1"/>
  <c r="L169" i="1"/>
  <c r="F169" i="1"/>
  <c r="E167" i="1"/>
  <c r="D167" i="1"/>
  <c r="C182" i="1" s="1"/>
  <c r="B167" i="1"/>
  <c r="J162" i="1"/>
  <c r="J165" i="1" s="1"/>
  <c r="E162" i="1"/>
  <c r="I161" i="1"/>
  <c r="K161" i="1" s="1"/>
  <c r="F161" i="1"/>
  <c r="G161" i="1" s="1"/>
  <c r="I160" i="1"/>
  <c r="K160" i="1" s="1"/>
  <c r="I159" i="1"/>
  <c r="K159" i="1" s="1"/>
  <c r="F159" i="1"/>
  <c r="G159" i="1" s="1"/>
  <c r="L158" i="1"/>
  <c r="I158" i="1"/>
  <c r="K158" i="1" s="1"/>
  <c r="F152" i="1"/>
  <c r="F151" i="1"/>
  <c r="L150" i="1"/>
  <c r="F150" i="1"/>
  <c r="H150" i="1" s="1"/>
  <c r="I150" i="1" s="1"/>
  <c r="L149" i="1"/>
  <c r="F149" i="1"/>
  <c r="H149" i="1" s="1"/>
  <c r="I149" i="1" s="1"/>
  <c r="L148" i="1"/>
  <c r="F148" i="1"/>
  <c r="L147" i="1"/>
  <c r="F147" i="1"/>
  <c r="H147" i="1" s="1"/>
  <c r="I147" i="1" s="1"/>
  <c r="L146" i="1"/>
  <c r="F146" i="1"/>
  <c r="H146" i="1" s="1"/>
  <c r="L145" i="1"/>
  <c r="F145" i="1"/>
  <c r="H145" i="1" s="1"/>
  <c r="I145" i="1" s="1"/>
  <c r="L144" i="1"/>
  <c r="F144" i="1"/>
  <c r="L143" i="1"/>
  <c r="F143" i="1"/>
  <c r="H143" i="1" s="1"/>
  <c r="L142" i="1"/>
  <c r="F142" i="1"/>
  <c r="E140" i="1"/>
  <c r="D140" i="1"/>
  <c r="C163" i="1" s="1"/>
  <c r="B140" i="1"/>
  <c r="J138" i="1"/>
  <c r="L134" i="1"/>
  <c r="I134" i="1"/>
  <c r="K134" i="1" s="1"/>
  <c r="F134" i="1"/>
  <c r="G134" i="1" s="1"/>
  <c r="F132" i="1"/>
  <c r="G132" i="1" s="1"/>
  <c r="L131" i="1"/>
  <c r="I131" i="1"/>
  <c r="K131" i="1" s="1"/>
  <c r="F131" i="1"/>
  <c r="G131" i="1" s="1"/>
  <c r="L130" i="1"/>
  <c r="L129" i="1"/>
  <c r="I129" i="1"/>
  <c r="K129" i="1" s="1"/>
  <c r="L128" i="1"/>
  <c r="I128" i="1"/>
  <c r="K128" i="1" s="1"/>
  <c r="K126" i="1"/>
  <c r="L125" i="1"/>
  <c r="F125" i="1"/>
  <c r="L124" i="1"/>
  <c r="F124" i="1"/>
  <c r="H124" i="1" s="1"/>
  <c r="L123" i="1"/>
  <c r="F123" i="1"/>
  <c r="L122" i="1"/>
  <c r="F122" i="1"/>
  <c r="L121" i="1"/>
  <c r="F121" i="1"/>
  <c r="H121" i="1" s="1"/>
  <c r="L120" i="1"/>
  <c r="F120" i="1"/>
  <c r="H120" i="1" s="1"/>
  <c r="L118" i="1"/>
  <c r="F118" i="1"/>
  <c r="L117" i="1"/>
  <c r="F117" i="1"/>
  <c r="H117" i="1" s="1"/>
  <c r="L116" i="1"/>
  <c r="F116" i="1"/>
  <c r="L115" i="1"/>
  <c r="F115" i="1"/>
  <c r="L114" i="1"/>
  <c r="F114" i="1"/>
  <c r="H114" i="1" s="1"/>
  <c r="E112" i="1"/>
  <c r="D112" i="1"/>
  <c r="B112" i="1"/>
  <c r="J107" i="1"/>
  <c r="J110" i="1" s="1"/>
  <c r="E107" i="1"/>
  <c r="L106" i="1"/>
  <c r="I106" i="1"/>
  <c r="K106" i="1" s="1"/>
  <c r="F106" i="1"/>
  <c r="G106" i="1" s="1"/>
  <c r="I105" i="1"/>
  <c r="K105" i="1" s="1"/>
  <c r="F105" i="1"/>
  <c r="G105" i="1" s="1"/>
  <c r="I104" i="1"/>
  <c r="K104" i="1" s="1"/>
  <c r="I103" i="1"/>
  <c r="K103" i="1" s="1"/>
  <c r="F103" i="1"/>
  <c r="G103" i="1" s="1"/>
  <c r="L102" i="1"/>
  <c r="I102" i="1"/>
  <c r="K102" i="1" s="1"/>
  <c r="F102" i="1"/>
  <c r="G102" i="1" s="1"/>
  <c r="L101" i="1"/>
  <c r="I101" i="1"/>
  <c r="K101" i="1" s="1"/>
  <c r="F101" i="1"/>
  <c r="G101" i="1" s="1"/>
  <c r="K98" i="1"/>
  <c r="F97" i="1"/>
  <c r="G97" i="1" s="1"/>
  <c r="F96" i="1"/>
  <c r="H96" i="1" s="1"/>
  <c r="I96" i="1" s="1"/>
  <c r="L95" i="1"/>
  <c r="F95" i="1"/>
  <c r="H95" i="1" s="1"/>
  <c r="I95" i="1" s="1"/>
  <c r="L94" i="1"/>
  <c r="F94" i="1"/>
  <c r="H94" i="1" s="1"/>
  <c r="I94" i="1" s="1"/>
  <c r="L93" i="1"/>
  <c r="F93" i="1"/>
  <c r="H93" i="1" s="1"/>
  <c r="I93" i="1" s="1"/>
  <c r="L92" i="1"/>
  <c r="F92" i="1"/>
  <c r="H92" i="1" s="1"/>
  <c r="I92" i="1" s="1"/>
  <c r="L91" i="1"/>
  <c r="F91" i="1"/>
  <c r="H91" i="1" s="1"/>
  <c r="I91" i="1" s="1"/>
  <c r="L90" i="1"/>
  <c r="F90" i="1"/>
  <c r="H90" i="1" s="1"/>
  <c r="L88" i="1"/>
  <c r="F88" i="1"/>
  <c r="G88" i="1" s="1"/>
  <c r="L87" i="1"/>
  <c r="F87" i="1"/>
  <c r="H87" i="1" s="1"/>
  <c r="I87" i="1" s="1"/>
  <c r="L86" i="1"/>
  <c r="F86" i="1"/>
  <c r="L85" i="1"/>
  <c r="F85" i="1"/>
  <c r="H85" i="1" s="1"/>
  <c r="I85" i="1" s="1"/>
  <c r="L84" i="1"/>
  <c r="F84" i="1"/>
  <c r="H84" i="1" s="1"/>
  <c r="I84" i="1" s="1"/>
  <c r="E82" i="1"/>
  <c r="C108" i="1"/>
  <c r="B82" i="1"/>
  <c r="J77" i="1"/>
  <c r="J80" i="1" s="1"/>
  <c r="E77" i="1"/>
  <c r="L76" i="1"/>
  <c r="I76" i="1"/>
  <c r="K76" i="1" s="1"/>
  <c r="F76" i="1"/>
  <c r="G76" i="1" s="1"/>
  <c r="H75" i="1"/>
  <c r="F75" i="1"/>
  <c r="G75" i="1" s="1"/>
  <c r="L74" i="1"/>
  <c r="I74" i="1"/>
  <c r="K74" i="1" s="1"/>
  <c r="F74" i="1"/>
  <c r="G74" i="1" s="1"/>
  <c r="L73" i="1"/>
  <c r="H73" i="1"/>
  <c r="I73" i="1" s="1"/>
  <c r="K73" i="1" s="1"/>
  <c r="L72" i="1"/>
  <c r="F72" i="1"/>
  <c r="H72" i="1" s="1"/>
  <c r="I72" i="1" s="1"/>
  <c r="L71" i="1"/>
  <c r="F71" i="1"/>
  <c r="H71" i="1" s="1"/>
  <c r="I71" i="1" s="1"/>
  <c r="L70" i="1"/>
  <c r="F70" i="1"/>
  <c r="H70" i="1" s="1"/>
  <c r="I70" i="1" s="1"/>
  <c r="L69" i="1"/>
  <c r="F69" i="1"/>
  <c r="H69" i="1" s="1"/>
  <c r="L68" i="1"/>
  <c r="F68" i="1"/>
  <c r="H68" i="1" s="1"/>
  <c r="I68" i="1" s="1"/>
  <c r="L67" i="1"/>
  <c r="F67" i="1"/>
  <c r="H67" i="1" s="1"/>
  <c r="I67" i="1" s="1"/>
  <c r="L66" i="1"/>
  <c r="F66" i="1"/>
  <c r="H66" i="1" s="1"/>
  <c r="I66" i="1" s="1"/>
  <c r="L65" i="1"/>
  <c r="F65" i="1"/>
  <c r="H65" i="1" s="1"/>
  <c r="L64" i="1"/>
  <c r="F64" i="1"/>
  <c r="H64" i="1" s="1"/>
  <c r="E62" i="1"/>
  <c r="D62" i="1"/>
  <c r="C78" i="1" s="1"/>
  <c r="B9" i="2" s="1"/>
  <c r="B62" i="1"/>
  <c r="J60" i="1"/>
  <c r="J56" i="1"/>
  <c r="E56" i="1"/>
  <c r="L55" i="1"/>
  <c r="F55" i="1"/>
  <c r="G55" i="1" s="1"/>
  <c r="F54" i="1"/>
  <c r="G54" i="1" s="1"/>
  <c r="F53" i="1"/>
  <c r="G53" i="1" s="1"/>
  <c r="L52" i="1"/>
  <c r="I52" i="1"/>
  <c r="K52" i="1" s="1"/>
  <c r="F52" i="1"/>
  <c r="G52" i="1" s="1"/>
  <c r="L51" i="1"/>
  <c r="F51" i="1"/>
  <c r="G51" i="1" s="1"/>
  <c r="L50" i="1"/>
  <c r="F50" i="1"/>
  <c r="L49" i="1"/>
  <c r="F49" i="1"/>
  <c r="G49" i="1" s="1"/>
  <c r="L48" i="1"/>
  <c r="F48" i="1"/>
  <c r="L46" i="1"/>
  <c r="F46" i="1"/>
  <c r="H46" i="1" s="1"/>
  <c r="L44" i="1"/>
  <c r="F44" i="1"/>
  <c r="L43" i="1"/>
  <c r="F43" i="1"/>
  <c r="G43" i="1" s="1"/>
  <c r="L42" i="1"/>
  <c r="F42" i="1"/>
  <c r="P41" i="1"/>
  <c r="L41" i="1"/>
  <c r="F41" i="1"/>
  <c r="H41" i="1" s="1"/>
  <c r="L40" i="1"/>
  <c r="F40" i="1"/>
  <c r="H40" i="1" s="1"/>
  <c r="I40" i="1" s="1"/>
  <c r="L39" i="1"/>
  <c r="F39" i="1"/>
  <c r="H39" i="1" s="1"/>
  <c r="I39" i="1" s="1"/>
  <c r="L38" i="1"/>
  <c r="F38" i="1"/>
  <c r="H38" i="1" s="1"/>
  <c r="I38" i="1" s="1"/>
  <c r="L37" i="1"/>
  <c r="F37" i="1"/>
  <c r="H37" i="1" s="1"/>
  <c r="L36" i="1"/>
  <c r="F36" i="1"/>
  <c r="E34" i="1"/>
  <c r="D34" i="1"/>
  <c r="C57" i="1" s="1"/>
  <c r="B8" i="2" s="1"/>
  <c r="M32" i="1"/>
  <c r="J29" i="1"/>
  <c r="J32" i="1" s="1"/>
  <c r="E29" i="1"/>
  <c r="P28" i="1"/>
  <c r="I28" i="1"/>
  <c r="F28" i="1"/>
  <c r="G28" i="1" s="1"/>
  <c r="L27" i="1"/>
  <c r="I27" i="1"/>
  <c r="K27" i="1" s="1"/>
  <c r="L26" i="1"/>
  <c r="I26" i="1"/>
  <c r="K26" i="1" s="1"/>
  <c r="F26" i="1"/>
  <c r="G26" i="1" s="1"/>
  <c r="L25" i="1"/>
  <c r="H25" i="1"/>
  <c r="F25" i="1"/>
  <c r="G25" i="1" s="1"/>
  <c r="L24" i="1"/>
  <c r="I24" i="1"/>
  <c r="K24" i="1" s="1"/>
  <c r="F24" i="1"/>
  <c r="G24" i="1" s="1"/>
  <c r="F23" i="1"/>
  <c r="H23" i="1" s="1"/>
  <c r="L22" i="1"/>
  <c r="I22" i="1"/>
  <c r="K22" i="1" s="1"/>
  <c r="I21" i="1"/>
  <c r="K21" i="1" s="1"/>
  <c r="F18" i="1"/>
  <c r="H18" i="1" s="1"/>
  <c r="I18" i="1" s="1"/>
  <c r="F17" i="1"/>
  <c r="G17" i="1" s="1"/>
  <c r="F16" i="1"/>
  <c r="H16" i="1" s="1"/>
  <c r="F15" i="1"/>
  <c r="F14" i="1"/>
  <c r="H14" i="1" s="1"/>
  <c r="I14" i="1" s="1"/>
  <c r="F13" i="1"/>
  <c r="H13" i="1" s="1"/>
  <c r="F11" i="1"/>
  <c r="H11" i="1" s="1"/>
  <c r="I11" i="1" s="1"/>
  <c r="P10" i="1"/>
  <c r="L9" i="1"/>
  <c r="F9" i="1"/>
  <c r="H9" i="1" s="1"/>
  <c r="L8" i="1"/>
  <c r="F8" i="1"/>
  <c r="L7" i="1"/>
  <c r="F7" i="1"/>
  <c r="H7" i="1" s="1"/>
  <c r="L6" i="1"/>
  <c r="F6" i="1"/>
  <c r="L5" i="1"/>
  <c r="F5" i="1"/>
  <c r="G5" i="1" s="1"/>
  <c r="L4" i="1"/>
  <c r="F4" i="1"/>
  <c r="E2" i="1"/>
  <c r="D2" i="1"/>
  <c r="C30" i="1" s="1"/>
  <c r="G1565" i="1" l="1"/>
  <c r="H1565" i="1"/>
  <c r="G1135" i="1"/>
  <c r="H1135" i="1"/>
  <c r="H1137" i="1"/>
  <c r="I1137" i="1" s="1"/>
  <c r="K1137" i="1" s="1"/>
  <c r="G1443" i="1"/>
  <c r="H1443" i="1"/>
  <c r="I1443" i="1" s="1"/>
  <c r="J1828" i="1"/>
  <c r="H13" i="2"/>
  <c r="C1828" i="1"/>
  <c r="C1479" i="1"/>
  <c r="H17" i="2" s="1"/>
  <c r="G1159" i="1"/>
  <c r="E1828" i="1"/>
  <c r="B23" i="2"/>
  <c r="C1063" i="1"/>
  <c r="J1067" i="1"/>
  <c r="J184" i="1"/>
  <c r="C136" i="1"/>
  <c r="G108" i="1" s="1"/>
  <c r="H9" i="2"/>
  <c r="G117" i="1"/>
  <c r="H972" i="1"/>
  <c r="I972" i="1" s="1"/>
  <c r="K972" i="1" s="1"/>
  <c r="E17" i="2"/>
  <c r="I1648" i="1"/>
  <c r="K1648" i="1" s="1"/>
  <c r="C1202" i="1"/>
  <c r="H10" i="2" s="1"/>
  <c r="J1204" i="1"/>
  <c r="J1583" i="1"/>
  <c r="C1557" i="1"/>
  <c r="K8" i="2" s="1"/>
  <c r="B10" i="2"/>
  <c r="B15" i="2"/>
  <c r="G213" i="1"/>
  <c r="J1272" i="1"/>
  <c r="K10" i="2"/>
  <c r="K1823" i="1"/>
  <c r="K1826" i="1" s="1"/>
  <c r="B13" i="2"/>
  <c r="B20" i="2"/>
  <c r="J304" i="1"/>
  <c r="G658" i="1"/>
  <c r="H658" i="1"/>
  <c r="C582" i="1"/>
  <c r="E11" i="2" s="1"/>
  <c r="H861" i="1"/>
  <c r="I861" i="1" s="1"/>
  <c r="K861" i="1" s="1"/>
  <c r="G861" i="1"/>
  <c r="G308" i="1"/>
  <c r="F336" i="1"/>
  <c r="C338" i="1" s="1"/>
  <c r="H1146" i="1"/>
  <c r="I1146" i="1" s="1"/>
  <c r="K1146" i="1" s="1"/>
  <c r="I313" i="1"/>
  <c r="K313" i="1" s="1"/>
  <c r="I360" i="1"/>
  <c r="K360" i="1" s="1"/>
  <c r="G170" i="1"/>
  <c r="I170" i="1"/>
  <c r="K170" i="1" s="1"/>
  <c r="L827" i="1"/>
  <c r="L830" i="1" s="1"/>
  <c r="F135" i="1"/>
  <c r="L513" i="1"/>
  <c r="L516" i="1" s="1"/>
  <c r="L581" i="1"/>
  <c r="L584" i="1" s="1"/>
  <c r="J1249" i="1"/>
  <c r="C1247" i="1"/>
  <c r="L880" i="1"/>
  <c r="L883" i="1" s="1"/>
  <c r="I495" i="1"/>
  <c r="K495" i="1" s="1"/>
  <c r="H650" i="1"/>
  <c r="F670" i="1"/>
  <c r="C672" i="1" s="1"/>
  <c r="H677" i="1"/>
  <c r="I677" i="1" s="1"/>
  <c r="F697" i="1"/>
  <c r="C699" i="1" s="1"/>
  <c r="E34" i="2" s="1"/>
  <c r="H496" i="1"/>
  <c r="I496" i="1" s="1"/>
  <c r="K496" i="1" s="1"/>
  <c r="F513" i="1"/>
  <c r="C515" i="1" s="1"/>
  <c r="L763" i="1"/>
  <c r="L766" i="1" s="1"/>
  <c r="L670" i="1"/>
  <c r="L673" i="1" s="1"/>
  <c r="I705" i="1"/>
  <c r="F726" i="1"/>
  <c r="C728" i="1" s="1"/>
  <c r="E35" i="2" s="1"/>
  <c r="L697" i="1"/>
  <c r="L700" i="1" s="1"/>
  <c r="L905" i="1"/>
  <c r="L908" i="1" s="1"/>
  <c r="H888" i="1"/>
  <c r="I888" i="1" s="1"/>
  <c r="F905" i="1"/>
  <c r="C907" i="1" s="1"/>
  <c r="L632" i="1"/>
  <c r="L635" i="1" s="1"/>
  <c r="L726" i="1"/>
  <c r="L729" i="1" s="1"/>
  <c r="F540" i="1"/>
  <c r="C542" i="1" s="1"/>
  <c r="E30" i="2" s="1"/>
  <c r="H447" i="1"/>
  <c r="I447" i="1" s="1"/>
  <c r="F477" i="1"/>
  <c r="C479" i="1" s="1"/>
  <c r="H560" i="1"/>
  <c r="F581" i="1"/>
  <c r="H809" i="1"/>
  <c r="F827" i="1"/>
  <c r="C829" i="1" s="1"/>
  <c r="I100" i="1"/>
  <c r="K100" i="1" s="1"/>
  <c r="H734" i="1"/>
  <c r="I734" i="1" s="1"/>
  <c r="F763" i="1"/>
  <c r="C765" i="1" s="1"/>
  <c r="G1049" i="1"/>
  <c r="H1049" i="1"/>
  <c r="I1049" i="1" s="1"/>
  <c r="K1049" i="1" s="1"/>
  <c r="H1048" i="1"/>
  <c r="I1061" i="1" s="1"/>
  <c r="H617" i="1"/>
  <c r="I617" i="1" s="1"/>
  <c r="K617" i="1" s="1"/>
  <c r="H865" i="1"/>
  <c r="I865" i="1" s="1"/>
  <c r="I616" i="1"/>
  <c r="K616" i="1" s="1"/>
  <c r="G893" i="1"/>
  <c r="H893" i="1"/>
  <c r="I893" i="1" s="1"/>
  <c r="K893" i="1" s="1"/>
  <c r="I916" i="1"/>
  <c r="K916" i="1" s="1"/>
  <c r="H944" i="1"/>
  <c r="G757" i="1"/>
  <c r="H757" i="1"/>
  <c r="G863" i="1"/>
  <c r="I863" i="1"/>
  <c r="K863" i="1" s="1"/>
  <c r="I468" i="1"/>
  <c r="K468" i="1" s="1"/>
  <c r="C1641" i="1"/>
  <c r="J1643" i="1"/>
  <c r="I188" i="1"/>
  <c r="K188" i="1" s="1"/>
  <c r="F212" i="1"/>
  <c r="C214" i="1" s="1"/>
  <c r="C881" i="1"/>
  <c r="G764" i="1" s="1"/>
  <c r="J883" i="1"/>
  <c r="G251" i="1"/>
  <c r="H251" i="1"/>
  <c r="G227" i="1"/>
  <c r="H227" i="1"/>
  <c r="G152" i="1"/>
  <c r="H152" i="1"/>
  <c r="K876" i="1"/>
  <c r="I499" i="1"/>
  <c r="K499" i="1" s="1"/>
  <c r="H511" i="1"/>
  <c r="I511" i="1" s="1"/>
  <c r="K511" i="1" s="1"/>
  <c r="G469" i="1"/>
  <c r="I469" i="1"/>
  <c r="K469" i="1" s="1"/>
  <c r="G504" i="1"/>
  <c r="I504" i="1"/>
  <c r="K504" i="1" s="1"/>
  <c r="H1057" i="1"/>
  <c r="I1057" i="1" s="1"/>
  <c r="K1058" i="1"/>
  <c r="G512" i="1"/>
  <c r="H512" i="1"/>
  <c r="I512" i="1" s="1"/>
  <c r="K512" i="1" s="1"/>
  <c r="G448" i="1"/>
  <c r="G452" i="1"/>
  <c r="I455" i="1"/>
  <c r="K455" i="1" s="1"/>
  <c r="G457" i="1"/>
  <c r="G459" i="1"/>
  <c r="H459" i="1"/>
  <c r="G539" i="1"/>
  <c r="I539" i="1"/>
  <c r="K539" i="1" s="1"/>
  <c r="K1056" i="1"/>
  <c r="G811" i="1"/>
  <c r="I811" i="1"/>
  <c r="I706" i="1"/>
  <c r="K706" i="1" s="1"/>
  <c r="I709" i="1"/>
  <c r="K709" i="1" s="1"/>
  <c r="G650" i="1"/>
  <c r="G565" i="1"/>
  <c r="I565" i="1"/>
  <c r="K565" i="1" s="1"/>
  <c r="G527" i="1"/>
  <c r="I527" i="1"/>
  <c r="K527" i="1" s="1"/>
  <c r="G734" i="1"/>
  <c r="G740" i="1"/>
  <c r="I740" i="1"/>
  <c r="K740" i="1" s="1"/>
  <c r="H1745" i="1"/>
  <c r="I1745" i="1" s="1"/>
  <c r="K1745" i="1" s="1"/>
  <c r="H1668" i="1"/>
  <c r="I1668" i="1" s="1"/>
  <c r="K1668" i="1" s="1"/>
  <c r="G1692" i="1"/>
  <c r="G1597" i="1"/>
  <c r="G1633" i="1"/>
  <c r="H1215" i="1"/>
  <c r="I1215" i="1" s="1"/>
  <c r="K1215" i="1" s="1"/>
  <c r="G1653" i="1"/>
  <c r="K1654" i="1"/>
  <c r="K1778" i="1"/>
  <c r="G904" i="1"/>
  <c r="H1172" i="1"/>
  <c r="I1172" i="1" s="1"/>
  <c r="G1188" i="1"/>
  <c r="H1753" i="1"/>
  <c r="I1753" i="1" s="1"/>
  <c r="K1753" i="1" s="1"/>
  <c r="H1165" i="1"/>
  <c r="I1165" i="1" s="1"/>
  <c r="K1169" i="1"/>
  <c r="H897" i="1"/>
  <c r="I897" i="1" s="1"/>
  <c r="K897" i="1" s="1"/>
  <c r="G1445" i="1"/>
  <c r="G1471" i="1"/>
  <c r="G1587" i="1"/>
  <c r="K1590" i="1"/>
  <c r="G1593" i="1"/>
  <c r="G1672" i="1"/>
  <c r="G1714" i="1"/>
  <c r="H1789" i="1"/>
  <c r="I1789" i="1" s="1"/>
  <c r="K1789" i="1" s="1"/>
  <c r="G611" i="1"/>
  <c r="G1112" i="1"/>
  <c r="G1167" i="1"/>
  <c r="H1217" i="1"/>
  <c r="I1217" i="1" s="1"/>
  <c r="G1448" i="1"/>
  <c r="G1592" i="1"/>
  <c r="G1676" i="1"/>
  <c r="G1701" i="1"/>
  <c r="G1749" i="1"/>
  <c r="H1774" i="1"/>
  <c r="I1774" i="1" s="1"/>
  <c r="K1774" i="1" s="1"/>
  <c r="L1807" i="1"/>
  <c r="H1094" i="1"/>
  <c r="I1094" i="1" s="1"/>
  <c r="K1094" i="1" s="1"/>
  <c r="G1741" i="1"/>
  <c r="H174" i="1"/>
  <c r="I174" i="1" s="1"/>
  <c r="K174" i="1" s="1"/>
  <c r="G296" i="1"/>
  <c r="G867" i="1"/>
  <c r="G194" i="1"/>
  <c r="G94" i="1"/>
  <c r="G18" i="1"/>
  <c r="G9" i="1"/>
  <c r="G11" i="1"/>
  <c r="G249" i="1"/>
  <c r="G496" i="1"/>
  <c r="H796" i="1"/>
  <c r="I796" i="1" s="1"/>
  <c r="K796" i="1" s="1"/>
  <c r="G1116" i="1"/>
  <c r="K1171" i="1"/>
  <c r="G891" i="1"/>
  <c r="G892" i="1"/>
  <c r="G896" i="1"/>
  <c r="G1213" i="1"/>
  <c r="G1467" i="1"/>
  <c r="L1554" i="1"/>
  <c r="G1536" i="1"/>
  <c r="K1592" i="1"/>
  <c r="G1607" i="1"/>
  <c r="G1608" i="1"/>
  <c r="G1609" i="1"/>
  <c r="G1610" i="1"/>
  <c r="G1647" i="1"/>
  <c r="G1648" i="1"/>
  <c r="G1649" i="1"/>
  <c r="G1697" i="1"/>
  <c r="L1733" i="1"/>
  <c r="L1736" i="1" s="1"/>
  <c r="G1770" i="1"/>
  <c r="F1798" i="1"/>
  <c r="C1800" i="1" s="1"/>
  <c r="L1800" i="1" s="1"/>
  <c r="H1797" i="1" s="1"/>
  <c r="H1795" i="1"/>
  <c r="I1795" i="1" s="1"/>
  <c r="K1795" i="1" s="1"/>
  <c r="I1807" i="1"/>
  <c r="I25" i="1"/>
  <c r="K25" i="1" s="1"/>
  <c r="G41" i="1"/>
  <c r="L540" i="1"/>
  <c r="H1170" i="1"/>
  <c r="I1170" i="1" s="1"/>
  <c r="K1170" i="1" s="1"/>
  <c r="H895" i="1"/>
  <c r="I895" i="1" s="1"/>
  <c r="K895" i="1" s="1"/>
  <c r="G1219" i="1"/>
  <c r="G1452" i="1"/>
  <c r="H1475" i="1"/>
  <c r="I1475" i="1" s="1"/>
  <c r="K1608" i="1"/>
  <c r="G571" i="1"/>
  <c r="G1120" i="1"/>
  <c r="G1193" i="1"/>
  <c r="G894" i="1"/>
  <c r="G898" i="1"/>
  <c r="G1216" i="1"/>
  <c r="L1478" i="1"/>
  <c r="L1481" i="1" s="1"/>
  <c r="L1599" i="1"/>
  <c r="L1602" i="1" s="1"/>
  <c r="L1781" i="1"/>
  <c r="L1784" i="1" s="1"/>
  <c r="G23" i="1"/>
  <c r="G65" i="1"/>
  <c r="K87" i="1"/>
  <c r="I117" i="1"/>
  <c r="K117" i="1" s="1"/>
  <c r="G201" i="1"/>
  <c r="G357" i="1"/>
  <c r="G383" i="1"/>
  <c r="G268" i="1"/>
  <c r="G621" i="1"/>
  <c r="I810" i="1"/>
  <c r="K810" i="1" s="1"/>
  <c r="G810" i="1"/>
  <c r="H835" i="1"/>
  <c r="I835" i="1" s="1"/>
  <c r="G835" i="1"/>
  <c r="K1238" i="1"/>
  <c r="G1425" i="1"/>
  <c r="H1425" i="1"/>
  <c r="I1425" i="1" s="1"/>
  <c r="K1425" i="1" s="1"/>
  <c r="G96" i="1"/>
  <c r="G46" i="1"/>
  <c r="H1091" i="1"/>
  <c r="I1091" i="1" s="1"/>
  <c r="K1091" i="1" s="1"/>
  <c r="G1091" i="1"/>
  <c r="G378" i="1"/>
  <c r="H753" i="1"/>
  <c r="I753" i="1" s="1"/>
  <c r="K753" i="1" s="1"/>
  <c r="G714" i="1"/>
  <c r="G715" i="1"/>
  <c r="L604" i="1"/>
  <c r="L607" i="1" s="1"/>
  <c r="H1098" i="1"/>
  <c r="I1098" i="1" s="1"/>
  <c r="K1098" i="1" s="1"/>
  <c r="G1098" i="1"/>
  <c r="H1218" i="1"/>
  <c r="I1218" i="1" s="1"/>
  <c r="K1218" i="1" s="1"/>
  <c r="G1218" i="1"/>
  <c r="I1240" i="1"/>
  <c r="K1240" i="1" s="1"/>
  <c r="K1242" i="1"/>
  <c r="H997" i="1"/>
  <c r="I997" i="1" s="1"/>
  <c r="K997" i="1" s="1"/>
  <c r="G997" i="1"/>
  <c r="H1174" i="1"/>
  <c r="I1174" i="1" s="1"/>
  <c r="G1174" i="1"/>
  <c r="K1213" i="1"/>
  <c r="K1236" i="1"/>
  <c r="K1219" i="1"/>
  <c r="G1469" i="1"/>
  <c r="G1541" i="1"/>
  <c r="I1549" i="1"/>
  <c r="K1549" i="1" s="1"/>
  <c r="G1570" i="1"/>
  <c r="H1571" i="1"/>
  <c r="I1571" i="1" s="1"/>
  <c r="K1571" i="1" s="1"/>
  <c r="L1618" i="1"/>
  <c r="L1621" i="1" s="1"/>
  <c r="I1617" i="1"/>
  <c r="K1617" i="1" s="1"/>
  <c r="G1627" i="1"/>
  <c r="G1629" i="1"/>
  <c r="G1631" i="1"/>
  <c r="G1651" i="1"/>
  <c r="G1670" i="1"/>
  <c r="G1674" i="1"/>
  <c r="G1678" i="1"/>
  <c r="G1690" i="1"/>
  <c r="G1694" i="1"/>
  <c r="H1791" i="1"/>
  <c r="I1791" i="1" s="1"/>
  <c r="K1791" i="1" s="1"/>
  <c r="G1236" i="1"/>
  <c r="G1238" i="1"/>
  <c r="G1240" i="1"/>
  <c r="G1242" i="1"/>
  <c r="G1403" i="1"/>
  <c r="H1429" i="1"/>
  <c r="I1429" i="1" s="1"/>
  <c r="K1429" i="1" s="1"/>
  <c r="G1450" i="1"/>
  <c r="G1454" i="1"/>
  <c r="G1534" i="1"/>
  <c r="G1538" i="1"/>
  <c r="G1542" i="1"/>
  <c r="G1543" i="1"/>
  <c r="G1589" i="1"/>
  <c r="G1591" i="1"/>
  <c r="G1595" i="1"/>
  <c r="L1707" i="1"/>
  <c r="L1710" i="1" s="1"/>
  <c r="H1715" i="1"/>
  <c r="I1715" i="1" s="1"/>
  <c r="G1716" i="1"/>
  <c r="H1717" i="1"/>
  <c r="I1717" i="1" s="1"/>
  <c r="G1718" i="1"/>
  <c r="H1719" i="1"/>
  <c r="I1719" i="1" s="1"/>
  <c r="G1720" i="1"/>
  <c r="H1721" i="1"/>
  <c r="I1721" i="1" s="1"/>
  <c r="G1722" i="1"/>
  <c r="H1723" i="1"/>
  <c r="I1723" i="1" s="1"/>
  <c r="G1724" i="1"/>
  <c r="H1725" i="1"/>
  <c r="I1725" i="1" s="1"/>
  <c r="G1726" i="1"/>
  <c r="G1743" i="1"/>
  <c r="G1747" i="1"/>
  <c r="G1751" i="1"/>
  <c r="G1768" i="1"/>
  <c r="H1776" i="1"/>
  <c r="I1776" i="1" s="1"/>
  <c r="K1776" i="1" s="1"/>
  <c r="L1798" i="1"/>
  <c r="L1801" i="1" s="1"/>
  <c r="H1793" i="1"/>
  <c r="I1793" i="1" s="1"/>
  <c r="K1793" i="1" s="1"/>
  <c r="L852" i="1"/>
  <c r="L855" i="1" s="1"/>
  <c r="G677" i="1"/>
  <c r="I1135" i="1"/>
  <c r="G1169" i="1"/>
  <c r="G1171" i="1"/>
  <c r="G1189" i="1"/>
  <c r="G1214" i="1"/>
  <c r="G1237" i="1"/>
  <c r="G1239" i="1"/>
  <c r="G1241" i="1"/>
  <c r="L1460" i="1"/>
  <c r="L1463" i="1" s="1"/>
  <c r="K1542" i="1"/>
  <c r="F1599" i="1"/>
  <c r="C1601" i="1" s="1"/>
  <c r="L1640" i="1"/>
  <c r="L1643" i="1" s="1"/>
  <c r="L1682" i="1"/>
  <c r="H1680" i="1" s="1"/>
  <c r="K1716" i="1"/>
  <c r="K1718" i="1"/>
  <c r="K1720" i="1"/>
  <c r="K1722" i="1"/>
  <c r="K1724" i="1"/>
  <c r="K1726" i="1"/>
  <c r="K14" i="1"/>
  <c r="G92" i="1"/>
  <c r="G95" i="1"/>
  <c r="G124" i="1"/>
  <c r="G196" i="1"/>
  <c r="H250" i="1"/>
  <c r="I250" i="1" s="1"/>
  <c r="G348" i="1"/>
  <c r="L181" i="1"/>
  <c r="L184" i="1" s="1"/>
  <c r="H5" i="1"/>
  <c r="I5" i="1" s="1"/>
  <c r="K5" i="1" s="1"/>
  <c r="G13" i="1"/>
  <c r="G150" i="1"/>
  <c r="G188" i="1"/>
  <c r="G248" i="1"/>
  <c r="G294" i="1"/>
  <c r="H320" i="1"/>
  <c r="I320" i="1" s="1"/>
  <c r="K320" i="1" s="1"/>
  <c r="G326" i="1"/>
  <c r="G385" i="1"/>
  <c r="G505" i="1"/>
  <c r="K18" i="1"/>
  <c r="G39" i="1"/>
  <c r="H49" i="1"/>
  <c r="I49" i="1" s="1"/>
  <c r="K49" i="1" s="1"/>
  <c r="G90" i="1"/>
  <c r="H97" i="1"/>
  <c r="I97" i="1" s="1"/>
  <c r="G120" i="1"/>
  <c r="G147" i="1"/>
  <c r="G197" i="1"/>
  <c r="G219" i="1"/>
  <c r="G245" i="1"/>
  <c r="G246" i="1"/>
  <c r="G247" i="1"/>
  <c r="L301" i="1"/>
  <c r="L304" i="1" s="1"/>
  <c r="G292" i="1"/>
  <c r="G309" i="1"/>
  <c r="G310" i="1"/>
  <c r="H317" i="1"/>
  <c r="I317" i="1" s="1"/>
  <c r="K317" i="1" s="1"/>
  <c r="G327" i="1"/>
  <c r="H350" i="1"/>
  <c r="I350" i="1" s="1"/>
  <c r="G360" i="1"/>
  <c r="G270" i="1"/>
  <c r="G463" i="1"/>
  <c r="H43" i="1"/>
  <c r="I43" i="1" s="1"/>
  <c r="K43" i="1" s="1"/>
  <c r="H88" i="1"/>
  <c r="I88" i="1" s="1"/>
  <c r="G189" i="1"/>
  <c r="G203" i="1"/>
  <c r="G221" i="1"/>
  <c r="K245" i="1"/>
  <c r="H352" i="1"/>
  <c r="I352" i="1" s="1"/>
  <c r="K352" i="1" s="1"/>
  <c r="I359" i="1"/>
  <c r="K359" i="1" s="1"/>
  <c r="G410" i="1"/>
  <c r="G685" i="1"/>
  <c r="G706" i="1"/>
  <c r="G707" i="1"/>
  <c r="G709" i="1"/>
  <c r="G710" i="1"/>
  <c r="G865" i="1"/>
  <c r="G618" i="1"/>
  <c r="K619" i="1"/>
  <c r="G500" i="1"/>
  <c r="I484" i="1"/>
  <c r="I489" i="1"/>
  <c r="K489" i="1" s="1"/>
  <c r="H573" i="1"/>
  <c r="I573" i="1" s="1"/>
  <c r="K573" i="1" s="1"/>
  <c r="G616" i="1"/>
  <c r="G498" i="1"/>
  <c r="G660" i="1"/>
  <c r="G531" i="1"/>
  <c r="H465" i="1"/>
  <c r="I465" i="1" s="1"/>
  <c r="G494" i="1"/>
  <c r="H550" i="1"/>
  <c r="I550" i="1" s="1"/>
  <c r="K550" i="1" s="1"/>
  <c r="G563" i="1"/>
  <c r="H623" i="1"/>
  <c r="I623" i="1" s="1"/>
  <c r="K623" i="1" s="1"/>
  <c r="G871" i="1"/>
  <c r="G654" i="1"/>
  <c r="G712" i="1"/>
  <c r="G716" i="1"/>
  <c r="G812" i="1"/>
  <c r="G817" i="1"/>
  <c r="F852" i="1"/>
  <c r="C854" i="1" s="1"/>
  <c r="E854" i="1" s="1"/>
  <c r="H851" i="1" s="1"/>
  <c r="I851" i="1" s="1"/>
  <c r="K851" i="1" s="1"/>
  <c r="K601" i="1"/>
  <c r="I999" i="1"/>
  <c r="K999" i="1" s="1"/>
  <c r="G681" i="1"/>
  <c r="G689" i="1"/>
  <c r="G455" i="1"/>
  <c r="H818" i="1"/>
  <c r="I818" i="1" s="1"/>
  <c r="G995" i="1"/>
  <c r="F1002" i="1"/>
  <c r="C1004" i="1" s="1"/>
  <c r="E1004" i="1" s="1"/>
  <c r="H193" i="1"/>
  <c r="I193" i="1" s="1"/>
  <c r="G193" i="1"/>
  <c r="I219" i="1"/>
  <c r="K219" i="1" s="1"/>
  <c r="H344" i="1"/>
  <c r="I344" i="1" s="1"/>
  <c r="K344" i="1" s="1"/>
  <c r="G344" i="1"/>
  <c r="K40" i="1"/>
  <c r="H115" i="1"/>
  <c r="I115" i="1" s="1"/>
  <c r="K115" i="1" s="1"/>
  <c r="G115" i="1"/>
  <c r="H122" i="1"/>
  <c r="G122" i="1"/>
  <c r="I143" i="1"/>
  <c r="G143" i="1"/>
  <c r="H144" i="1"/>
  <c r="I144" i="1" s="1"/>
  <c r="G144" i="1"/>
  <c r="H151" i="1"/>
  <c r="G151" i="1"/>
  <c r="H172" i="1"/>
  <c r="I172" i="1" s="1"/>
  <c r="K172" i="1" s="1"/>
  <c r="G172" i="1"/>
  <c r="H200" i="1"/>
  <c r="I200" i="1" s="1"/>
  <c r="K200" i="1" s="1"/>
  <c r="G200" i="1"/>
  <c r="H315" i="1"/>
  <c r="I315" i="1" s="1"/>
  <c r="G315" i="1"/>
  <c r="H819" i="1"/>
  <c r="I819" i="1" s="1"/>
  <c r="K819" i="1" s="1"/>
  <c r="G819" i="1"/>
  <c r="I656" i="1"/>
  <c r="K656" i="1" s="1"/>
  <c r="G656" i="1"/>
  <c r="L29" i="1"/>
  <c r="L32" i="1" s="1"/>
  <c r="G7" i="1"/>
  <c r="G16" i="1"/>
  <c r="H17" i="1"/>
  <c r="I17" i="1" s="1"/>
  <c r="K17" i="1" s="1"/>
  <c r="G37" i="1"/>
  <c r="L56" i="1"/>
  <c r="H148" i="1"/>
  <c r="I148" i="1" s="1"/>
  <c r="G148" i="1"/>
  <c r="H192" i="1"/>
  <c r="G192" i="1"/>
  <c r="H198" i="1"/>
  <c r="I198" i="1" s="1"/>
  <c r="G198" i="1"/>
  <c r="H319" i="1"/>
  <c r="I319" i="1" s="1"/>
  <c r="K319" i="1" s="1"/>
  <c r="G319" i="1"/>
  <c r="H406" i="1"/>
  <c r="I406" i="1" s="1"/>
  <c r="K406" i="1" s="1"/>
  <c r="G406" i="1"/>
  <c r="G561" i="1"/>
  <c r="I561" i="1"/>
  <c r="K561" i="1" s="1"/>
  <c r="G450" i="1"/>
  <c r="I567" i="1"/>
  <c r="K567" i="1" s="1"/>
  <c r="G567" i="1"/>
  <c r="H86" i="1"/>
  <c r="I86" i="1" s="1"/>
  <c r="G86" i="1"/>
  <c r="H118" i="1"/>
  <c r="G118" i="1"/>
  <c r="I190" i="1"/>
  <c r="G190" i="1"/>
  <c r="H220" i="1"/>
  <c r="G220" i="1"/>
  <c r="G243" i="1"/>
  <c r="H243" i="1"/>
  <c r="I243" i="1" s="1"/>
  <c r="H316" i="1"/>
  <c r="G316" i="1"/>
  <c r="G354" i="1"/>
  <c r="H354" i="1"/>
  <c r="I354" i="1" s="1"/>
  <c r="K354" i="1" s="1"/>
  <c r="G461" i="1"/>
  <c r="H461" i="1"/>
  <c r="I486" i="1"/>
  <c r="K486" i="1" s="1"/>
  <c r="G486" i="1"/>
  <c r="G809" i="1"/>
  <c r="L107" i="1"/>
  <c r="K95" i="1"/>
  <c r="K201" i="1"/>
  <c r="H226" i="1"/>
  <c r="I226" i="1" s="1"/>
  <c r="G226" i="1"/>
  <c r="L336" i="1"/>
  <c r="L643" i="1"/>
  <c r="L646" i="1" s="1"/>
  <c r="I522" i="1"/>
  <c r="K522" i="1" s="1"/>
  <c r="G522" i="1"/>
  <c r="I529" i="1"/>
  <c r="K529" i="1" s="1"/>
  <c r="G529" i="1"/>
  <c r="G813" i="1"/>
  <c r="I813" i="1"/>
  <c r="G815" i="1"/>
  <c r="I815" i="1"/>
  <c r="H1100" i="1"/>
  <c r="I1100" i="1" s="1"/>
  <c r="K1100" i="1" s="1"/>
  <c r="G1100" i="1"/>
  <c r="G67" i="1"/>
  <c r="G69" i="1"/>
  <c r="G70" i="1"/>
  <c r="G71" i="1"/>
  <c r="G84" i="1"/>
  <c r="G87" i="1"/>
  <c r="G145" i="1"/>
  <c r="G146" i="1"/>
  <c r="L235" i="1"/>
  <c r="L238" i="1" s="1"/>
  <c r="F301" i="1"/>
  <c r="C303" i="1" s="1"/>
  <c r="B39" i="2" s="1"/>
  <c r="H290" i="1"/>
  <c r="I290" i="1" s="1"/>
  <c r="K290" i="1" s="1"/>
  <c r="I314" i="1"/>
  <c r="K314" i="1" s="1"/>
  <c r="H318" i="1"/>
  <c r="I318" i="1" s="1"/>
  <c r="G318" i="1"/>
  <c r="H503" i="1"/>
  <c r="I503" i="1" s="1"/>
  <c r="K503" i="1" s="1"/>
  <c r="G503" i="1"/>
  <c r="G1073" i="1"/>
  <c r="H1073" i="1"/>
  <c r="I1073" i="1" s="1"/>
  <c r="G1075" i="1"/>
  <c r="H1075" i="1"/>
  <c r="I1075" i="1" s="1"/>
  <c r="H1114" i="1"/>
  <c r="I1114" i="1" s="1"/>
  <c r="K1114" i="1" s="1"/>
  <c r="G1114" i="1"/>
  <c r="H1122" i="1"/>
  <c r="G1122" i="1"/>
  <c r="G1138" i="1"/>
  <c r="H1138" i="1"/>
  <c r="I1138" i="1" s="1"/>
  <c r="K68" i="1"/>
  <c r="K70" i="1"/>
  <c r="L135" i="1"/>
  <c r="L162" i="1"/>
  <c r="L165" i="1" s="1"/>
  <c r="K145" i="1"/>
  <c r="K194" i="1"/>
  <c r="F235" i="1"/>
  <c r="C237" i="1" s="1"/>
  <c r="H222" i="1"/>
  <c r="G222" i="1"/>
  <c r="H223" i="1"/>
  <c r="I223" i="1" s="1"/>
  <c r="K247" i="1"/>
  <c r="G290" i="1"/>
  <c r="G313" i="1"/>
  <c r="H346" i="1"/>
  <c r="G376" i="1"/>
  <c r="H381" i="1"/>
  <c r="I381" i="1" s="1"/>
  <c r="K381" i="1" s="1"/>
  <c r="H408" i="1"/>
  <c r="L283" i="1"/>
  <c r="L286" i="1" s="1"/>
  <c r="G502" i="1"/>
  <c r="H569" i="1"/>
  <c r="I569" i="1" s="1"/>
  <c r="K569" i="1" s="1"/>
  <c r="H873" i="1"/>
  <c r="G873" i="1"/>
  <c r="H747" i="1"/>
  <c r="I747" i="1" s="1"/>
  <c r="K747" i="1" s="1"/>
  <c r="G749" i="1"/>
  <c r="H749" i="1"/>
  <c r="I749" i="1" s="1"/>
  <c r="K749" i="1" s="1"/>
  <c r="H662" i="1"/>
  <c r="I662" i="1" s="1"/>
  <c r="K662" i="1" s="1"/>
  <c r="G662" i="1"/>
  <c r="I715" i="1"/>
  <c r="K715" i="1" s="1"/>
  <c r="H718" i="1"/>
  <c r="I718" i="1" s="1"/>
  <c r="K718" i="1" s="1"/>
  <c r="G718" i="1"/>
  <c r="I679" i="1"/>
  <c r="K679" i="1" s="1"/>
  <c r="G679" i="1"/>
  <c r="H687" i="1"/>
  <c r="G687" i="1"/>
  <c r="K694" i="1"/>
  <c r="H1053" i="1"/>
  <c r="I1053" i="1" s="1"/>
  <c r="F880" i="1"/>
  <c r="G751" i="1"/>
  <c r="H751" i="1"/>
  <c r="I751" i="1" s="1"/>
  <c r="K751" i="1" s="1"/>
  <c r="G705" i="1"/>
  <c r="I717" i="1"/>
  <c r="K717" i="1" s="1"/>
  <c r="I525" i="1"/>
  <c r="K525" i="1" s="1"/>
  <c r="G525" i="1"/>
  <c r="H533" i="1"/>
  <c r="I533" i="1" s="1"/>
  <c r="K533" i="1" s="1"/>
  <c r="G533" i="1"/>
  <c r="L789" i="1"/>
  <c r="L792" i="1" s="1"/>
  <c r="H683" i="1"/>
  <c r="H722" i="1" s="1"/>
  <c r="G683" i="1"/>
  <c r="H691" i="1"/>
  <c r="I691" i="1" s="1"/>
  <c r="G691" i="1"/>
  <c r="H1052" i="1"/>
  <c r="I1052" i="1" s="1"/>
  <c r="G1052" i="1"/>
  <c r="H1072" i="1"/>
  <c r="G1072" i="1"/>
  <c r="H1074" i="1"/>
  <c r="G1074" i="1"/>
  <c r="H1076" i="1"/>
  <c r="G1076" i="1"/>
  <c r="H1096" i="1"/>
  <c r="I1096" i="1" s="1"/>
  <c r="K1096" i="1" s="1"/>
  <c r="G1096" i="1"/>
  <c r="G1140" i="1"/>
  <c r="I1140" i="1"/>
  <c r="K1140" i="1" s="1"/>
  <c r="L368" i="1"/>
  <c r="L398" i="1"/>
  <c r="L401" i="1" s="1"/>
  <c r="L417" i="1"/>
  <c r="L420" i="1" s="1"/>
  <c r="L553" i="1"/>
  <c r="L556" i="1" s="1"/>
  <c r="G612" i="1"/>
  <c r="G619" i="1"/>
  <c r="G625" i="1"/>
  <c r="G869" i="1"/>
  <c r="G737" i="1"/>
  <c r="I737" i="1"/>
  <c r="K737" i="1" s="1"/>
  <c r="G652" i="1"/>
  <c r="G717" i="1"/>
  <c r="G770" i="1"/>
  <c r="I814" i="1"/>
  <c r="G814" i="1"/>
  <c r="L840" i="1"/>
  <c r="L843" i="1" s="1"/>
  <c r="L1084" i="1"/>
  <c r="L1087" i="1" s="1"/>
  <c r="H1093" i="1"/>
  <c r="I1093" i="1" s="1"/>
  <c r="H1118" i="1"/>
  <c r="I1118" i="1" s="1"/>
  <c r="K1118" i="1" s="1"/>
  <c r="G1118" i="1"/>
  <c r="L1105" i="1"/>
  <c r="L1108" i="1" s="1"/>
  <c r="L1127" i="1"/>
  <c r="L1130" i="1" s="1"/>
  <c r="L777" i="1"/>
  <c r="L780" i="1" s="1"/>
  <c r="F840" i="1"/>
  <c r="C842" i="1" s="1"/>
  <c r="E842" i="1" s="1"/>
  <c r="L1002" i="1"/>
  <c r="L1005" i="1" s="1"/>
  <c r="L1357" i="1"/>
  <c r="L1360" i="1" s="1"/>
  <c r="G1326" i="1"/>
  <c r="L1338" i="1"/>
  <c r="L1341" i="1" s="1"/>
  <c r="G1332" i="1"/>
  <c r="H1386" i="1"/>
  <c r="I1386" i="1" s="1"/>
  <c r="H1303" i="1"/>
  <c r="I1303" i="1" s="1"/>
  <c r="K1303" i="1" s="1"/>
  <c r="G1328" i="1"/>
  <c r="H1355" i="1"/>
  <c r="I1355" i="1" s="1"/>
  <c r="K1355" i="1" s="1"/>
  <c r="G1388" i="1"/>
  <c r="H1305" i="1"/>
  <c r="I1305" i="1" s="1"/>
  <c r="K1305" i="1" s="1"/>
  <c r="G1330" i="1"/>
  <c r="G1368" i="1"/>
  <c r="H1384" i="1"/>
  <c r="I1384" i="1" s="1"/>
  <c r="H1311" i="1"/>
  <c r="I1311" i="1" s="1"/>
  <c r="K1311" i="1" s="1"/>
  <c r="H1323" i="1"/>
  <c r="I1323" i="1" s="1"/>
  <c r="K1323" i="1" s="1"/>
  <c r="I1325" i="1"/>
  <c r="K1325" i="1" s="1"/>
  <c r="I1347" i="1"/>
  <c r="K1347" i="1" s="1"/>
  <c r="I1327" i="1"/>
  <c r="K1327" i="1" s="1"/>
  <c r="I1331" i="1"/>
  <c r="K1331" i="1" s="1"/>
  <c r="H1351" i="1"/>
  <c r="I1351" i="1" s="1"/>
  <c r="K1351" i="1" s="1"/>
  <c r="I1349" i="1"/>
  <c r="K1349" i="1" s="1"/>
  <c r="I1329" i="1"/>
  <c r="K1329" i="1" s="1"/>
  <c r="I1334" i="1"/>
  <c r="K1334" i="1" s="1"/>
  <c r="H1307" i="1"/>
  <c r="G1334" i="1"/>
  <c r="G1364" i="1"/>
  <c r="G1279" i="1"/>
  <c r="G1281" i="1"/>
  <c r="G1283" i="1"/>
  <c r="G1285" i="1"/>
  <c r="G1287" i="1"/>
  <c r="H1301" i="1"/>
  <c r="I1301" i="1" s="1"/>
  <c r="H1309" i="1"/>
  <c r="I1309" i="1" s="1"/>
  <c r="K1309" i="1" s="1"/>
  <c r="G1325" i="1"/>
  <c r="G1327" i="1"/>
  <c r="G1329" i="1"/>
  <c r="G1331" i="1"/>
  <c r="H1345" i="1"/>
  <c r="I1345" i="1" s="1"/>
  <c r="K1345" i="1" s="1"/>
  <c r="G1347" i="1"/>
  <c r="G1349" i="1"/>
  <c r="K1368" i="1"/>
  <c r="K1371" i="1"/>
  <c r="H1382" i="1"/>
  <c r="L1316" i="1"/>
  <c r="L1319" i="1" s="1"/>
  <c r="I1387" i="1"/>
  <c r="K1387" i="1" s="1"/>
  <c r="G1278" i="1"/>
  <c r="G1280" i="1"/>
  <c r="G1282" i="1"/>
  <c r="G1284" i="1"/>
  <c r="G1348" i="1"/>
  <c r="G1366" i="1"/>
  <c r="G1427" i="1"/>
  <c r="G1431" i="1"/>
  <c r="F1436" i="1"/>
  <c r="C1438" i="1" s="1"/>
  <c r="G1407" i="1"/>
  <c r="H1397" i="1"/>
  <c r="I1397" i="1" s="1"/>
  <c r="K1397" i="1" s="1"/>
  <c r="G1401" i="1"/>
  <c r="G1405" i="1"/>
  <c r="H1400" i="1"/>
  <c r="I1400" i="1" s="1"/>
  <c r="K1400" i="1" s="1"/>
  <c r="G888" i="1"/>
  <c r="K1196" i="1"/>
  <c r="G1191" i="1"/>
  <c r="G1192" i="1"/>
  <c r="G1195" i="1"/>
  <c r="G1190" i="1"/>
  <c r="G1187" i="1"/>
  <c r="L1201" i="1"/>
  <c r="L1204" i="1" s="1"/>
  <c r="G1196" i="1"/>
  <c r="H1148" i="1"/>
  <c r="I1148" i="1" s="1"/>
  <c r="K1148" i="1" s="1"/>
  <c r="H1141" i="1"/>
  <c r="I1141" i="1" s="1"/>
  <c r="K1141" i="1" s="1"/>
  <c r="K1139" i="1"/>
  <c r="G1139" i="1"/>
  <c r="G1143" i="1"/>
  <c r="G1145" i="1"/>
  <c r="G1137" i="1"/>
  <c r="G1146" i="1"/>
  <c r="G1149" i="1"/>
  <c r="H1054" i="1"/>
  <c r="I1054" i="1" s="1"/>
  <c r="K1054" i="1" s="1"/>
  <c r="H1051" i="1"/>
  <c r="I1051" i="1" s="1"/>
  <c r="K1051" i="1" s="1"/>
  <c r="G890" i="1"/>
  <c r="L1158" i="1"/>
  <c r="L1161" i="1" s="1"/>
  <c r="G1136" i="1"/>
  <c r="G1212" i="1"/>
  <c r="G1211" i="1"/>
  <c r="F1224" i="1"/>
  <c r="C1226" i="1" s="1"/>
  <c r="G1208" i="1"/>
  <c r="G1209" i="1"/>
  <c r="G1210" i="1"/>
  <c r="K1209" i="1"/>
  <c r="K1211" i="1"/>
  <c r="L1436" i="1"/>
  <c r="L1439" i="1" s="1"/>
  <c r="G1420" i="1"/>
  <c r="G1421" i="1"/>
  <c r="G1422" i="1"/>
  <c r="H1420" i="1"/>
  <c r="I1420" i="1" s="1"/>
  <c r="K1421" i="1"/>
  <c r="H1398" i="1"/>
  <c r="I1398" i="1" s="1"/>
  <c r="K1398" i="1" s="1"/>
  <c r="H1232" i="1"/>
  <c r="G1233" i="1"/>
  <c r="H1234" i="1"/>
  <c r="G1235" i="1"/>
  <c r="F1246" i="1"/>
  <c r="L1246" i="1"/>
  <c r="L1249" i="1" s="1"/>
  <c r="I1254" i="1"/>
  <c r="K1254" i="1" s="1"/>
  <c r="I1260" i="1"/>
  <c r="K1260" i="1" s="1"/>
  <c r="I1262" i="1"/>
  <c r="K1262" i="1" s="1"/>
  <c r="I1264" i="1"/>
  <c r="K1264" i="1" s="1"/>
  <c r="G1254" i="1"/>
  <c r="G1260" i="1"/>
  <c r="G1262" i="1"/>
  <c r="G1264" i="1"/>
  <c r="G1255" i="1"/>
  <c r="H1256" i="1"/>
  <c r="G1257" i="1"/>
  <c r="H1258" i="1"/>
  <c r="G1259" i="1"/>
  <c r="G1261" i="1"/>
  <c r="G1263" i="1"/>
  <c r="L1269" i="1"/>
  <c r="L1272" i="1" s="1"/>
  <c r="B130" i="3"/>
  <c r="C130" i="3" s="1"/>
  <c r="B143" i="3"/>
  <c r="C143" i="3" s="1"/>
  <c r="B117" i="3"/>
  <c r="C117" i="3" s="1"/>
  <c r="B129" i="3"/>
  <c r="C129" i="3" s="1"/>
  <c r="B142" i="3"/>
  <c r="C142" i="3" s="1"/>
  <c r="B71" i="3"/>
  <c r="C71" i="3" s="1"/>
  <c r="B128" i="3"/>
  <c r="C128" i="3" s="1"/>
  <c r="I7" i="1"/>
  <c r="K7" i="1" s="1"/>
  <c r="I9" i="1"/>
  <c r="K9" i="1" s="1"/>
  <c r="F56" i="1"/>
  <c r="C59" i="1" s="1"/>
  <c r="B28" i="2" s="1"/>
  <c r="H36" i="1"/>
  <c r="H48" i="1" s="1"/>
  <c r="H44" i="1"/>
  <c r="G44" i="1"/>
  <c r="G48" i="1"/>
  <c r="H50" i="1"/>
  <c r="G50" i="1"/>
  <c r="F77" i="1"/>
  <c r="C79" i="1" s="1"/>
  <c r="B29" i="2" s="1"/>
  <c r="G64" i="1"/>
  <c r="G72" i="1"/>
  <c r="G91" i="1"/>
  <c r="H116" i="1"/>
  <c r="G116" i="1"/>
  <c r="G121" i="1"/>
  <c r="H125" i="1"/>
  <c r="G125" i="1"/>
  <c r="F162" i="1"/>
  <c r="C164" i="1" s="1"/>
  <c r="H142" i="1"/>
  <c r="H169" i="1"/>
  <c r="G169" i="1"/>
  <c r="H171" i="1"/>
  <c r="G171" i="1"/>
  <c r="H173" i="1"/>
  <c r="G173" i="1"/>
  <c r="H175" i="1"/>
  <c r="G175" i="1"/>
  <c r="H202" i="1"/>
  <c r="G202" i="1"/>
  <c r="I258" i="1"/>
  <c r="K258" i="1" s="1"/>
  <c r="H293" i="1"/>
  <c r="G293" i="1"/>
  <c r="I327" i="1"/>
  <c r="K327" i="1" s="1"/>
  <c r="F398" i="1"/>
  <c r="C400" i="1" s="1"/>
  <c r="B42" i="2" s="1"/>
  <c r="H375" i="1"/>
  <c r="G375" i="1"/>
  <c r="G269" i="1"/>
  <c r="I449" i="1"/>
  <c r="G449" i="1"/>
  <c r="H746" i="1"/>
  <c r="G746" i="1"/>
  <c r="H711" i="1"/>
  <c r="G711" i="1"/>
  <c r="I716" i="1"/>
  <c r="K716" i="1" s="1"/>
  <c r="F29" i="1"/>
  <c r="C31" i="1" s="1"/>
  <c r="H4" i="1"/>
  <c r="G4" i="1"/>
  <c r="H6" i="1"/>
  <c r="G6" i="1"/>
  <c r="H8" i="1"/>
  <c r="G8" i="1"/>
  <c r="G38" i="1"/>
  <c r="I46" i="1"/>
  <c r="K46" i="1" s="1"/>
  <c r="G66" i="1"/>
  <c r="K72" i="1"/>
  <c r="K84" i="1"/>
  <c r="G85" i="1"/>
  <c r="I90" i="1"/>
  <c r="K90" i="1" s="1"/>
  <c r="K91" i="1"/>
  <c r="K92" i="1"/>
  <c r="G93" i="1"/>
  <c r="G142" i="1"/>
  <c r="I146" i="1"/>
  <c r="K146" i="1" s="1"/>
  <c r="K147" i="1"/>
  <c r="G149" i="1"/>
  <c r="I180" i="1"/>
  <c r="K180" i="1" s="1"/>
  <c r="K189" i="1"/>
  <c r="G191" i="1"/>
  <c r="H195" i="1"/>
  <c r="G195" i="1"/>
  <c r="K203" i="1"/>
  <c r="G242" i="1"/>
  <c r="I248" i="1"/>
  <c r="K248" i="1" s="1"/>
  <c r="K249" i="1"/>
  <c r="I309" i="1"/>
  <c r="K309" i="1" s="1"/>
  <c r="K310" i="1"/>
  <c r="I326" i="1"/>
  <c r="K326" i="1" s="1"/>
  <c r="F368" i="1"/>
  <c r="C370" i="1" s="1"/>
  <c r="H343" i="1"/>
  <c r="G343" i="1"/>
  <c r="H345" i="1"/>
  <c r="G345" i="1"/>
  <c r="H347" i="1"/>
  <c r="G347" i="1"/>
  <c r="H349" i="1"/>
  <c r="G349" i="1"/>
  <c r="H351" i="1"/>
  <c r="G351" i="1"/>
  <c r="H353" i="1"/>
  <c r="G353" i="1"/>
  <c r="H356" i="1"/>
  <c r="G356" i="1"/>
  <c r="I376" i="1"/>
  <c r="K376" i="1" s="1"/>
  <c r="I380" i="1"/>
  <c r="K380" i="1" s="1"/>
  <c r="K386" i="1"/>
  <c r="I387" i="1"/>
  <c r="K387" i="1" s="1"/>
  <c r="H409" i="1"/>
  <c r="G409" i="1"/>
  <c r="G267" i="1"/>
  <c r="I270" i="1"/>
  <c r="K270" i="1" s="1"/>
  <c r="G447" i="1"/>
  <c r="I456" i="1"/>
  <c r="G456" i="1"/>
  <c r="H464" i="1"/>
  <c r="G464" i="1"/>
  <c r="K490" i="1"/>
  <c r="H501" i="1"/>
  <c r="G501" i="1"/>
  <c r="I509" i="1"/>
  <c r="K509" i="1" s="1"/>
  <c r="I563" i="1"/>
  <c r="K563" i="1" s="1"/>
  <c r="I571" i="1"/>
  <c r="K571" i="1" s="1"/>
  <c r="H748" i="1"/>
  <c r="G748" i="1"/>
  <c r="G523" i="1"/>
  <c r="G526" i="1"/>
  <c r="H530" i="1"/>
  <c r="G530" i="1"/>
  <c r="G534" i="1"/>
  <c r="F789" i="1"/>
  <c r="C791" i="1" s="1"/>
  <c r="E791" i="1" s="1"/>
  <c r="H784" i="1"/>
  <c r="G784" i="1"/>
  <c r="I817" i="1"/>
  <c r="K817" i="1" s="1"/>
  <c r="H42" i="1"/>
  <c r="G42" i="1"/>
  <c r="K96" i="1"/>
  <c r="K11" i="1"/>
  <c r="I13" i="1"/>
  <c r="K13" i="1" s="1"/>
  <c r="H15" i="1"/>
  <c r="G15" i="1"/>
  <c r="I23" i="1"/>
  <c r="K23" i="1" s="1"/>
  <c r="G36" i="1"/>
  <c r="I41" i="1"/>
  <c r="K41" i="1" s="1"/>
  <c r="I69" i="1"/>
  <c r="K69" i="1" s="1"/>
  <c r="K71" i="1"/>
  <c r="G114" i="1"/>
  <c r="H123" i="1"/>
  <c r="G123" i="1"/>
  <c r="I242" i="1"/>
  <c r="K242" i="1" s="1"/>
  <c r="H291" i="1"/>
  <c r="G291" i="1"/>
  <c r="H295" i="1"/>
  <c r="G295" i="1"/>
  <c r="I378" i="1"/>
  <c r="K378" i="1" s="1"/>
  <c r="I391" i="1"/>
  <c r="K391" i="1" s="1"/>
  <c r="H411" i="1"/>
  <c r="G411" i="1"/>
  <c r="I458" i="1"/>
  <c r="G458" i="1"/>
  <c r="H588" i="1"/>
  <c r="F592" i="1"/>
  <c r="C594" i="1" s="1"/>
  <c r="G588" i="1"/>
  <c r="I611" i="1"/>
  <c r="H639" i="1"/>
  <c r="F643" i="1"/>
  <c r="C645" i="1" s="1"/>
  <c r="E645" i="1" s="1"/>
  <c r="G639" i="1"/>
  <c r="G14" i="1"/>
  <c r="I16" i="1"/>
  <c r="K16" i="1" s="1"/>
  <c r="I37" i="1"/>
  <c r="K37" i="1" s="1"/>
  <c r="K38" i="1"/>
  <c r="K39" i="1"/>
  <c r="G40" i="1"/>
  <c r="I65" i="1"/>
  <c r="K65" i="1" s="1"/>
  <c r="K66" i="1"/>
  <c r="K67" i="1"/>
  <c r="G68" i="1"/>
  <c r="I75" i="1"/>
  <c r="K75" i="1" s="1"/>
  <c r="K85" i="1"/>
  <c r="K93" i="1"/>
  <c r="K94" i="1"/>
  <c r="F107" i="1"/>
  <c r="C109" i="1" s="1"/>
  <c r="I120" i="1"/>
  <c r="K120" i="1" s="1"/>
  <c r="I124" i="1"/>
  <c r="K124" i="1" s="1"/>
  <c r="K149" i="1"/>
  <c r="K150" i="1"/>
  <c r="L212" i="1"/>
  <c r="K191" i="1"/>
  <c r="K196" i="1"/>
  <c r="I197" i="1"/>
  <c r="K197" i="1" s="1"/>
  <c r="H199" i="1"/>
  <c r="G199" i="1"/>
  <c r="F259" i="1"/>
  <c r="C261" i="1" s="1"/>
  <c r="B37" i="2" s="1"/>
  <c r="I292" i="1"/>
  <c r="K292" i="1" s="1"/>
  <c r="I294" i="1"/>
  <c r="K294" i="1" s="1"/>
  <c r="I296" i="1"/>
  <c r="K296" i="1" s="1"/>
  <c r="H308" i="1"/>
  <c r="G314" i="1"/>
  <c r="H379" i="1"/>
  <c r="G379" i="1"/>
  <c r="K384" i="1"/>
  <c r="I392" i="1"/>
  <c r="K392" i="1" s="1"/>
  <c r="H407" i="1"/>
  <c r="G407" i="1"/>
  <c r="I410" i="1"/>
  <c r="K410" i="1" s="1"/>
  <c r="F283" i="1"/>
  <c r="C285" i="1" s="1"/>
  <c r="B38" i="2" s="1"/>
  <c r="G266" i="1"/>
  <c r="I268" i="1"/>
  <c r="K268" i="1" s="1"/>
  <c r="I454" i="1"/>
  <c r="G454" i="1"/>
  <c r="H462" i="1"/>
  <c r="G462" i="1"/>
  <c r="K488" i="1"/>
  <c r="G614" i="1"/>
  <c r="G735" i="1"/>
  <c r="H750" i="1"/>
  <c r="G750" i="1"/>
  <c r="I707" i="1"/>
  <c r="K707" i="1" s="1"/>
  <c r="I1143" i="1"/>
  <c r="K1143" i="1" s="1"/>
  <c r="F181" i="1"/>
  <c r="C183" i="1" s="1"/>
  <c r="K221" i="1"/>
  <c r="L259" i="1"/>
  <c r="L262" i="1" s="1"/>
  <c r="K246" i="1"/>
  <c r="H321" i="1"/>
  <c r="G321" i="1"/>
  <c r="I348" i="1"/>
  <c r="K348" i="1" s="1"/>
  <c r="I357" i="1"/>
  <c r="K357" i="1" s="1"/>
  <c r="K382" i="1"/>
  <c r="F417" i="1"/>
  <c r="C419" i="1" s="1"/>
  <c r="H405" i="1"/>
  <c r="G405" i="1"/>
  <c r="I451" i="1"/>
  <c r="G451" i="1"/>
  <c r="I460" i="1"/>
  <c r="G460" i="1"/>
  <c r="I463" i="1"/>
  <c r="K463" i="1" s="1"/>
  <c r="K485" i="1"/>
  <c r="K497" i="1"/>
  <c r="G739" i="1"/>
  <c r="H752" i="1"/>
  <c r="G752" i="1"/>
  <c r="G524" i="1"/>
  <c r="G528" i="1"/>
  <c r="H532" i="1"/>
  <c r="G532" i="1"/>
  <c r="I537" i="1"/>
  <c r="K537" i="1" s="1"/>
  <c r="I770" i="1"/>
  <c r="K770" i="1" s="1"/>
  <c r="L802" i="1"/>
  <c r="L805" i="1" s="1"/>
  <c r="F604" i="1"/>
  <c r="C606" i="1" s="1"/>
  <c r="E606" i="1" s="1"/>
  <c r="H603" i="1" s="1"/>
  <c r="H599" i="1"/>
  <c r="G599" i="1"/>
  <c r="H620" i="1"/>
  <c r="G620" i="1"/>
  <c r="H622" i="1"/>
  <c r="G622" i="1"/>
  <c r="H624" i="1"/>
  <c r="G624" i="1"/>
  <c r="I867" i="1"/>
  <c r="K867" i="1" s="1"/>
  <c r="I869" i="1"/>
  <c r="K869" i="1" s="1"/>
  <c r="I871" i="1"/>
  <c r="K871" i="1" s="1"/>
  <c r="G651" i="1"/>
  <c r="G653" i="1"/>
  <c r="H655" i="1"/>
  <c r="G655" i="1"/>
  <c r="G657" i="1"/>
  <c r="H659" i="1"/>
  <c r="G659" i="1"/>
  <c r="H661" i="1"/>
  <c r="G661" i="1"/>
  <c r="I798" i="1"/>
  <c r="K798" i="1" s="1"/>
  <c r="K824" i="1"/>
  <c r="G1047" i="1"/>
  <c r="H1194" i="1"/>
  <c r="H1201" i="1" s="1"/>
  <c r="H1204" i="1" s="1"/>
  <c r="G1194" i="1"/>
  <c r="G359" i="1"/>
  <c r="I361" i="1"/>
  <c r="K361" i="1" s="1"/>
  <c r="I362" i="1"/>
  <c r="K362" i="1" s="1"/>
  <c r="G380" i="1"/>
  <c r="G382" i="1"/>
  <c r="I383" i="1"/>
  <c r="K383" i="1" s="1"/>
  <c r="G384" i="1"/>
  <c r="I385" i="1"/>
  <c r="K385" i="1" s="1"/>
  <c r="G386" i="1"/>
  <c r="I388" i="1"/>
  <c r="K388" i="1" s="1"/>
  <c r="I473" i="1"/>
  <c r="K473" i="1" s="1"/>
  <c r="G485" i="1"/>
  <c r="G488" i="1"/>
  <c r="G490" i="1"/>
  <c r="I494" i="1"/>
  <c r="K494" i="1" s="1"/>
  <c r="G495" i="1"/>
  <c r="G497" i="1"/>
  <c r="I498" i="1"/>
  <c r="K498" i="1" s="1"/>
  <c r="G499" i="1"/>
  <c r="I500" i="1"/>
  <c r="K500" i="1" s="1"/>
  <c r="I505" i="1"/>
  <c r="K505" i="1" s="1"/>
  <c r="G560" i="1"/>
  <c r="G562" i="1"/>
  <c r="G564" i="1"/>
  <c r="H568" i="1"/>
  <c r="G568" i="1"/>
  <c r="H570" i="1"/>
  <c r="G570" i="1"/>
  <c r="H572" i="1"/>
  <c r="G572" i="1"/>
  <c r="F632" i="1"/>
  <c r="C634" i="1" s="1"/>
  <c r="E32" i="2" s="1"/>
  <c r="G617" i="1"/>
  <c r="I710" i="1"/>
  <c r="K710" i="1" s="1"/>
  <c r="K712" i="1"/>
  <c r="G713" i="1"/>
  <c r="I531" i="1"/>
  <c r="K531" i="1" s="1"/>
  <c r="F777" i="1"/>
  <c r="C779" i="1" s="1"/>
  <c r="K849" i="1"/>
  <c r="K502" i="1"/>
  <c r="F553" i="1"/>
  <c r="C555" i="1" s="1"/>
  <c r="H547" i="1"/>
  <c r="G547" i="1"/>
  <c r="L592" i="1"/>
  <c r="L595" i="1" s="1"/>
  <c r="K618" i="1"/>
  <c r="I621" i="1"/>
  <c r="K621" i="1" s="1"/>
  <c r="I625" i="1"/>
  <c r="K625" i="1" s="1"/>
  <c r="G860" i="1"/>
  <c r="G862" i="1"/>
  <c r="G866" i="1"/>
  <c r="H868" i="1"/>
  <c r="G868" i="1"/>
  <c r="H870" i="1"/>
  <c r="G870" i="1"/>
  <c r="H872" i="1"/>
  <c r="G872" i="1"/>
  <c r="I652" i="1"/>
  <c r="K652" i="1" s="1"/>
  <c r="I654" i="1"/>
  <c r="K654" i="1" s="1"/>
  <c r="I660" i="1"/>
  <c r="K660" i="1" s="1"/>
  <c r="K713" i="1"/>
  <c r="K714" i="1"/>
  <c r="I799" i="1"/>
  <c r="K799" i="1" s="1"/>
  <c r="I812" i="1"/>
  <c r="K812" i="1" s="1"/>
  <c r="K837" i="1"/>
  <c r="F1062" i="1"/>
  <c r="F1180" i="1"/>
  <c r="C1182" i="1" s="1"/>
  <c r="L1182" i="1" s="1"/>
  <c r="H1179" i="1" s="1"/>
  <c r="L1180" i="1"/>
  <c r="L1183" i="1" s="1"/>
  <c r="H1173" i="1"/>
  <c r="G1173" i="1"/>
  <c r="F1201" i="1"/>
  <c r="G1367" i="1"/>
  <c r="H1367" i="1"/>
  <c r="F802" i="1"/>
  <c r="C804" i="1" s="1"/>
  <c r="H847" i="1"/>
  <c r="H996" i="1"/>
  <c r="G996" i="1"/>
  <c r="I681" i="1"/>
  <c r="K681" i="1" s="1"/>
  <c r="I685" i="1"/>
  <c r="K685" i="1" s="1"/>
  <c r="I689" i="1"/>
  <c r="K689" i="1" s="1"/>
  <c r="G1055" i="1"/>
  <c r="F1084" i="1"/>
  <c r="C1086" i="1" s="1"/>
  <c r="F1105" i="1"/>
  <c r="C1107" i="1" s="1"/>
  <c r="E1107" i="1" s="1"/>
  <c r="H1102" i="1" s="1"/>
  <c r="H1092" i="1"/>
  <c r="G1092" i="1"/>
  <c r="H1113" i="1"/>
  <c r="G1113" i="1"/>
  <c r="H1115" i="1"/>
  <c r="G1115" i="1"/>
  <c r="H1117" i="1"/>
  <c r="G1117" i="1"/>
  <c r="H1119" i="1"/>
  <c r="G1119" i="1"/>
  <c r="H1121" i="1"/>
  <c r="G1121" i="1"/>
  <c r="K1149" i="1"/>
  <c r="I1189" i="1"/>
  <c r="K1189" i="1" s="1"/>
  <c r="H1304" i="1"/>
  <c r="G1304" i="1"/>
  <c r="I797" i="1"/>
  <c r="K797" i="1" s="1"/>
  <c r="K1071" i="1"/>
  <c r="K1136" i="1"/>
  <c r="G1142" i="1"/>
  <c r="H1144" i="1"/>
  <c r="H1158" i="1" s="1"/>
  <c r="G1144" i="1"/>
  <c r="H1150" i="1"/>
  <c r="G1150" i="1"/>
  <c r="G1166" i="1"/>
  <c r="I1193" i="1"/>
  <c r="K1193" i="1" s="1"/>
  <c r="H1354" i="1"/>
  <c r="G1354" i="1"/>
  <c r="I995" i="1"/>
  <c r="K995" i="1" s="1"/>
  <c r="G678" i="1"/>
  <c r="G680" i="1"/>
  <c r="H682" i="1"/>
  <c r="G682" i="1"/>
  <c r="H684" i="1"/>
  <c r="H723" i="1" s="1"/>
  <c r="G684" i="1"/>
  <c r="H686" i="1"/>
  <c r="G686" i="1"/>
  <c r="H688" i="1"/>
  <c r="G688" i="1"/>
  <c r="H690" i="1"/>
  <c r="G690" i="1"/>
  <c r="G1048" i="1"/>
  <c r="H1050" i="1"/>
  <c r="G1050" i="1"/>
  <c r="H1095" i="1"/>
  <c r="G1095" i="1"/>
  <c r="H1097" i="1"/>
  <c r="G1097" i="1"/>
  <c r="H1099" i="1"/>
  <c r="G1099" i="1"/>
  <c r="I1112" i="1"/>
  <c r="I1116" i="1"/>
  <c r="K1116" i="1" s="1"/>
  <c r="I1120" i="1"/>
  <c r="K1120" i="1" s="1"/>
  <c r="F1127" i="1"/>
  <c r="C1129" i="1" s="1"/>
  <c r="F1158" i="1"/>
  <c r="C1160" i="1" s="1"/>
  <c r="H1134" i="1"/>
  <c r="K1145" i="1"/>
  <c r="K1166" i="1"/>
  <c r="K1167" i="1"/>
  <c r="I1190" i="1"/>
  <c r="K1190" i="1" s="1"/>
  <c r="I1210" i="1"/>
  <c r="I1212" i="1"/>
  <c r="K1212" i="1" s="1"/>
  <c r="F1316" i="1"/>
  <c r="C1318" i="1" s="1"/>
  <c r="H1300" i="1"/>
  <c r="G1300" i="1"/>
  <c r="H1308" i="1"/>
  <c r="G1308" i="1"/>
  <c r="I1348" i="1"/>
  <c r="K1348" i="1" s="1"/>
  <c r="H1350" i="1"/>
  <c r="H1468" i="1"/>
  <c r="G1468" i="1"/>
  <c r="F1478" i="1"/>
  <c r="C1480" i="1" s="1"/>
  <c r="H37" i="2" s="1"/>
  <c r="H1472" i="1"/>
  <c r="G1472" i="1"/>
  <c r="L1292" i="1"/>
  <c r="L1295" i="1" s="1"/>
  <c r="I1287" i="1"/>
  <c r="K1287" i="1" s="1"/>
  <c r="I1326" i="1"/>
  <c r="K1326" i="1" s="1"/>
  <c r="I1328" i="1"/>
  <c r="K1328" i="1" s="1"/>
  <c r="I1330" i="1"/>
  <c r="K1330" i="1" s="1"/>
  <c r="I1332" i="1"/>
  <c r="K1332" i="1" s="1"/>
  <c r="H1346" i="1"/>
  <c r="G1346" i="1"/>
  <c r="I1366" i="1"/>
  <c r="K1366" i="1" s="1"/>
  <c r="G1370" i="1"/>
  <c r="H1370" i="1"/>
  <c r="H1447" i="1"/>
  <c r="G1447" i="1"/>
  <c r="H1451" i="1"/>
  <c r="G1451" i="1"/>
  <c r="L1224" i="1"/>
  <c r="L1227" i="1" s="1"/>
  <c r="K1214" i="1"/>
  <c r="I1278" i="1"/>
  <c r="K1278" i="1" s="1"/>
  <c r="I1280" i="1"/>
  <c r="K1280" i="1" s="1"/>
  <c r="I1282" i="1"/>
  <c r="K1282" i="1" s="1"/>
  <c r="I1284" i="1"/>
  <c r="K1284" i="1" s="1"/>
  <c r="K1286" i="1"/>
  <c r="H1302" i="1"/>
  <c r="G1302" i="1"/>
  <c r="H1306" i="1"/>
  <c r="G1306" i="1"/>
  <c r="H1310" i="1"/>
  <c r="G1310" i="1"/>
  <c r="I1403" i="1"/>
  <c r="K1403" i="1" s="1"/>
  <c r="I1607" i="1"/>
  <c r="K1607" i="1" s="1"/>
  <c r="G1071" i="1"/>
  <c r="K1187" i="1"/>
  <c r="K1191" i="1"/>
  <c r="K1195" i="1"/>
  <c r="I892" i="1"/>
  <c r="K892" i="1" s="1"/>
  <c r="I894" i="1"/>
  <c r="K894" i="1" s="1"/>
  <c r="I896" i="1"/>
  <c r="K896" i="1" s="1"/>
  <c r="I898" i="1"/>
  <c r="K898" i="1" s="1"/>
  <c r="K904" i="1"/>
  <c r="K1208" i="1"/>
  <c r="K1216" i="1"/>
  <c r="I1233" i="1"/>
  <c r="K1233" i="1" s="1"/>
  <c r="I1235" i="1"/>
  <c r="K1235" i="1" s="1"/>
  <c r="I1237" i="1"/>
  <c r="K1237" i="1" s="1"/>
  <c r="I1239" i="1"/>
  <c r="K1239" i="1" s="1"/>
  <c r="I1241" i="1"/>
  <c r="K1241" i="1" s="1"/>
  <c r="F1269" i="1"/>
  <c r="I1255" i="1"/>
  <c r="K1255" i="1" s="1"/>
  <c r="I1257" i="1"/>
  <c r="K1257" i="1" s="1"/>
  <c r="I1259" i="1"/>
  <c r="K1259" i="1" s="1"/>
  <c r="I1261" i="1"/>
  <c r="K1261" i="1" s="1"/>
  <c r="I1263" i="1"/>
  <c r="K1263" i="1" s="1"/>
  <c r="G1276" i="1"/>
  <c r="K1277" i="1"/>
  <c r="K1279" i="1"/>
  <c r="K1281" i="1"/>
  <c r="K1283" i="1"/>
  <c r="K1285" i="1"/>
  <c r="F1292" i="1"/>
  <c r="C1294" i="1" s="1"/>
  <c r="H33" i="2" s="1"/>
  <c r="I1570" i="1"/>
  <c r="K1570" i="1" s="1"/>
  <c r="I1705" i="1"/>
  <c r="K1705" i="1" s="1"/>
  <c r="H1231" i="1"/>
  <c r="H1253" i="1"/>
  <c r="F1374" i="1"/>
  <c r="C1376" i="1" s="1"/>
  <c r="L1376" i="1" s="1"/>
  <c r="H1372" i="1" s="1"/>
  <c r="L1374" i="1"/>
  <c r="L1377" i="1" s="1"/>
  <c r="H1373" i="1" s="1"/>
  <c r="H1381" i="1"/>
  <c r="F1389" i="1"/>
  <c r="C1391" i="1" s="1"/>
  <c r="G1381" i="1"/>
  <c r="H1385" i="1"/>
  <c r="G1385" i="1"/>
  <c r="L1413" i="1"/>
  <c r="L1416" i="1" s="1"/>
  <c r="H1399" i="1"/>
  <c r="G1399" i="1"/>
  <c r="I1401" i="1"/>
  <c r="K1401" i="1" s="1"/>
  <c r="I1538" i="1"/>
  <c r="K1538" i="1" s="1"/>
  <c r="F1758" i="1"/>
  <c r="C1760" i="1" s="1"/>
  <c r="G1755" i="1"/>
  <c r="F1338" i="1"/>
  <c r="C1340" i="1" s="1"/>
  <c r="E1340" i="1" s="1"/>
  <c r="H1335" i="1" s="1"/>
  <c r="F1357" i="1"/>
  <c r="C1359" i="1" s="1"/>
  <c r="E1359" i="1" s="1"/>
  <c r="H1356" i="1" s="1"/>
  <c r="I1407" i="1"/>
  <c r="K1407" i="1" s="1"/>
  <c r="H1449" i="1"/>
  <c r="G1449" i="1"/>
  <c r="H1453" i="1"/>
  <c r="G1453" i="1"/>
  <c r="H1470" i="1"/>
  <c r="G1470" i="1"/>
  <c r="H1474" i="1"/>
  <c r="G1474" i="1"/>
  <c r="I1536" i="1"/>
  <c r="K1536" i="1" s="1"/>
  <c r="H1564" i="1"/>
  <c r="G1564" i="1"/>
  <c r="I1647" i="1"/>
  <c r="H1777" i="1"/>
  <c r="G1777" i="1"/>
  <c r="I1364" i="1"/>
  <c r="H1365" i="1"/>
  <c r="L1389" i="1"/>
  <c r="L1392" i="1" s="1"/>
  <c r="H1383" i="1"/>
  <c r="G1383" i="1"/>
  <c r="I1405" i="1"/>
  <c r="K1405" i="1" s="1"/>
  <c r="G1444" i="1"/>
  <c r="I1534" i="1"/>
  <c r="K1534" i="1" s="1"/>
  <c r="I1543" i="1"/>
  <c r="K1543" i="1" s="1"/>
  <c r="F1580" i="1"/>
  <c r="C1582" i="1" s="1"/>
  <c r="K29" i="2" s="1"/>
  <c r="I1629" i="1"/>
  <c r="K1629" i="1" s="1"/>
  <c r="K1388" i="1"/>
  <c r="F1413" i="1"/>
  <c r="C1415" i="1" s="1"/>
  <c r="G1396" i="1"/>
  <c r="K1422" i="1"/>
  <c r="I1423" i="1"/>
  <c r="K1423" i="1" s="1"/>
  <c r="I1427" i="1"/>
  <c r="K1427" i="1" s="1"/>
  <c r="I1431" i="1"/>
  <c r="K1431" i="1" s="1"/>
  <c r="I1553" i="1"/>
  <c r="K1553" i="1" s="1"/>
  <c r="H1572" i="1"/>
  <c r="G1572" i="1"/>
  <c r="I1609" i="1"/>
  <c r="K1609" i="1" s="1"/>
  <c r="H1671" i="1"/>
  <c r="G1671" i="1"/>
  <c r="H1675" i="1"/>
  <c r="G1675" i="1"/>
  <c r="H1402" i="1"/>
  <c r="G1402" i="1"/>
  <c r="H1404" i="1"/>
  <c r="G1404" i="1"/>
  <c r="H1406" i="1"/>
  <c r="G1406" i="1"/>
  <c r="I1446" i="1"/>
  <c r="K1446" i="1" s="1"/>
  <c r="I1448" i="1"/>
  <c r="K1448" i="1" s="1"/>
  <c r="I1450" i="1"/>
  <c r="K1450" i="1" s="1"/>
  <c r="I1452" i="1"/>
  <c r="K1452" i="1" s="1"/>
  <c r="I1454" i="1"/>
  <c r="K1454" i="1" s="1"/>
  <c r="I1467" i="1"/>
  <c r="I1469" i="1"/>
  <c r="K1469" i="1" s="1"/>
  <c r="I1471" i="1"/>
  <c r="K1471" i="1" s="1"/>
  <c r="F1554" i="1"/>
  <c r="H1535" i="1"/>
  <c r="G1535" i="1"/>
  <c r="H1537" i="1"/>
  <c r="G1537" i="1"/>
  <c r="H1540" i="1"/>
  <c r="G1540" i="1"/>
  <c r="H1545" i="1"/>
  <c r="G1545" i="1"/>
  <c r="I1563" i="1"/>
  <c r="I1576" i="1"/>
  <c r="K1576" i="1" s="1"/>
  <c r="H1588" i="1"/>
  <c r="G1588" i="1"/>
  <c r="K1591" i="1"/>
  <c r="I1595" i="1"/>
  <c r="K1595" i="1" s="1"/>
  <c r="I1597" i="1"/>
  <c r="K1597" i="1" s="1"/>
  <c r="H1612" i="1"/>
  <c r="G1612" i="1"/>
  <c r="H1632" i="1"/>
  <c r="G1632" i="1"/>
  <c r="H1650" i="1"/>
  <c r="F1661" i="1"/>
  <c r="C1663" i="1" s="1"/>
  <c r="G1650" i="1"/>
  <c r="G1387" i="1"/>
  <c r="I1396" i="1"/>
  <c r="H1424" i="1"/>
  <c r="G1424" i="1"/>
  <c r="H1426" i="1"/>
  <c r="G1426" i="1"/>
  <c r="H1428" i="1"/>
  <c r="G1428" i="1"/>
  <c r="H1430" i="1"/>
  <c r="G1430" i="1"/>
  <c r="F1460" i="1"/>
  <c r="C1462" i="1" s="1"/>
  <c r="I1445" i="1"/>
  <c r="K1445" i="1" s="1"/>
  <c r="K1541" i="1"/>
  <c r="H1568" i="1"/>
  <c r="G1568" i="1"/>
  <c r="I1593" i="1"/>
  <c r="K1593" i="1" s="1"/>
  <c r="I1610" i="1"/>
  <c r="K1610" i="1" s="1"/>
  <c r="H1613" i="1"/>
  <c r="G1613" i="1"/>
  <c r="F1682" i="1"/>
  <c r="C1684" i="1" s="1"/>
  <c r="H1669" i="1"/>
  <c r="G1669" i="1"/>
  <c r="H1673" i="1"/>
  <c r="G1673" i="1"/>
  <c r="H1677" i="1"/>
  <c r="G1677" i="1"/>
  <c r="F1640" i="1"/>
  <c r="H1625" i="1"/>
  <c r="I1690" i="1"/>
  <c r="K1690" i="1" s="1"/>
  <c r="I1692" i="1"/>
  <c r="K1692" i="1" s="1"/>
  <c r="I1694" i="1"/>
  <c r="K1694" i="1" s="1"/>
  <c r="I1697" i="1"/>
  <c r="K1697" i="1" s="1"/>
  <c r="I1701" i="1"/>
  <c r="K1701" i="1" s="1"/>
  <c r="I1743" i="1"/>
  <c r="K1743" i="1" s="1"/>
  <c r="I1751" i="1"/>
  <c r="K1751" i="1" s="1"/>
  <c r="F1781" i="1"/>
  <c r="C1783" i="1" s="1"/>
  <c r="H1765" i="1"/>
  <c r="G1765" i="1"/>
  <c r="H1771" i="1"/>
  <c r="G1771" i="1"/>
  <c r="F1618" i="1"/>
  <c r="C1620" i="1" s="1"/>
  <c r="K30" i="2" s="1"/>
  <c r="H1606" i="1"/>
  <c r="G1625" i="1"/>
  <c r="I1631" i="1"/>
  <c r="K1631" i="1" s="1"/>
  <c r="L1661" i="1"/>
  <c r="L1664" i="1" s="1"/>
  <c r="I1649" i="1"/>
  <c r="K1649" i="1" s="1"/>
  <c r="G1652" i="1"/>
  <c r="I1670" i="1"/>
  <c r="K1670" i="1" s="1"/>
  <c r="I1672" i="1"/>
  <c r="K1672" i="1" s="1"/>
  <c r="I1674" i="1"/>
  <c r="K1674" i="1" s="1"/>
  <c r="I1676" i="1"/>
  <c r="K1676" i="1" s="1"/>
  <c r="I1678" i="1"/>
  <c r="K1678" i="1" s="1"/>
  <c r="I1741" i="1"/>
  <c r="K1741" i="1" s="1"/>
  <c r="I1749" i="1"/>
  <c r="K1749" i="1" s="1"/>
  <c r="G1769" i="1"/>
  <c r="H1794" i="1"/>
  <c r="G1794" i="1"/>
  <c r="G1563" i="1"/>
  <c r="L1580" i="1"/>
  <c r="L1583" i="1" s="1"/>
  <c r="H1569" i="1"/>
  <c r="H1574" i="1"/>
  <c r="I1587" i="1"/>
  <c r="K1589" i="1"/>
  <c r="G1590" i="1"/>
  <c r="H1596" i="1"/>
  <c r="G1596" i="1"/>
  <c r="G1606" i="1"/>
  <c r="K1627" i="1"/>
  <c r="I1633" i="1"/>
  <c r="K1633" i="1" s="1"/>
  <c r="I1651" i="1"/>
  <c r="K1651" i="1" s="1"/>
  <c r="K1652" i="1"/>
  <c r="K1653" i="1"/>
  <c r="G1654" i="1"/>
  <c r="F1707" i="1"/>
  <c r="C1709" i="1" s="1"/>
  <c r="E1709" i="1" s="1"/>
  <c r="H1703" i="1" s="1"/>
  <c r="H1689" i="1"/>
  <c r="G1689" i="1"/>
  <c r="H1691" i="1"/>
  <c r="G1691" i="1"/>
  <c r="H1693" i="1"/>
  <c r="G1693" i="1"/>
  <c r="H1695" i="1"/>
  <c r="G1695" i="1"/>
  <c r="H1698" i="1"/>
  <c r="G1698" i="1"/>
  <c r="L1758" i="1"/>
  <c r="L1761" i="1" s="1"/>
  <c r="I1747" i="1"/>
  <c r="K1747" i="1" s="1"/>
  <c r="G1767" i="1"/>
  <c r="H1773" i="1"/>
  <c r="G1773" i="1"/>
  <c r="K1779" i="1"/>
  <c r="H1790" i="1"/>
  <c r="G1790" i="1"/>
  <c r="F1807" i="1"/>
  <c r="C1809" i="1" s="1"/>
  <c r="E1809" i="1" s="1"/>
  <c r="G1806" i="1"/>
  <c r="G1807" i="1" s="1"/>
  <c r="I1810" i="1"/>
  <c r="K1810" i="1" s="1"/>
  <c r="M1810" i="1" s="1"/>
  <c r="I1714" i="1"/>
  <c r="F1733" i="1"/>
  <c r="C1735" i="1" s="1"/>
  <c r="H1740" i="1"/>
  <c r="G1740" i="1"/>
  <c r="H1742" i="1"/>
  <c r="G1742" i="1"/>
  <c r="H1744" i="1"/>
  <c r="G1744" i="1"/>
  <c r="H1746" i="1"/>
  <c r="G1746" i="1"/>
  <c r="H1748" i="1"/>
  <c r="G1748" i="1"/>
  <c r="H1750" i="1"/>
  <c r="G1750" i="1"/>
  <c r="H1752" i="1"/>
  <c r="G1752" i="1"/>
  <c r="I1768" i="1"/>
  <c r="K1768" i="1" s="1"/>
  <c r="I1770" i="1"/>
  <c r="K1770" i="1" s="1"/>
  <c r="F1823" i="1"/>
  <c r="C1825" i="1" s="1"/>
  <c r="E1825" i="1" s="1"/>
  <c r="G1822" i="1"/>
  <c r="G1823" i="1" s="1"/>
  <c r="H1788" i="1"/>
  <c r="G1788" i="1"/>
  <c r="H1792" i="1"/>
  <c r="G1792" i="1"/>
  <c r="H1823" i="1"/>
  <c r="H1826" i="1" s="1"/>
  <c r="I1826" i="1" s="1"/>
  <c r="I1814" i="1"/>
  <c r="I1823" i="1" s="1"/>
  <c r="G1247" i="1" l="1"/>
  <c r="B41" i="2"/>
  <c r="G338" i="1"/>
  <c r="G1063" i="1"/>
  <c r="H8" i="2"/>
  <c r="G1160" i="1"/>
  <c r="F1828" i="1"/>
  <c r="K11" i="2"/>
  <c r="G1557" i="1"/>
  <c r="G1555" i="1"/>
  <c r="B43" i="2"/>
  <c r="C1064" i="1"/>
  <c r="L1828" i="1"/>
  <c r="C137" i="1"/>
  <c r="G109" i="1" s="1"/>
  <c r="B12" i="2"/>
  <c r="H1661" i="1"/>
  <c r="H1664" i="1" s="1"/>
  <c r="G1065" i="1"/>
  <c r="E36" i="2"/>
  <c r="C1203" i="1"/>
  <c r="B33" i="2"/>
  <c r="E37" i="2"/>
  <c r="H36" i="2"/>
  <c r="B35" i="2"/>
  <c r="G214" i="1"/>
  <c r="G514" i="1"/>
  <c r="C1271" i="1"/>
  <c r="H32" i="2" s="1"/>
  <c r="M1826" i="1"/>
  <c r="E29" i="2"/>
  <c r="B30" i="2"/>
  <c r="B40" i="2"/>
  <c r="C583" i="1"/>
  <c r="E31" i="2" s="1"/>
  <c r="B36" i="2"/>
  <c r="H34" i="2"/>
  <c r="H11" i="2"/>
  <c r="E672" i="1"/>
  <c r="E33" i="2"/>
  <c r="E28" i="2"/>
  <c r="L1438" i="1"/>
  <c r="H35" i="2"/>
  <c r="E18" i="2"/>
  <c r="H29" i="2"/>
  <c r="G478" i="1"/>
  <c r="H283" i="1"/>
  <c r="H286" i="1" s="1"/>
  <c r="A11" i="3" s="1"/>
  <c r="G135" i="1"/>
  <c r="C1248" i="1"/>
  <c r="G1248" i="1" s="1"/>
  <c r="E1294" i="1"/>
  <c r="H1288" i="1" s="1"/>
  <c r="H1292" i="1" s="1"/>
  <c r="H1295" i="1" s="1"/>
  <c r="H540" i="1"/>
  <c r="H543" i="1" s="1"/>
  <c r="G880" i="1"/>
  <c r="H513" i="1"/>
  <c r="H516" i="1" s="1"/>
  <c r="G513" i="1"/>
  <c r="H581" i="1"/>
  <c r="K677" i="1"/>
  <c r="K888" i="1"/>
  <c r="I650" i="1"/>
  <c r="H905" i="1"/>
  <c r="H908" i="1" s="1"/>
  <c r="G581" i="1"/>
  <c r="G540" i="1"/>
  <c r="G905" i="1"/>
  <c r="G726" i="1"/>
  <c r="G827" i="1"/>
  <c r="H827" i="1"/>
  <c r="H830" i="1" s="1"/>
  <c r="H477" i="1"/>
  <c r="H480" i="1" s="1"/>
  <c r="H880" i="1"/>
  <c r="H726" i="1"/>
  <c r="H729" i="1" s="1"/>
  <c r="H632" i="1"/>
  <c r="H635" i="1" s="1"/>
  <c r="H697" i="1"/>
  <c r="H700" i="1" s="1"/>
  <c r="G477" i="1"/>
  <c r="G697" i="1"/>
  <c r="K1061" i="1"/>
  <c r="I891" i="1"/>
  <c r="K891" i="1" s="1"/>
  <c r="I944" i="1"/>
  <c r="H948" i="1"/>
  <c r="H949" i="1"/>
  <c r="H947" i="1"/>
  <c r="I757" i="1"/>
  <c r="K757" i="1" s="1"/>
  <c r="I900" i="1"/>
  <c r="K900" i="1" s="1"/>
  <c r="K611" i="1"/>
  <c r="C1642" i="1"/>
  <c r="I687" i="1"/>
  <c r="K687" i="1" s="1"/>
  <c r="H975" i="1"/>
  <c r="H977" i="1"/>
  <c r="H976" i="1"/>
  <c r="H919" i="1"/>
  <c r="H921" i="1"/>
  <c r="H920" i="1"/>
  <c r="C882" i="1"/>
  <c r="G765" i="1" s="1"/>
  <c r="C1558" i="1"/>
  <c r="C1556" i="1"/>
  <c r="I251" i="1"/>
  <c r="K251" i="1" s="1"/>
  <c r="K1057" i="1"/>
  <c r="I227" i="1"/>
  <c r="K227" i="1" s="1"/>
  <c r="I152" i="1"/>
  <c r="K152" i="1" s="1"/>
  <c r="I874" i="1"/>
  <c r="K874" i="1" s="1"/>
  <c r="I683" i="1"/>
  <c r="K683" i="1" s="1"/>
  <c r="I723" i="1"/>
  <c r="K723" i="1" s="1"/>
  <c r="E1800" i="1"/>
  <c r="H1796" i="1" s="1"/>
  <c r="H1798" i="1" s="1"/>
  <c r="H1801" i="1" s="1"/>
  <c r="I877" i="1"/>
  <c r="K877" i="1" s="1"/>
  <c r="I873" i="1"/>
  <c r="K873" i="1" s="1"/>
  <c r="I448" i="1"/>
  <c r="K448" i="1" s="1"/>
  <c r="I452" i="1"/>
  <c r="K452" i="1" s="1"/>
  <c r="I450" i="1"/>
  <c r="K450" i="1" s="1"/>
  <c r="I459" i="1"/>
  <c r="K459" i="1" s="1"/>
  <c r="I461" i="1"/>
  <c r="K461" i="1" s="1"/>
  <c r="I457" i="1"/>
  <c r="K457" i="1" s="1"/>
  <c r="K1165" i="1"/>
  <c r="K1174" i="1"/>
  <c r="K1135" i="1"/>
  <c r="K88" i="1"/>
  <c r="K144" i="1"/>
  <c r="K1475" i="1"/>
  <c r="H1224" i="1"/>
  <c r="H1227" i="1" s="1"/>
  <c r="K1717" i="1"/>
  <c r="L1685" i="1"/>
  <c r="H840" i="1"/>
  <c r="H843" i="1" s="1"/>
  <c r="I843" i="1" s="1"/>
  <c r="K843" i="1" s="1"/>
  <c r="M843" i="1" s="1"/>
  <c r="K705" i="1"/>
  <c r="K1217" i="1"/>
  <c r="G1733" i="1"/>
  <c r="K1053" i="1"/>
  <c r="K1075" i="1"/>
  <c r="K1386" i="1"/>
  <c r="K193" i="1"/>
  <c r="K1052" i="1"/>
  <c r="K818" i="1"/>
  <c r="K1721" i="1"/>
  <c r="K1073" i="1"/>
  <c r="K198" i="1"/>
  <c r="G1180" i="1"/>
  <c r="K815" i="1"/>
  <c r="K1725" i="1"/>
  <c r="K1138" i="1"/>
  <c r="K148" i="1"/>
  <c r="G1478" i="1"/>
  <c r="G840" i="1"/>
  <c r="K243" i="1"/>
  <c r="K315" i="1"/>
  <c r="H130" i="1"/>
  <c r="G852" i="1"/>
  <c r="H1729" i="1"/>
  <c r="I1729" i="1" s="1"/>
  <c r="H259" i="1"/>
  <c r="H262" i="1" s="1"/>
  <c r="K811" i="1"/>
  <c r="I1122" i="1"/>
  <c r="K1122" i="1" s="1"/>
  <c r="K1719" i="1"/>
  <c r="G1682" i="1"/>
  <c r="K1723" i="1"/>
  <c r="K1715" i="1"/>
  <c r="G1554" i="1"/>
  <c r="H1338" i="1"/>
  <c r="H1341" i="1" s="1"/>
  <c r="I1341" i="1" s="1"/>
  <c r="K1341" i="1" s="1"/>
  <c r="M1341" i="1" s="1"/>
  <c r="K1093" i="1"/>
  <c r="H1460" i="1"/>
  <c r="H1463" i="1" s="1"/>
  <c r="A42" i="3" s="1"/>
  <c r="B42" i="3" s="1"/>
  <c r="C42" i="3" s="1"/>
  <c r="G1201" i="1"/>
  <c r="G1599" i="1"/>
  <c r="G56" i="1"/>
  <c r="G1781" i="1"/>
  <c r="G1661" i="1"/>
  <c r="K1443" i="1"/>
  <c r="G1246" i="1"/>
  <c r="H1436" i="1"/>
  <c r="H1439" i="1" s="1"/>
  <c r="K350" i="1"/>
  <c r="K223" i="1"/>
  <c r="K143" i="1"/>
  <c r="G259" i="1"/>
  <c r="K250" i="1"/>
  <c r="I408" i="1"/>
  <c r="K408" i="1" s="1"/>
  <c r="G301" i="1"/>
  <c r="K226" i="1"/>
  <c r="G283" i="1"/>
  <c r="K86" i="1"/>
  <c r="G235" i="1"/>
  <c r="H235" i="1"/>
  <c r="H238" i="1" s="1"/>
  <c r="K814" i="1"/>
  <c r="K691" i="1"/>
  <c r="G632" i="1"/>
  <c r="G1105" i="1"/>
  <c r="G777" i="1"/>
  <c r="I840" i="1"/>
  <c r="G789" i="1"/>
  <c r="G336" i="1"/>
  <c r="G212" i="1"/>
  <c r="I51" i="1"/>
  <c r="K51" i="1" s="1"/>
  <c r="I192" i="1"/>
  <c r="K192" i="1" s="1"/>
  <c r="I151" i="1"/>
  <c r="K151" i="1" s="1"/>
  <c r="I1076" i="1"/>
  <c r="K1076" i="1" s="1"/>
  <c r="I346" i="1"/>
  <c r="K346" i="1" s="1"/>
  <c r="I122" i="1"/>
  <c r="K122" i="1" s="1"/>
  <c r="I118" i="1"/>
  <c r="K118" i="1" s="1"/>
  <c r="K190" i="1"/>
  <c r="I612" i="1"/>
  <c r="K612" i="1" s="1"/>
  <c r="I1074" i="1"/>
  <c r="K1074" i="1" s="1"/>
  <c r="I222" i="1"/>
  <c r="K222" i="1" s="1"/>
  <c r="I1072" i="1"/>
  <c r="K1072" i="1" s="1"/>
  <c r="I316" i="1"/>
  <c r="K316" i="1" s="1"/>
  <c r="I220" i="1"/>
  <c r="G1084" i="1"/>
  <c r="H1105" i="1"/>
  <c r="H1108" i="1" s="1"/>
  <c r="I1108" i="1" s="1"/>
  <c r="K813" i="1"/>
  <c r="G802" i="1"/>
  <c r="G763" i="1"/>
  <c r="G592" i="1"/>
  <c r="H212" i="1"/>
  <c r="H215" i="1" s="1"/>
  <c r="K318" i="1"/>
  <c r="H107" i="1"/>
  <c r="H110" i="1" s="1"/>
  <c r="A5" i="3" s="1"/>
  <c r="B5" i="3" s="1"/>
  <c r="C5" i="3" s="1"/>
  <c r="G1338" i="1"/>
  <c r="K1384" i="1"/>
  <c r="K1301" i="1"/>
  <c r="G1292" i="1"/>
  <c r="G1357" i="1"/>
  <c r="I1382" i="1"/>
  <c r="K1382" i="1" s="1"/>
  <c r="I1307" i="1"/>
  <c r="K1307" i="1" s="1"/>
  <c r="G1374" i="1"/>
  <c r="G1269" i="1"/>
  <c r="G1436" i="1"/>
  <c r="H1413" i="1"/>
  <c r="G1158" i="1"/>
  <c r="G1062" i="1"/>
  <c r="I1055" i="1"/>
  <c r="K1055" i="1" s="1"/>
  <c r="G1224" i="1"/>
  <c r="I1224" i="1"/>
  <c r="K1210" i="1"/>
  <c r="I1234" i="1"/>
  <c r="K1234" i="1" s="1"/>
  <c r="I1232" i="1"/>
  <c r="K1232" i="1" s="1"/>
  <c r="I1256" i="1"/>
  <c r="K1256" i="1" s="1"/>
  <c r="I1258" i="1"/>
  <c r="K1258" i="1" s="1"/>
  <c r="I1752" i="1"/>
  <c r="K1752" i="1" s="1"/>
  <c r="I1703" i="1"/>
  <c r="K1703" i="1" s="1"/>
  <c r="I1794" i="1"/>
  <c r="K1794" i="1" s="1"/>
  <c r="I1625" i="1"/>
  <c r="K1625" i="1" s="1"/>
  <c r="H1640" i="1"/>
  <c r="I1777" i="1"/>
  <c r="K1777" i="1" s="1"/>
  <c r="L1760" i="1"/>
  <c r="H1756" i="1" s="1"/>
  <c r="E1760" i="1"/>
  <c r="H1755" i="1" s="1"/>
  <c r="H1246" i="1"/>
  <c r="H1249" i="1" s="1"/>
  <c r="I1231" i="1"/>
  <c r="E1318" i="1"/>
  <c r="L1318" i="1"/>
  <c r="I1099" i="1"/>
  <c r="K1099" i="1" s="1"/>
  <c r="I688" i="1"/>
  <c r="K688" i="1" s="1"/>
  <c r="I680" i="1"/>
  <c r="I1150" i="1"/>
  <c r="K1150" i="1" s="1"/>
  <c r="I1142" i="1"/>
  <c r="K1142" i="1" s="1"/>
  <c r="I1304" i="1"/>
  <c r="K1304" i="1" s="1"/>
  <c r="I1115" i="1"/>
  <c r="K1115" i="1" s="1"/>
  <c r="I809" i="1"/>
  <c r="I827" i="1" s="1"/>
  <c r="I872" i="1"/>
  <c r="K872" i="1" s="1"/>
  <c r="I868" i="1"/>
  <c r="K868" i="1" s="1"/>
  <c r="I860" i="1"/>
  <c r="G553" i="1"/>
  <c r="I1047" i="1"/>
  <c r="K1047" i="1" s="1"/>
  <c r="I661" i="1"/>
  <c r="K661" i="1" s="1"/>
  <c r="I653" i="1"/>
  <c r="K653" i="1" s="1"/>
  <c r="K451" i="1"/>
  <c r="I295" i="1"/>
  <c r="K295" i="1" s="1"/>
  <c r="I123" i="1"/>
  <c r="K123" i="1" s="1"/>
  <c r="I534" i="1"/>
  <c r="K534" i="1" s="1"/>
  <c r="I4" i="1"/>
  <c r="K4" i="1" s="1"/>
  <c r="H29" i="1"/>
  <c r="H32" i="1" s="1"/>
  <c r="I32" i="1" s="1"/>
  <c r="K449" i="1"/>
  <c r="G398" i="1"/>
  <c r="I116" i="1"/>
  <c r="K116" i="1" s="1"/>
  <c r="G77" i="1"/>
  <c r="G1798" i="1"/>
  <c r="L1735" i="1"/>
  <c r="H1731" i="1" s="1"/>
  <c r="E1735" i="1"/>
  <c r="H1730" i="1" s="1"/>
  <c r="I1790" i="1"/>
  <c r="K1790" i="1" s="1"/>
  <c r="I1695" i="1"/>
  <c r="K1695" i="1" s="1"/>
  <c r="I1691" i="1"/>
  <c r="K1691" i="1" s="1"/>
  <c r="I1596" i="1"/>
  <c r="K1596" i="1" s="1"/>
  <c r="I1574" i="1"/>
  <c r="K1574" i="1" s="1"/>
  <c r="G1580" i="1"/>
  <c r="I1765" i="1"/>
  <c r="K1765" i="1" s="1"/>
  <c r="I1673" i="1"/>
  <c r="K1673" i="1" s="1"/>
  <c r="I1430" i="1"/>
  <c r="K1430" i="1" s="1"/>
  <c r="I1426" i="1"/>
  <c r="K1426" i="1" s="1"/>
  <c r="I1650" i="1"/>
  <c r="K1650" i="1" s="1"/>
  <c r="I1612" i="1"/>
  <c r="K1612" i="1" s="1"/>
  <c r="I1540" i="1"/>
  <c r="K1540" i="1" s="1"/>
  <c r="I1537" i="1"/>
  <c r="K1537" i="1" s="1"/>
  <c r="I1406" i="1"/>
  <c r="K1406" i="1" s="1"/>
  <c r="I1402" i="1"/>
  <c r="K1402" i="1" s="1"/>
  <c r="I1671" i="1"/>
  <c r="K1671" i="1" s="1"/>
  <c r="I1572" i="1"/>
  <c r="K1572" i="1" s="1"/>
  <c r="G1460" i="1"/>
  <c r="K1364" i="1"/>
  <c r="I1474" i="1"/>
  <c r="K1474" i="1" s="1"/>
  <c r="I1356" i="1"/>
  <c r="K1356" i="1" s="1"/>
  <c r="G1389" i="1"/>
  <c r="I1372" i="1"/>
  <c r="K1372" i="1" s="1"/>
  <c r="I890" i="1"/>
  <c r="I1276" i="1"/>
  <c r="K1276" i="1" s="1"/>
  <c r="I1310" i="1"/>
  <c r="K1310" i="1" s="1"/>
  <c r="I1306" i="1"/>
  <c r="K1306" i="1" s="1"/>
  <c r="I1302" i="1"/>
  <c r="K1302" i="1" s="1"/>
  <c r="I1370" i="1"/>
  <c r="K1370" i="1" s="1"/>
  <c r="I1350" i="1"/>
  <c r="K1350" i="1" s="1"/>
  <c r="I1308" i="1"/>
  <c r="K1308" i="1" s="1"/>
  <c r="L1129" i="1"/>
  <c r="H1126" i="1" s="1"/>
  <c r="E1129" i="1"/>
  <c r="H1125" i="1" s="1"/>
  <c r="K1172" i="1"/>
  <c r="G1127" i="1"/>
  <c r="I1092" i="1"/>
  <c r="K1092" i="1" s="1"/>
  <c r="G1002" i="1"/>
  <c r="I1179" i="1"/>
  <c r="K1179" i="1" s="1"/>
  <c r="H553" i="1"/>
  <c r="H556" i="1" s="1"/>
  <c r="I547" i="1"/>
  <c r="K547" i="1" s="1"/>
  <c r="I572" i="1"/>
  <c r="K572" i="1" s="1"/>
  <c r="I568" i="1"/>
  <c r="K568" i="1" s="1"/>
  <c r="I564" i="1"/>
  <c r="K564" i="1" s="1"/>
  <c r="I560" i="1"/>
  <c r="I1194" i="1"/>
  <c r="I1201" i="1" s="1"/>
  <c r="G670" i="1"/>
  <c r="K734" i="1"/>
  <c r="I624" i="1"/>
  <c r="K624" i="1" s="1"/>
  <c r="I620" i="1"/>
  <c r="K620" i="1" s="1"/>
  <c r="G604" i="1"/>
  <c r="I528" i="1"/>
  <c r="K528" i="1" s="1"/>
  <c r="I739" i="1"/>
  <c r="K739" i="1" s="1"/>
  <c r="I377" i="1"/>
  <c r="K377" i="1" s="1"/>
  <c r="I750" i="1"/>
  <c r="K750" i="1" s="1"/>
  <c r="I614" i="1"/>
  <c r="K614" i="1" s="1"/>
  <c r="I266" i="1"/>
  <c r="I308" i="1"/>
  <c r="K308" i="1" s="1"/>
  <c r="H336" i="1"/>
  <c r="H339" i="1" s="1"/>
  <c r="I199" i="1"/>
  <c r="K199" i="1" s="1"/>
  <c r="G643" i="1"/>
  <c r="K97" i="1"/>
  <c r="I42" i="1"/>
  <c r="K42" i="1" s="1"/>
  <c r="I784" i="1"/>
  <c r="H789" i="1"/>
  <c r="H792" i="1" s="1"/>
  <c r="I409" i="1"/>
  <c r="K409" i="1" s="1"/>
  <c r="I353" i="1"/>
  <c r="K353" i="1" s="1"/>
  <c r="I349" i="1"/>
  <c r="K349" i="1" s="1"/>
  <c r="I345" i="1"/>
  <c r="K345" i="1" s="1"/>
  <c r="I375" i="1"/>
  <c r="K375" i="1" s="1"/>
  <c r="H398" i="1"/>
  <c r="H401" i="1" s="1"/>
  <c r="I293" i="1"/>
  <c r="K293" i="1" s="1"/>
  <c r="I175" i="1"/>
  <c r="K175" i="1" s="1"/>
  <c r="I171" i="1"/>
  <c r="K171" i="1" s="1"/>
  <c r="I142" i="1"/>
  <c r="K142" i="1" s="1"/>
  <c r="H162" i="1"/>
  <c r="H165" i="1" s="1"/>
  <c r="I50" i="1"/>
  <c r="K50" i="1" s="1"/>
  <c r="I44" i="1"/>
  <c r="K44" i="1" s="1"/>
  <c r="I1744" i="1"/>
  <c r="K1744" i="1" s="1"/>
  <c r="I1773" i="1"/>
  <c r="K1773" i="1" s="1"/>
  <c r="K1396" i="1"/>
  <c r="I1588" i="1"/>
  <c r="I1365" i="1"/>
  <c r="I1449" i="1"/>
  <c r="K1449" i="1" s="1"/>
  <c r="I1373" i="1"/>
  <c r="K1373" i="1" s="1"/>
  <c r="I1447" i="1"/>
  <c r="K1447" i="1" s="1"/>
  <c r="I1346" i="1"/>
  <c r="H1357" i="1"/>
  <c r="H1360" i="1" s="1"/>
  <c r="I1472" i="1"/>
  <c r="K1472" i="1" s="1"/>
  <c r="I1095" i="1"/>
  <c r="I1050" i="1"/>
  <c r="K1050" i="1" s="1"/>
  <c r="I684" i="1"/>
  <c r="K684" i="1" s="1"/>
  <c r="I1119" i="1"/>
  <c r="K1119" i="1" s="1"/>
  <c r="K460" i="1"/>
  <c r="I405" i="1"/>
  <c r="K405" i="1" s="1"/>
  <c r="H417" i="1"/>
  <c r="H420" i="1" s="1"/>
  <c r="A17" i="3" s="1"/>
  <c r="K458" i="1"/>
  <c r="I526" i="1"/>
  <c r="K526" i="1" s="1"/>
  <c r="G162" i="1"/>
  <c r="I8" i="1"/>
  <c r="K8" i="1" s="1"/>
  <c r="I125" i="1"/>
  <c r="K125" i="1" s="1"/>
  <c r="I1792" i="1"/>
  <c r="K1792" i="1" s="1"/>
  <c r="I1788" i="1"/>
  <c r="I1750" i="1"/>
  <c r="K1750" i="1" s="1"/>
  <c r="I1746" i="1"/>
  <c r="K1746" i="1" s="1"/>
  <c r="I1742" i="1"/>
  <c r="K1742" i="1" s="1"/>
  <c r="K1714" i="1"/>
  <c r="G1707" i="1"/>
  <c r="G1618" i="1"/>
  <c r="I1569" i="1"/>
  <c r="K1569" i="1" s="1"/>
  <c r="G1640" i="1"/>
  <c r="K1587" i="1"/>
  <c r="I1613" i="1"/>
  <c r="K1613" i="1" s="1"/>
  <c r="K1467" i="1"/>
  <c r="K1563" i="1"/>
  <c r="G1413" i="1"/>
  <c r="I1444" i="1"/>
  <c r="K1444" i="1" s="1"/>
  <c r="I1383" i="1"/>
  <c r="K1383" i="1" s="1"/>
  <c r="H1374" i="1"/>
  <c r="H1377" i="1" s="1"/>
  <c r="K1647" i="1"/>
  <c r="I1453" i="1"/>
  <c r="K1453" i="1" s="1"/>
  <c r="K1420" i="1"/>
  <c r="I1335" i="1"/>
  <c r="I1338" i="1" s="1"/>
  <c r="I1385" i="1"/>
  <c r="K1385" i="1" s="1"/>
  <c r="E1391" i="1"/>
  <c r="L1391" i="1"/>
  <c r="I1451" i="1"/>
  <c r="K1451" i="1" s="1"/>
  <c r="G1316" i="1"/>
  <c r="K1112" i="1"/>
  <c r="I1097" i="1"/>
  <c r="K1097" i="1" s="1"/>
  <c r="I1048" i="1"/>
  <c r="K1048" i="1" s="1"/>
  <c r="I690" i="1"/>
  <c r="K690" i="1" s="1"/>
  <c r="I686" i="1"/>
  <c r="K686" i="1" s="1"/>
  <c r="I682" i="1"/>
  <c r="K682" i="1" s="1"/>
  <c r="I678" i="1"/>
  <c r="K678" i="1" s="1"/>
  <c r="H1002" i="1"/>
  <c r="H1005" i="1" s="1"/>
  <c r="I1354" i="1"/>
  <c r="K1354" i="1" s="1"/>
  <c r="I1144" i="1"/>
  <c r="K1144" i="1" s="1"/>
  <c r="I1121" i="1"/>
  <c r="K1121" i="1" s="1"/>
  <c r="I1117" i="1"/>
  <c r="K1117" i="1" s="1"/>
  <c r="I1113" i="1"/>
  <c r="K1113" i="1" s="1"/>
  <c r="I1102" i="1"/>
  <c r="K1102" i="1" s="1"/>
  <c r="I996" i="1"/>
  <c r="I1367" i="1"/>
  <c r="K1367" i="1" s="1"/>
  <c r="I870" i="1"/>
  <c r="K870" i="1" s="1"/>
  <c r="I866" i="1"/>
  <c r="K866" i="1" s="1"/>
  <c r="I862" i="1"/>
  <c r="K862" i="1" s="1"/>
  <c r="K835" i="1"/>
  <c r="I659" i="1"/>
  <c r="K659" i="1" s="1"/>
  <c r="I655" i="1"/>
  <c r="K655" i="1" s="1"/>
  <c r="I651" i="1"/>
  <c r="K651" i="1" s="1"/>
  <c r="I599" i="1"/>
  <c r="H604" i="1"/>
  <c r="H607" i="1" s="1"/>
  <c r="I520" i="1"/>
  <c r="I407" i="1"/>
  <c r="K407" i="1" s="1"/>
  <c r="I588" i="1"/>
  <c r="K588" i="1" s="1"/>
  <c r="H592" i="1"/>
  <c r="H595" i="1" s="1"/>
  <c r="I411" i="1"/>
  <c r="K411" i="1" s="1"/>
  <c r="H301" i="1"/>
  <c r="I291" i="1"/>
  <c r="I114" i="1"/>
  <c r="I530" i="1"/>
  <c r="K530" i="1" s="1"/>
  <c r="I523" i="1"/>
  <c r="K523" i="1" s="1"/>
  <c r="K484" i="1"/>
  <c r="I464" i="1"/>
  <c r="K464" i="1" s="1"/>
  <c r="K456" i="1"/>
  <c r="G368" i="1"/>
  <c r="I6" i="1"/>
  <c r="K6" i="1" s="1"/>
  <c r="I746" i="1"/>
  <c r="K746" i="1" s="1"/>
  <c r="I269" i="1"/>
  <c r="K269" i="1" s="1"/>
  <c r="I202" i="1"/>
  <c r="K202" i="1" s="1"/>
  <c r="G181" i="1"/>
  <c r="I121" i="1"/>
  <c r="K121" i="1" s="1"/>
  <c r="I64" i="1"/>
  <c r="I77" i="1" s="1"/>
  <c r="H77" i="1"/>
  <c r="H80" i="1" s="1"/>
  <c r="I1748" i="1"/>
  <c r="K1748" i="1" s="1"/>
  <c r="I1740" i="1"/>
  <c r="K1740" i="1" s="1"/>
  <c r="I1606" i="1"/>
  <c r="H1618" i="1"/>
  <c r="H1621" i="1" s="1"/>
  <c r="A47" i="3" s="1"/>
  <c r="B47" i="3" s="1"/>
  <c r="C47" i="3" s="1"/>
  <c r="E1684" i="1"/>
  <c r="H1679" i="1" s="1"/>
  <c r="G1758" i="1"/>
  <c r="I1698" i="1"/>
  <c r="K1698" i="1" s="1"/>
  <c r="I1693" i="1"/>
  <c r="K1693" i="1" s="1"/>
  <c r="H1707" i="1"/>
  <c r="H1710" i="1" s="1"/>
  <c r="I1689" i="1"/>
  <c r="K1689" i="1" s="1"/>
  <c r="H1599" i="1"/>
  <c r="H1602" i="1" s="1"/>
  <c r="I1565" i="1"/>
  <c r="K1565" i="1" s="1"/>
  <c r="I1771" i="1"/>
  <c r="K1771" i="1" s="1"/>
  <c r="I1797" i="1"/>
  <c r="K1797" i="1" s="1"/>
  <c r="I1677" i="1"/>
  <c r="K1677" i="1" s="1"/>
  <c r="I1669" i="1"/>
  <c r="K1669" i="1" s="1"/>
  <c r="I1568" i="1"/>
  <c r="K1568" i="1" s="1"/>
  <c r="I1428" i="1"/>
  <c r="K1428" i="1" s="1"/>
  <c r="I1424" i="1"/>
  <c r="K1424" i="1" s="1"/>
  <c r="I1632" i="1"/>
  <c r="K1632" i="1" s="1"/>
  <c r="I1545" i="1"/>
  <c r="K1545" i="1" s="1"/>
  <c r="I1535" i="1"/>
  <c r="K1535" i="1" s="1"/>
  <c r="H1554" i="1"/>
  <c r="H1478" i="1"/>
  <c r="H1481" i="1" s="1"/>
  <c r="A43" i="3" s="1"/>
  <c r="I1404" i="1"/>
  <c r="K1404" i="1" s="1"/>
  <c r="I1675" i="1"/>
  <c r="K1675" i="1" s="1"/>
  <c r="H1580" i="1"/>
  <c r="H1583" i="1" s="1"/>
  <c r="I1564" i="1"/>
  <c r="K1564" i="1" s="1"/>
  <c r="I1470" i="1"/>
  <c r="K1470" i="1" s="1"/>
  <c r="I1680" i="1"/>
  <c r="K1680" i="1" s="1"/>
  <c r="I1399" i="1"/>
  <c r="I1381" i="1"/>
  <c r="K1381" i="1" s="1"/>
  <c r="H1389" i="1"/>
  <c r="H1392" i="1" s="1"/>
  <c r="H1269" i="1"/>
  <c r="I1253" i="1"/>
  <c r="I1204" i="1"/>
  <c r="I1468" i="1"/>
  <c r="K1468" i="1" s="1"/>
  <c r="I1300" i="1"/>
  <c r="H1316" i="1"/>
  <c r="H1319" i="1" s="1"/>
  <c r="I1134" i="1"/>
  <c r="K1134" i="1" s="1"/>
  <c r="L1086" i="1"/>
  <c r="H1081" i="1" s="1"/>
  <c r="E1086" i="1"/>
  <c r="H1082" i="1" s="1"/>
  <c r="H852" i="1"/>
  <c r="H855" i="1" s="1"/>
  <c r="I847" i="1"/>
  <c r="I852" i="1" s="1"/>
  <c r="I1173" i="1"/>
  <c r="K1173" i="1" s="1"/>
  <c r="H1180" i="1"/>
  <c r="H1183" i="1" s="1"/>
  <c r="I570" i="1"/>
  <c r="K570" i="1" s="1"/>
  <c r="I562" i="1"/>
  <c r="K562" i="1" s="1"/>
  <c r="I622" i="1"/>
  <c r="K622" i="1" s="1"/>
  <c r="I603" i="1"/>
  <c r="K603" i="1" s="1"/>
  <c r="H777" i="1"/>
  <c r="H780" i="1" s="1"/>
  <c r="I532" i="1"/>
  <c r="K532" i="1" s="1"/>
  <c r="I524" i="1"/>
  <c r="K524" i="1" s="1"/>
  <c r="I752" i="1"/>
  <c r="K752" i="1" s="1"/>
  <c r="G417" i="1"/>
  <c r="I321" i="1"/>
  <c r="K321" i="1" s="1"/>
  <c r="I735" i="1"/>
  <c r="K735" i="1" s="1"/>
  <c r="I462" i="1"/>
  <c r="K462" i="1" s="1"/>
  <c r="K454" i="1"/>
  <c r="I379" i="1"/>
  <c r="K379" i="1" s="1"/>
  <c r="I639" i="1"/>
  <c r="H643" i="1"/>
  <c r="H646" i="1" s="1"/>
  <c r="I15" i="1"/>
  <c r="K15" i="1" s="1"/>
  <c r="I748" i="1"/>
  <c r="K748" i="1" s="1"/>
  <c r="I501" i="1"/>
  <c r="I513" i="1" s="1"/>
  <c r="K447" i="1"/>
  <c r="I267" i="1"/>
  <c r="K267" i="1" s="1"/>
  <c r="I356" i="1"/>
  <c r="K356" i="1" s="1"/>
  <c r="I351" i="1"/>
  <c r="K351" i="1" s="1"/>
  <c r="I347" i="1"/>
  <c r="K347" i="1" s="1"/>
  <c r="H368" i="1"/>
  <c r="H371" i="1" s="1"/>
  <c r="I343" i="1"/>
  <c r="K343" i="1" s="1"/>
  <c r="I195" i="1"/>
  <c r="G107" i="1"/>
  <c r="G29" i="1"/>
  <c r="I711" i="1"/>
  <c r="K711" i="1" s="1"/>
  <c r="I173" i="1"/>
  <c r="K173" i="1" s="1"/>
  <c r="H181" i="1"/>
  <c r="H184" i="1" s="1"/>
  <c r="I169" i="1"/>
  <c r="I48" i="1"/>
  <c r="K48" i="1" s="1"/>
  <c r="I36" i="1"/>
  <c r="H56" i="1"/>
  <c r="H60" i="1" s="1"/>
  <c r="G31" i="1" l="1"/>
  <c r="G479" i="1"/>
  <c r="I1664" i="1"/>
  <c r="K1664" i="1" s="1"/>
  <c r="M1664" i="1" s="1"/>
  <c r="A49" i="3"/>
  <c r="B49" i="3" s="1"/>
  <c r="C49" i="3" s="1"/>
  <c r="G1064" i="1"/>
  <c r="G1066" i="1"/>
  <c r="H28" i="2"/>
  <c r="G1828" i="1"/>
  <c r="H30" i="2"/>
  <c r="K31" i="2"/>
  <c r="G1556" i="1"/>
  <c r="G1558" i="1"/>
  <c r="B32" i="2"/>
  <c r="O37" i="2" s="1"/>
  <c r="A41" i="3"/>
  <c r="B41" i="3" s="1"/>
  <c r="C41" i="3" s="1"/>
  <c r="G515" i="1"/>
  <c r="H31" i="2"/>
  <c r="H1161" i="1"/>
  <c r="I1161" i="1" s="1"/>
  <c r="K1161" i="1" s="1"/>
  <c r="H1559" i="1"/>
  <c r="A45" i="3" s="1"/>
  <c r="B45" i="3" s="1"/>
  <c r="C45" i="3" s="1"/>
  <c r="H1272" i="1"/>
  <c r="B17" i="3"/>
  <c r="C17" i="3" s="1"/>
  <c r="I1288" i="1"/>
  <c r="K1288" i="1" s="1"/>
  <c r="K1292" i="1" s="1"/>
  <c r="K28" i="2"/>
  <c r="H584" i="1"/>
  <c r="I584" i="1" s="1"/>
  <c r="K584" i="1" s="1"/>
  <c r="A16" i="3"/>
  <c r="B16" i="3" s="1"/>
  <c r="C16" i="3" s="1"/>
  <c r="E38" i="2"/>
  <c r="K1062" i="1"/>
  <c r="B11" i="3"/>
  <c r="C11" i="3" s="1"/>
  <c r="I1413" i="1"/>
  <c r="K1158" i="1"/>
  <c r="I274" i="1"/>
  <c r="K274" i="1" s="1"/>
  <c r="I271" i="1"/>
  <c r="K271" i="1" s="1"/>
  <c r="I272" i="1"/>
  <c r="K272" i="1" s="1"/>
  <c r="A73" i="3"/>
  <c r="B73" i="3" s="1"/>
  <c r="C73" i="3" s="1"/>
  <c r="H135" i="1"/>
  <c r="I905" i="1"/>
  <c r="B43" i="3"/>
  <c r="C43" i="3" s="1"/>
  <c r="H1416" i="1"/>
  <c r="A40" i="3" s="1"/>
  <c r="B40" i="3" s="1"/>
  <c r="C40" i="3" s="1"/>
  <c r="H931" i="1"/>
  <c r="K520" i="1"/>
  <c r="K540" i="1" s="1"/>
  <c r="I540" i="1"/>
  <c r="I581" i="1"/>
  <c r="I632" i="1"/>
  <c r="K477" i="1"/>
  <c r="K650" i="1"/>
  <c r="I477" i="1"/>
  <c r="K860" i="1"/>
  <c r="I697" i="1"/>
  <c r="I864" i="1"/>
  <c r="K864" i="1" s="1"/>
  <c r="H959" i="1"/>
  <c r="H962" i="1" s="1"/>
  <c r="I962" i="1" s="1"/>
  <c r="K962" i="1" s="1"/>
  <c r="M962" i="1" s="1"/>
  <c r="I948" i="1"/>
  <c r="K948" i="1" s="1"/>
  <c r="I947" i="1"/>
  <c r="K947" i="1" s="1"/>
  <c r="I949" i="1"/>
  <c r="K949" i="1" s="1"/>
  <c r="K944" i="1"/>
  <c r="K1204" i="1"/>
  <c r="A37" i="3" s="1"/>
  <c r="H1643" i="1"/>
  <c r="I977" i="1"/>
  <c r="K977" i="1" s="1"/>
  <c r="I976" i="1"/>
  <c r="K976" i="1" s="1"/>
  <c r="I975" i="1"/>
  <c r="K975" i="1" s="1"/>
  <c r="I920" i="1"/>
  <c r="K920" i="1" s="1"/>
  <c r="I921" i="1"/>
  <c r="K921" i="1" s="1"/>
  <c r="I919" i="1"/>
  <c r="I259" i="1"/>
  <c r="I1796" i="1"/>
  <c r="K1796" i="1" s="1"/>
  <c r="I224" i="1"/>
  <c r="K224" i="1" s="1"/>
  <c r="I225" i="1"/>
  <c r="K225" i="1" s="1"/>
  <c r="A26" i="3"/>
  <c r="B26" i="3" s="1"/>
  <c r="C26" i="3" s="1"/>
  <c r="I722" i="1"/>
  <c r="K722" i="1" s="1"/>
  <c r="K726" i="1" s="1"/>
  <c r="I879" i="1"/>
  <c r="K879" i="1" s="1"/>
  <c r="A24" i="3"/>
  <c r="B24" i="3" s="1"/>
  <c r="C24" i="3" s="1"/>
  <c r="K628" i="1"/>
  <c r="K632" i="1" s="1"/>
  <c r="I1599" i="1"/>
  <c r="I1227" i="1"/>
  <c r="K1227" i="1" s="1"/>
  <c r="I516" i="1"/>
  <c r="K516" i="1" s="1"/>
  <c r="A22" i="3" s="1"/>
  <c r="K1224" i="1"/>
  <c r="I301" i="1"/>
  <c r="I110" i="1"/>
  <c r="K110" i="1" s="1"/>
  <c r="K840" i="1"/>
  <c r="K259" i="1"/>
  <c r="H1062" i="1"/>
  <c r="I1269" i="1"/>
  <c r="I262" i="1"/>
  <c r="K262" i="1" s="1"/>
  <c r="H1758" i="1"/>
  <c r="H1769" i="1" s="1"/>
  <c r="K1729" i="1"/>
  <c r="I130" i="1"/>
  <c r="K130" i="1" s="1"/>
  <c r="I1463" i="1"/>
  <c r="K1463" i="1" s="1"/>
  <c r="M1463" i="1" s="1"/>
  <c r="K1588" i="1"/>
  <c r="K1599" i="1" s="1"/>
  <c r="K1661" i="1"/>
  <c r="H1127" i="1"/>
  <c r="H1130" i="1" s="1"/>
  <c r="I1130" i="1" s="1"/>
  <c r="K1130" i="1" s="1"/>
  <c r="M1130" i="1" s="1"/>
  <c r="I1180" i="1"/>
  <c r="I1554" i="1"/>
  <c r="I1661" i="1"/>
  <c r="I1580" i="1"/>
  <c r="K1180" i="1"/>
  <c r="K1554" i="1"/>
  <c r="I238" i="1"/>
  <c r="K238" i="1" s="1"/>
  <c r="I1002" i="1"/>
  <c r="I181" i="1"/>
  <c r="I643" i="1"/>
  <c r="K592" i="1"/>
  <c r="K1108" i="1"/>
  <c r="M1108" i="1" s="1"/>
  <c r="I56" i="1"/>
  <c r="I215" i="1"/>
  <c r="K215" i="1" s="1"/>
  <c r="I1105" i="1"/>
  <c r="I789" i="1"/>
  <c r="K996" i="1"/>
  <c r="K1002" i="1" s="1"/>
  <c r="K162" i="1"/>
  <c r="I212" i="1"/>
  <c r="I107" i="1"/>
  <c r="I592" i="1"/>
  <c r="I162" i="1"/>
  <c r="K220" i="1"/>
  <c r="I1374" i="1"/>
  <c r="I1357" i="1"/>
  <c r="K1253" i="1"/>
  <c r="K1269" i="1" s="1"/>
  <c r="K1335" i="1"/>
  <c r="K1338" i="1" s="1"/>
  <c r="K1346" i="1"/>
  <c r="K1357" i="1" s="1"/>
  <c r="I1436" i="1"/>
  <c r="K1399" i="1"/>
  <c r="K1413" i="1" s="1"/>
  <c r="I1246" i="1"/>
  <c r="K1231" i="1"/>
  <c r="K1246" i="1" s="1"/>
  <c r="K777" i="1"/>
  <c r="K1460" i="1"/>
  <c r="K107" i="1"/>
  <c r="K368" i="1"/>
  <c r="I165" i="1"/>
  <c r="K165" i="1" s="1"/>
  <c r="I339" i="1"/>
  <c r="K339" i="1" s="1"/>
  <c r="K29" i="1"/>
  <c r="K1640" i="1"/>
  <c r="I60" i="1"/>
  <c r="K60" i="1" s="1"/>
  <c r="I480" i="1"/>
  <c r="K480" i="1" s="1"/>
  <c r="I1319" i="1"/>
  <c r="K1319" i="1" s="1"/>
  <c r="M1319" i="1" s="1"/>
  <c r="I80" i="1"/>
  <c r="K80" i="1" s="1"/>
  <c r="I543" i="1"/>
  <c r="K543" i="1" s="1"/>
  <c r="M543" i="1" s="1"/>
  <c r="K553" i="1"/>
  <c r="I1731" i="1"/>
  <c r="K1731" i="1" s="1"/>
  <c r="K1580" i="1"/>
  <c r="I1640" i="1"/>
  <c r="I780" i="1"/>
  <c r="K780" i="1" s="1"/>
  <c r="M780" i="1" s="1"/>
  <c r="I1481" i="1"/>
  <c r="K1481" i="1" s="1"/>
  <c r="M1481" i="1" s="1"/>
  <c r="K1707" i="1"/>
  <c r="I607" i="1"/>
  <c r="K607" i="1" s="1"/>
  <c r="M607" i="1" s="1"/>
  <c r="I1126" i="1"/>
  <c r="K1126" i="1" s="1"/>
  <c r="I830" i="1"/>
  <c r="K830" i="1" s="1"/>
  <c r="K169" i="1"/>
  <c r="K181" i="1" s="1"/>
  <c r="I1082" i="1"/>
  <c r="K1082" i="1" s="1"/>
  <c r="I1316" i="1"/>
  <c r="K1389" i="1"/>
  <c r="I1618" i="1"/>
  <c r="K291" i="1"/>
  <c r="K301" i="1" s="1"/>
  <c r="I604" i="1"/>
  <c r="K1436" i="1"/>
  <c r="I1377" i="1"/>
  <c r="K1377" i="1" s="1"/>
  <c r="M1377" i="1" s="1"/>
  <c r="I1460" i="1"/>
  <c r="I777" i="1"/>
  <c r="I1360" i="1"/>
  <c r="K1360" i="1" s="1"/>
  <c r="M1360" i="1" s="1"/>
  <c r="K398" i="1"/>
  <c r="I1478" i="1"/>
  <c r="I29" i="1"/>
  <c r="I184" i="1"/>
  <c r="K184" i="1" s="1"/>
  <c r="M184" i="1" s="1"/>
  <c r="I729" i="1"/>
  <c r="K729" i="1" s="1"/>
  <c r="A27" i="3" s="1"/>
  <c r="K195" i="1"/>
  <c r="K212" i="1" s="1"/>
  <c r="K501" i="1"/>
  <c r="K513" i="1" s="1"/>
  <c r="I855" i="1"/>
  <c r="K855" i="1" s="1"/>
  <c r="M855" i="1" s="1"/>
  <c r="I1081" i="1"/>
  <c r="H1084" i="1"/>
  <c r="H1087" i="1" s="1"/>
  <c r="I1158" i="1"/>
  <c r="I1392" i="1"/>
  <c r="K1392" i="1" s="1"/>
  <c r="M1392" i="1" s="1"/>
  <c r="I1439" i="1"/>
  <c r="K1439" i="1" s="1"/>
  <c r="M1439" i="1" s="1"/>
  <c r="I1707" i="1"/>
  <c r="I1679" i="1"/>
  <c r="K1679" i="1" s="1"/>
  <c r="K1682" i="1" s="1"/>
  <c r="H1682" i="1"/>
  <c r="H1685" i="1" s="1"/>
  <c r="H304" i="1"/>
  <c r="A12" i="3" s="1"/>
  <c r="B12" i="3" s="1"/>
  <c r="C12" i="3" s="1"/>
  <c r="I595" i="1"/>
  <c r="K595" i="1" s="1"/>
  <c r="M595" i="1" s="1"/>
  <c r="I1005" i="1"/>
  <c r="K1005" i="1" s="1"/>
  <c r="M1005" i="1" s="1"/>
  <c r="K1478" i="1"/>
  <c r="K1788" i="1"/>
  <c r="I401" i="1"/>
  <c r="K401" i="1" s="1"/>
  <c r="M401" i="1" s="1"/>
  <c r="I336" i="1"/>
  <c r="K1194" i="1"/>
  <c r="K1201" i="1" s="1"/>
  <c r="I1062" i="1"/>
  <c r="I1295" i="1"/>
  <c r="K1295" i="1" s="1"/>
  <c r="K890" i="1"/>
  <c r="K905" i="1" s="1"/>
  <c r="K680" i="1"/>
  <c r="K697" i="1" s="1"/>
  <c r="I1755" i="1"/>
  <c r="K1755" i="1" s="1"/>
  <c r="H1766" i="1"/>
  <c r="I646" i="1"/>
  <c r="K646" i="1" s="1"/>
  <c r="M646" i="1" s="1"/>
  <c r="I1621" i="1"/>
  <c r="K1621" i="1" s="1"/>
  <c r="M1621" i="1" s="1"/>
  <c r="K417" i="1"/>
  <c r="I792" i="1"/>
  <c r="K792" i="1" s="1"/>
  <c r="M792" i="1" s="1"/>
  <c r="I286" i="1"/>
  <c r="K286" i="1" s="1"/>
  <c r="M286" i="1" s="1"/>
  <c r="I908" i="1"/>
  <c r="K908" i="1" s="1"/>
  <c r="M908" i="1" s="1"/>
  <c r="I700" i="1"/>
  <c r="K700" i="1" s="1"/>
  <c r="M700" i="1" s="1"/>
  <c r="I371" i="1"/>
  <c r="K371" i="1" s="1"/>
  <c r="A15" i="3" s="1"/>
  <c r="B15" i="3" s="1"/>
  <c r="C15" i="3" s="1"/>
  <c r="I635" i="1"/>
  <c r="K635" i="1" s="1"/>
  <c r="M635" i="1" s="1"/>
  <c r="K847" i="1"/>
  <c r="K852" i="1" s="1"/>
  <c r="I1602" i="1"/>
  <c r="K1602" i="1" s="1"/>
  <c r="M1602" i="1" s="1"/>
  <c r="H1733" i="1"/>
  <c r="H1736" i="1" s="1"/>
  <c r="K114" i="1"/>
  <c r="I417" i="1"/>
  <c r="K1095" i="1"/>
  <c r="K1105" i="1" s="1"/>
  <c r="K336" i="1"/>
  <c r="I556" i="1"/>
  <c r="K556" i="1" s="1"/>
  <c r="M556" i="1" s="1"/>
  <c r="I1249" i="1"/>
  <c r="K1249" i="1" s="1"/>
  <c r="K36" i="1"/>
  <c r="K56" i="1" s="1"/>
  <c r="I368" i="1"/>
  <c r="K639" i="1"/>
  <c r="K643" i="1" s="1"/>
  <c r="I1183" i="1"/>
  <c r="K1183" i="1" s="1"/>
  <c r="M1183" i="1" s="1"/>
  <c r="K1300" i="1"/>
  <c r="K1316" i="1" s="1"/>
  <c r="I1389" i="1"/>
  <c r="I1583" i="1"/>
  <c r="K1583" i="1" s="1"/>
  <c r="I1710" i="1"/>
  <c r="K1710" i="1" s="1"/>
  <c r="M1710" i="1" s="1"/>
  <c r="K1606" i="1"/>
  <c r="K1618" i="1" s="1"/>
  <c r="K64" i="1"/>
  <c r="K77" i="1" s="1"/>
  <c r="K599" i="1"/>
  <c r="K604" i="1" s="1"/>
  <c r="I1801" i="1"/>
  <c r="K1801" i="1" s="1"/>
  <c r="M1801" i="1" s="1"/>
  <c r="I420" i="1"/>
  <c r="K420" i="1" s="1"/>
  <c r="K1365" i="1"/>
  <c r="K1374" i="1" s="1"/>
  <c r="I398" i="1"/>
  <c r="K784" i="1"/>
  <c r="K789" i="1" s="1"/>
  <c r="K266" i="1"/>
  <c r="K560" i="1"/>
  <c r="K581" i="1" s="1"/>
  <c r="I553" i="1"/>
  <c r="I1125" i="1"/>
  <c r="I1730" i="1"/>
  <c r="K1730" i="1" s="1"/>
  <c r="K809" i="1"/>
  <c r="K827" i="1" s="1"/>
  <c r="I1756" i="1"/>
  <c r="K1756" i="1" s="1"/>
  <c r="H1767" i="1"/>
  <c r="O35" i="2" l="1"/>
  <c r="O38" i="2"/>
  <c r="O36" i="2"/>
  <c r="M1249" i="1"/>
  <c r="A38" i="3"/>
  <c r="B38" i="3" s="1"/>
  <c r="C38" i="3" s="1"/>
  <c r="M1295" i="1"/>
  <c r="A39" i="3"/>
  <c r="B39" i="3" s="1"/>
  <c r="C39" i="3" s="1"/>
  <c r="I1292" i="1"/>
  <c r="M420" i="1"/>
  <c r="H1067" i="1"/>
  <c r="A35" i="3" s="1"/>
  <c r="B35" i="3" s="1"/>
  <c r="C35" i="3" s="1"/>
  <c r="H138" i="1"/>
  <c r="A6" i="3" s="1"/>
  <c r="B6" i="3" s="1"/>
  <c r="C6" i="3" s="1"/>
  <c r="I1559" i="1"/>
  <c r="K1559" i="1" s="1"/>
  <c r="M1559" i="1" s="1"/>
  <c r="M371" i="1"/>
  <c r="P476" i="1"/>
  <c r="A20" i="3"/>
  <c r="B20" i="3" s="1"/>
  <c r="C20" i="3" s="1"/>
  <c r="M215" i="1"/>
  <c r="A9" i="3"/>
  <c r="B9" i="3" s="1"/>
  <c r="C9" i="3" s="1"/>
  <c r="A36" i="3"/>
  <c r="B36" i="3" s="1"/>
  <c r="C36" i="3" s="1"/>
  <c r="M1583" i="1"/>
  <c r="A46" i="3"/>
  <c r="B46" i="3" s="1"/>
  <c r="C46" i="3" s="1"/>
  <c r="M1227" i="1"/>
  <c r="I1272" i="1"/>
  <c r="K1272" i="1" s="1"/>
  <c r="M1272" i="1" s="1"/>
  <c r="B4" i="3"/>
  <c r="I1685" i="1"/>
  <c r="K1685" i="1" s="1"/>
  <c r="M584" i="1"/>
  <c r="A23" i="3"/>
  <c r="B23" i="3" s="1"/>
  <c r="C23" i="3" s="1"/>
  <c r="I1643" i="1"/>
  <c r="K1643" i="1" s="1"/>
  <c r="M1643" i="1" s="1"/>
  <c r="A48" i="3"/>
  <c r="B48" i="3" s="1"/>
  <c r="C48" i="3" s="1"/>
  <c r="O30" i="2"/>
  <c r="O31" i="2"/>
  <c r="O29" i="2"/>
  <c r="O28" i="2"/>
  <c r="M830" i="1"/>
  <c r="A30" i="3"/>
  <c r="B30" i="3" s="1"/>
  <c r="C30" i="3" s="1"/>
  <c r="M262" i="1"/>
  <c r="A10" i="3"/>
  <c r="B10" i="3" s="1"/>
  <c r="C10" i="3" s="1"/>
  <c r="M1161" i="1"/>
  <c r="I283" i="1"/>
  <c r="K283" i="1"/>
  <c r="M238" i="1"/>
  <c r="K135" i="1"/>
  <c r="M80" i="1"/>
  <c r="I135" i="1"/>
  <c r="I1416" i="1"/>
  <c r="K1416" i="1" s="1"/>
  <c r="M1416" i="1" s="1"/>
  <c r="I726" i="1"/>
  <c r="H667" i="1"/>
  <c r="H670" i="1" s="1"/>
  <c r="I880" i="1"/>
  <c r="I959" i="1"/>
  <c r="K959" i="1"/>
  <c r="M1204" i="1"/>
  <c r="B37" i="3"/>
  <c r="C37" i="3" s="1"/>
  <c r="M165" i="1"/>
  <c r="A7" i="3"/>
  <c r="B7" i="3" s="1"/>
  <c r="C7" i="3" s="1"/>
  <c r="M729" i="1"/>
  <c r="B27" i="3"/>
  <c r="C27" i="3" s="1"/>
  <c r="K1798" i="1"/>
  <c r="M110" i="1"/>
  <c r="I981" i="1"/>
  <c r="K981" i="1" s="1"/>
  <c r="K919" i="1"/>
  <c r="I925" i="1"/>
  <c r="M516" i="1"/>
  <c r="B22" i="3"/>
  <c r="C22" i="3" s="1"/>
  <c r="M339" i="1"/>
  <c r="A14" i="3"/>
  <c r="B14" i="3" s="1"/>
  <c r="C14" i="3" s="1"/>
  <c r="M60" i="1"/>
  <c r="I1798" i="1"/>
  <c r="M480" i="1"/>
  <c r="I235" i="1"/>
  <c r="K235" i="1"/>
  <c r="K1733" i="1"/>
  <c r="H1761" i="1"/>
  <c r="H1772" i="1" s="1"/>
  <c r="I1084" i="1"/>
  <c r="I742" i="1"/>
  <c r="K742" i="1" s="1"/>
  <c r="I744" i="1"/>
  <c r="K744" i="1" s="1"/>
  <c r="I741" i="1"/>
  <c r="K741" i="1" s="1"/>
  <c r="I743" i="1"/>
  <c r="K743" i="1" s="1"/>
  <c r="I1127" i="1"/>
  <c r="K1081" i="1"/>
  <c r="K1084" i="1" s="1"/>
  <c r="K1125" i="1"/>
  <c r="K1127" i="1" s="1"/>
  <c r="K1758" i="1"/>
  <c r="I802" i="1"/>
  <c r="H802" i="1"/>
  <c r="I304" i="1"/>
  <c r="K304" i="1" s="1"/>
  <c r="I1758" i="1"/>
  <c r="I1736" i="1"/>
  <c r="K1736" i="1" s="1"/>
  <c r="M1736" i="1" s="1"/>
  <c r="I1766" i="1"/>
  <c r="K1766" i="1" s="1"/>
  <c r="I1769" i="1"/>
  <c r="K1769" i="1" s="1"/>
  <c r="I1767" i="1"/>
  <c r="K1767" i="1" s="1"/>
  <c r="I1087" i="1"/>
  <c r="K1087" i="1" s="1"/>
  <c r="M1087" i="1" s="1"/>
  <c r="I1682" i="1"/>
  <c r="I1733" i="1"/>
  <c r="I658" i="1"/>
  <c r="K658" i="1" s="1"/>
  <c r="I657" i="1"/>
  <c r="I1067" i="1" l="1"/>
  <c r="K1067" i="1" s="1"/>
  <c r="I138" i="1"/>
  <c r="K138" i="1" s="1"/>
  <c r="M138" i="1" s="1"/>
  <c r="M1067" i="1"/>
  <c r="C4" i="3"/>
  <c r="M1685" i="1"/>
  <c r="H673" i="1"/>
  <c r="A25" i="3" s="1"/>
  <c r="B25" i="3" s="1"/>
  <c r="C25" i="3" s="1"/>
  <c r="I667" i="1"/>
  <c r="K667" i="1" s="1"/>
  <c r="K925" i="1"/>
  <c r="I931" i="1"/>
  <c r="I986" i="1"/>
  <c r="I987" i="1" s="1"/>
  <c r="H987" i="1"/>
  <c r="H934" i="1"/>
  <c r="A32" i="3" s="1"/>
  <c r="B32" i="3" s="1"/>
  <c r="C32" i="3" s="1"/>
  <c r="K865" i="1"/>
  <c r="K880" i="1" s="1"/>
  <c r="H745" i="1"/>
  <c r="H763" i="1" s="1"/>
  <c r="H1828" i="1" s="1"/>
  <c r="H883" i="1"/>
  <c r="I1761" i="1"/>
  <c r="K1761" i="1" s="1"/>
  <c r="M1761" i="1" s="1"/>
  <c r="K657" i="1"/>
  <c r="M304" i="1"/>
  <c r="I1772" i="1"/>
  <c r="K1772" i="1" s="1"/>
  <c r="K1781" i="1" s="1"/>
  <c r="K802" i="1"/>
  <c r="H1781" i="1"/>
  <c r="H1784" i="1" s="1"/>
  <c r="H805" i="1"/>
  <c r="H990" i="1" l="1"/>
  <c r="I673" i="1"/>
  <c r="K673" i="1" s="1"/>
  <c r="K670" i="1"/>
  <c r="I670" i="1"/>
  <c r="I990" i="1"/>
  <c r="K990" i="1" s="1"/>
  <c r="M990" i="1" s="1"/>
  <c r="K986" i="1"/>
  <c r="K987" i="1" s="1"/>
  <c r="I934" i="1"/>
  <c r="K934" i="1" s="1"/>
  <c r="K930" i="1"/>
  <c r="K931" i="1" s="1"/>
  <c r="I883" i="1"/>
  <c r="K883" i="1" s="1"/>
  <c r="I745" i="1"/>
  <c r="I763" i="1" s="1"/>
  <c r="I1781" i="1"/>
  <c r="I805" i="1"/>
  <c r="K805" i="1" s="1"/>
  <c r="I1784" i="1"/>
  <c r="K1784" i="1" s="1"/>
  <c r="M1784" i="1" s="1"/>
  <c r="I1828" i="1" l="1"/>
  <c r="M673" i="1"/>
  <c r="A31" i="3"/>
  <c r="B31" i="3" s="1"/>
  <c r="C31" i="3" s="1"/>
  <c r="M883" i="1"/>
  <c r="M934" i="1"/>
  <c r="H766" i="1"/>
  <c r="A29" i="3" s="1"/>
  <c r="K745" i="1"/>
  <c r="K763" i="1" s="1"/>
  <c r="M805" i="1"/>
  <c r="A66" i="3" l="1"/>
  <c r="I766" i="1"/>
  <c r="K766" i="1" s="1"/>
  <c r="K1828" i="1" s="1"/>
  <c r="M1828" i="1" l="1"/>
  <c r="L1829" i="1" s="1"/>
  <c r="M766" i="1"/>
  <c r="R1827" i="1" s="1"/>
  <c r="B29" i="3"/>
  <c r="B66" i="3" s="1"/>
  <c r="C29" i="3" l="1"/>
  <c r="C66" i="3" s="1"/>
  <c r="B1828" i="1" l="1"/>
  <c r="C399" i="1"/>
  <c r="G337" i="1" s="1"/>
  <c r="G30" i="1" l="1"/>
  <c r="B22" i="2"/>
  <c r="O11" i="2" l="1"/>
  <c r="O8" i="2"/>
  <c r="O14" i="2"/>
  <c r="O9" i="2"/>
  <c r="O10" i="2"/>
  <c r="O13" i="2"/>
  <c r="O15" i="2"/>
</calcChain>
</file>

<file path=xl/comments1.xml><?xml version="1.0" encoding="utf-8"?>
<comments xmlns="http://schemas.openxmlformats.org/spreadsheetml/2006/main">
  <authors>
    <author/>
  </authors>
  <commentList>
    <comment ref="M26" authorId="0" shapeId="0">
      <text>
        <r>
          <rPr>
            <sz val="11"/>
            <color theme="1"/>
            <rFont val="맑은 고딕"/>
            <family val="2"/>
            <scheme val="minor"/>
          </rPr>
          <t>======
ID#AAABapuuYNE
추희진    (2024-11-26 02:03:11)
1,814,269원(2024-04)에서
100만원 율해급여 차감후
814,269원</t>
        </r>
      </text>
    </comment>
  </commentList>
</comments>
</file>

<file path=xl/sharedStrings.xml><?xml version="1.0" encoding="utf-8"?>
<sst xmlns="http://schemas.openxmlformats.org/spreadsheetml/2006/main" count="3669" uniqueCount="860">
  <si>
    <t>정민호</t>
  </si>
  <si>
    <t>계약건:</t>
  </si>
  <si>
    <t>본사 : 14명</t>
  </si>
  <si>
    <t>날짜</t>
  </si>
  <si>
    <t>고객명</t>
  </si>
  <si>
    <t>항목</t>
  </si>
  <si>
    <t>VAT</t>
  </si>
  <si>
    <t>입금액</t>
  </si>
  <si>
    <t>매출</t>
  </si>
  <si>
    <t>부가세</t>
  </si>
  <si>
    <t>소득신고</t>
  </si>
  <si>
    <t>소득세</t>
  </si>
  <si>
    <t>공제</t>
  </si>
  <si>
    <r>
      <rPr>
        <sz val="10"/>
        <color theme="1"/>
        <rFont val="Malgun Gothic"/>
        <family val="3"/>
        <charset val="129"/>
      </rPr>
      <t>실지급(</t>
    </r>
    <r>
      <rPr>
        <sz val="10"/>
        <color rgb="FF2F02EE"/>
        <rFont val="맑은 고딕"/>
        <family val="3"/>
        <charset val="129"/>
      </rPr>
      <t>법인</t>
    </r>
    <r>
      <rPr>
        <sz val="10"/>
        <color theme="1"/>
        <rFont val="맑은 고딕"/>
        <family val="3"/>
        <charset val="129"/>
      </rPr>
      <t>)</t>
    </r>
  </si>
  <si>
    <r>
      <rPr>
        <sz val="10"/>
        <color theme="1"/>
        <rFont val="Malgun Gothic"/>
        <family val="3"/>
        <charset val="129"/>
      </rPr>
      <t>실지급(</t>
    </r>
    <r>
      <rPr>
        <sz val="10"/>
        <color rgb="FFFF0000"/>
        <rFont val="맑은 고딕"/>
        <family val="3"/>
        <charset val="129"/>
      </rPr>
      <t>개인</t>
    </r>
    <r>
      <rPr>
        <sz val="10"/>
        <color theme="1"/>
        <rFont val="맑은 고딕"/>
        <family val="3"/>
        <charset val="129"/>
      </rPr>
      <t>)</t>
    </r>
  </si>
  <si>
    <t>비고</t>
  </si>
  <si>
    <t>수임비용</t>
  </si>
  <si>
    <t>55만</t>
  </si>
  <si>
    <t>계약1</t>
  </si>
  <si>
    <t>원()</t>
  </si>
  <si>
    <t>110만</t>
  </si>
  <si>
    <t>등기, 명도비용</t>
  </si>
  <si>
    <t>220만</t>
  </si>
  <si>
    <t>계약2</t>
  </si>
  <si>
    <t>1200만원 이상시 팀장수당지급</t>
  </si>
  <si>
    <t>총합계 : 원</t>
  </si>
  <si>
    <t>율해급여</t>
  </si>
  <si>
    <t>원</t>
  </si>
  <si>
    <t>총합계 : +원</t>
  </si>
  <si>
    <t>미지급금액</t>
  </si>
  <si>
    <t>2,092,516원(2024-08)</t>
  </si>
  <si>
    <t>2,842,287원(2024-07)</t>
  </si>
  <si>
    <t>2025-01-00</t>
  </si>
  <si>
    <t>율해급여공제</t>
  </si>
  <si>
    <t>2,110,836원(2024-06)</t>
  </si>
  <si>
    <t>명도비정산</t>
  </si>
  <si>
    <t>2,054,302원(2024-05)</t>
  </si>
  <si>
    <t>개인포상</t>
  </si>
  <si>
    <t>814,269원(2024-04)</t>
  </si>
  <si>
    <t>직급수당</t>
  </si>
  <si>
    <t xml:space="preserve">미지급총합계 </t>
  </si>
  <si>
    <t>목표매출포상</t>
  </si>
  <si>
    <t>실적 합계</t>
  </si>
  <si>
    <t>개인 계약실적</t>
  </si>
  <si>
    <t>건</t>
  </si>
  <si>
    <t>본사 계약(건)</t>
  </si>
  <si>
    <r>
      <rPr>
        <sz val="10"/>
        <color rgb="FFFF0000"/>
        <rFont val="Malgun Gothic"/>
        <family val="3"/>
        <charset val="129"/>
      </rPr>
      <t>식비공제</t>
    </r>
    <r>
      <rPr>
        <sz val="9"/>
        <color rgb="FFFF0000"/>
        <rFont val="맑은 고딕"/>
        <family val="3"/>
        <charset val="129"/>
      </rPr>
      <t>(법인)</t>
    </r>
  </si>
  <si>
    <t xml:space="preserve">  </t>
  </si>
  <si>
    <t>자동계산</t>
  </si>
  <si>
    <t>개인 매출실적</t>
  </si>
  <si>
    <t>만원</t>
  </si>
  <si>
    <t>본사 실적(만원)</t>
  </si>
  <si>
    <r>
      <rPr>
        <sz val="9"/>
        <color theme="1"/>
        <rFont val="맑은 고딕"/>
        <family val="3"/>
        <charset val="129"/>
      </rPr>
      <t xml:space="preserve">실적포상, 공제 반영한   </t>
    </r>
    <r>
      <rPr>
        <b/>
        <sz val="10"/>
        <color theme="1"/>
        <rFont val="맑은 고딕"/>
        <family val="3"/>
        <charset val="129"/>
      </rPr>
      <t>최종 정산</t>
    </r>
  </si>
  <si>
    <t>식비공제후 (법인) 신고액</t>
  </si>
  <si>
    <t>서정수</t>
  </si>
  <si>
    <t>권리분석의뢰</t>
  </si>
  <si>
    <t>낙찰수수료</t>
  </si>
  <si>
    <t>미지급정산</t>
    <phoneticPr fontId="19" type="noConversion"/>
  </si>
  <si>
    <r>
      <rPr>
        <sz val="8"/>
        <color rgb="FFFF0000"/>
        <rFont val="맑은 고딕"/>
        <family val="3"/>
        <charset val="129"/>
      </rPr>
      <t>그외미지급</t>
    </r>
    <r>
      <rPr>
        <sz val="10"/>
        <color rgb="FFFF0000"/>
        <rFont val="맑은 고딕"/>
        <family val="3"/>
        <charset val="129"/>
      </rPr>
      <t>(2,927,500)</t>
    </r>
  </si>
  <si>
    <t>김민서</t>
  </si>
  <si>
    <t>2021.05.31</t>
  </si>
  <si>
    <t>수임료정산</t>
  </si>
  <si>
    <t>이익규</t>
  </si>
  <si>
    <t>2020.08.03</t>
  </si>
  <si>
    <t>매출포상</t>
  </si>
  <si>
    <t>팀포상</t>
  </si>
  <si>
    <t>팀 계약(건)</t>
  </si>
  <si>
    <t>팀 실적(만원)</t>
  </si>
  <si>
    <t>차진권</t>
  </si>
  <si>
    <t>박정규</t>
  </si>
  <si>
    <t>2022.11.07</t>
  </si>
  <si>
    <t>식비제공</t>
  </si>
  <si>
    <t>백재원</t>
  </si>
  <si>
    <t>2024.05.08</t>
  </si>
  <si>
    <t>매출포상</t>
    <phoneticPr fontId="19" type="noConversion"/>
  </si>
  <si>
    <t>정민준</t>
  </si>
  <si>
    <t>2023.01.02</t>
  </si>
  <si>
    <t>미지급정산</t>
    <phoneticPr fontId="19" type="noConversion"/>
  </si>
  <si>
    <t>주희진</t>
  </si>
  <si>
    <t>매수대리</t>
    <phoneticPr fontId="19" type="noConversion"/>
  </si>
  <si>
    <t>이진영</t>
  </si>
  <si>
    <t>2024.07.15</t>
  </si>
  <si>
    <t>지경현</t>
  </si>
  <si>
    <t>2024.09.02</t>
  </si>
  <si>
    <t>최재명</t>
  </si>
  <si>
    <t>2023.01.09</t>
  </si>
  <si>
    <t>신유진</t>
    <phoneticPr fontId="19" type="noConversion"/>
  </si>
  <si>
    <t>2020.11.17</t>
  </si>
  <si>
    <t>매출포상</t>
    <phoneticPr fontId="19" type="noConversion"/>
  </si>
  <si>
    <t>박혜연</t>
  </si>
  <si>
    <t>2022.12.26</t>
  </si>
  <si>
    <t>조육형</t>
  </si>
  <si>
    <t>2024.12.16</t>
  </si>
  <si>
    <t>진성헌</t>
  </si>
  <si>
    <t>2019.11.01</t>
  </si>
  <si>
    <t>지사 계약(건)</t>
  </si>
  <si>
    <t>지사 실적(만원)</t>
  </si>
  <si>
    <t>임태율</t>
  </si>
  <si>
    <t>2021.04.12</t>
  </si>
  <si>
    <t>2024.01.24</t>
  </si>
  <si>
    <t>영업지원</t>
  </si>
  <si>
    <t>이규진</t>
  </si>
  <si>
    <t>2024.02.05</t>
  </si>
  <si>
    <t>2024.03.26</t>
  </si>
  <si>
    <t>문지성</t>
  </si>
  <si>
    <t>2024.04.22</t>
  </si>
  <si>
    <t>기타포상</t>
  </si>
  <si>
    <t>주효상</t>
  </si>
  <si>
    <t>2024.05.27</t>
  </si>
  <si>
    <t>최진웅</t>
  </si>
  <si>
    <t>2024.05.28</t>
  </si>
  <si>
    <t>최병철</t>
  </si>
  <si>
    <t>2024.09.23</t>
  </si>
  <si>
    <t>신은호</t>
  </si>
  <si>
    <t>2024.12.23</t>
  </si>
  <si>
    <t>안중현</t>
  </si>
  <si>
    <t>2023.11.06</t>
  </si>
  <si>
    <t>김수빈</t>
  </si>
  <si>
    <t>2024.03.11</t>
  </si>
  <si>
    <t>이석환</t>
  </si>
  <si>
    <t>2024.03.13</t>
  </si>
  <si>
    <t>김영권</t>
  </si>
  <si>
    <t>2024.03.25</t>
  </si>
  <si>
    <t>박정윤</t>
  </si>
  <si>
    <t>2024.04.01</t>
  </si>
  <si>
    <t>2024.04.15</t>
  </si>
  <si>
    <t>2024.08.06</t>
  </si>
  <si>
    <t>노연숙</t>
  </si>
  <si>
    <t>2024.11.04</t>
  </si>
  <si>
    <t>진은경</t>
  </si>
  <si>
    <t>2021.08.02</t>
  </si>
  <si>
    <t>주차비용</t>
  </si>
  <si>
    <t>개인 계약실적포상</t>
  </si>
  <si>
    <t>개인 매출실적포상</t>
  </si>
  <si>
    <t>명도비용</t>
  </si>
  <si>
    <t>박비송</t>
  </si>
  <si>
    <t>2022.11.21</t>
  </si>
  <si>
    <r>
      <rPr>
        <sz val="10"/>
        <color rgb="FFFF0000"/>
        <rFont val="Malgun Gothic"/>
        <family val="3"/>
        <charset val="129"/>
      </rPr>
      <t>식비공제</t>
    </r>
    <r>
      <rPr>
        <sz val="9"/>
        <color rgb="FFFF0000"/>
        <rFont val="Arial"/>
        <family val="2"/>
      </rPr>
      <t>(법인)</t>
    </r>
  </si>
  <si>
    <t>이태욱</t>
  </si>
  <si>
    <t>2024.07.16</t>
  </si>
  <si>
    <t>박선호</t>
  </si>
  <si>
    <t>2024.08.05</t>
  </si>
  <si>
    <t>박종연</t>
  </si>
  <si>
    <t>2021.10.07</t>
  </si>
  <si>
    <t>2023.03.13</t>
  </si>
  <si>
    <t>2024-06-00</t>
  </si>
  <si>
    <t>2023.05.25</t>
  </si>
  <si>
    <t>2023-12-00</t>
  </si>
  <si>
    <t>2024.01.02</t>
  </si>
  <si>
    <t>2024-02-00</t>
  </si>
  <si>
    <t>2024-05-00</t>
  </si>
  <si>
    <t>윤미진</t>
  </si>
  <si>
    <r>
      <rPr>
        <sz val="9"/>
        <color theme="1"/>
        <rFont val="Arial"/>
        <family val="2"/>
      </rPr>
      <t xml:space="preserve">실적포상, 공제 반영한   </t>
    </r>
    <r>
      <rPr>
        <b/>
        <sz val="10"/>
        <color theme="1"/>
        <rFont val="Arial"/>
        <family val="2"/>
      </rPr>
      <t>최종 정산</t>
    </r>
  </si>
  <si>
    <t>김일환</t>
  </si>
  <si>
    <t>2024.10.07</t>
  </si>
  <si>
    <t>이동휘</t>
    <phoneticPr fontId="19" type="noConversion"/>
  </si>
  <si>
    <t>2024.12.17</t>
    <phoneticPr fontId="19" type="noConversion"/>
  </si>
  <si>
    <t>김호용</t>
  </si>
  <si>
    <t>윤현석</t>
  </si>
  <si>
    <t>2021.06.21</t>
  </si>
  <si>
    <t>우진솔</t>
  </si>
  <si>
    <t>2023.11.01</t>
  </si>
  <si>
    <t>강민석</t>
  </si>
  <si>
    <t>2024.02.19</t>
  </si>
  <si>
    <t>2023-10-00</t>
  </si>
  <si>
    <t>팀장수당</t>
  </si>
  <si>
    <t>2021.10.05</t>
  </si>
  <si>
    <t>2022-09-00</t>
  </si>
  <si>
    <t>2022.05.09</t>
  </si>
  <si>
    <t>2022.11.28</t>
  </si>
  <si>
    <t>2023.08.24</t>
  </si>
  <si>
    <t>기획팀</t>
  </si>
  <si>
    <t>추희진</t>
  </si>
  <si>
    <t>급여</t>
  </si>
  <si>
    <t>김민원</t>
  </si>
  <si>
    <t>실지급액230만, 7/10~근무</t>
    <phoneticPr fontId="19" type="noConversion"/>
  </si>
  <si>
    <t>김다영</t>
  </si>
  <si>
    <t>기본급260만</t>
    <phoneticPr fontId="19" type="noConversion"/>
  </si>
  <si>
    <t>김지원</t>
  </si>
  <si>
    <t>김영훈</t>
  </si>
  <si>
    <t>현진태</t>
  </si>
  <si>
    <t>송기성</t>
  </si>
  <si>
    <t>전체 합계</t>
  </si>
  <si>
    <t>※ 식대공제 합계</t>
  </si>
  <si>
    <t>입금합계</t>
  </si>
  <si>
    <t>매출 합계</t>
  </si>
  <si>
    <t>급여제외금액</t>
  </si>
  <si>
    <t>실지급액 합계</t>
  </si>
  <si>
    <t>개인포상&lt;계약건수&gt;</t>
  </si>
  <si>
    <t>신유진</t>
  </si>
  <si>
    <t>■ ㈜엘앤씨 사업소득신고</t>
  </si>
  <si>
    <t>금액</t>
  </si>
  <si>
    <t>갑근세(3.3%)</t>
  </si>
  <si>
    <t>실지급액</t>
  </si>
  <si>
    <t>이름</t>
  </si>
  <si>
    <t>주민번호</t>
  </si>
  <si>
    <t>주소</t>
  </si>
  <si>
    <t>박정란</t>
  </si>
  <si>
    <t>750426-2221314</t>
  </si>
  <si>
    <t>경기도 양주시 광적면 가래비11길 30, 108동 703호(성우헤스티아 아파트)</t>
  </si>
  <si>
    <t>(서정수)</t>
  </si>
  <si>
    <t>760503-1173511</t>
  </si>
  <si>
    <t>771206-2053118</t>
  </si>
  <si>
    <t>경기도 양주시 삼숭로58번길 115, 602동 306호 (삼숭동, 양주자이아파트)</t>
  </si>
  <si>
    <t>890105-1173313</t>
  </si>
  <si>
    <t>경기도 의정부시 평화로196, 1520호 (호원동, 신일엘리시움아파트)</t>
  </si>
  <si>
    <t>경기도 고양시 덕양구 권율대로 831, 905동 703호 (신원동, 신원마을 호반베르디움 9단지)</t>
  </si>
  <si>
    <t>901022-1024715</t>
  </si>
  <si>
    <t>경기도 의정부시 회룡로137번길 30, 101동 405호 (호원동, 현대아파트)</t>
  </si>
  <si>
    <t>서울특별시 서대문구 연희로39라길 12, 101호 (홍은동)</t>
  </si>
  <si>
    <t>880224-1030011</t>
  </si>
  <si>
    <t>760201-2221217</t>
  </si>
  <si>
    <t>경기도 구리시 경춘로276번길 67-40
103동 1401호 (수택동, 남양i좋은집아파트)</t>
  </si>
  <si>
    <t>930917-1043211</t>
  </si>
  <si>
    <t>경기도 고양시 일산서구 산현로132번길 10, 다동 202호(일산동, 두성빌라)</t>
  </si>
  <si>
    <t>760404-1537918</t>
  </si>
  <si>
    <t>경기도 남양주시 별내2로 63, 3705동 801호 (별내동, 별내신도시 쌍용예가)</t>
  </si>
  <si>
    <t>유정인</t>
    <phoneticPr fontId="19" type="noConversion"/>
  </si>
  <si>
    <t>850224-2652410</t>
  </si>
  <si>
    <t>경기도 포천시 신북면 중앙로 405번길 62</t>
  </si>
  <si>
    <t>740721-2173917</t>
  </si>
  <si>
    <t>경기도 의정부시 범골로63번길 31 223동 201호 (의정부동, 롯데캐슬 골드파크 아파트</t>
  </si>
  <si>
    <t>조육형</t>
    <phoneticPr fontId="19" type="noConversion"/>
  </si>
  <si>
    <t>691201-1398625</t>
    <phoneticPr fontId="19" type="noConversion"/>
  </si>
  <si>
    <t>경기도 의정부시 호국로1142번길 22, 108동 402호 (가능동, 브라운스통흥선)</t>
    <phoneticPr fontId="19" type="noConversion"/>
  </si>
  <si>
    <t>김미경</t>
  </si>
  <si>
    <t>770915-2462722</t>
  </si>
  <si>
    <t>경기도 양주시 옥정서로1길 60, 옥정더퍼스트 아파트 1513동 1203호</t>
  </si>
  <si>
    <t>(진성헌)</t>
  </si>
  <si>
    <t>820505-1553427</t>
  </si>
  <si>
    <t>서울특별시 양천구 남부순환로83길 18, 202동 1303호 (신월동, 목동센트럴아이파크위브 2단지)</t>
  </si>
  <si>
    <t>830228-2241214</t>
  </si>
  <si>
    <t>서울특별시 서대문구 이화여대8길 62, 101동 1806호
(북아현동, 두산아파트)</t>
  </si>
  <si>
    <t>781024-2233615</t>
  </si>
  <si>
    <t>서울특별시 강남구 밤고개로21길 25, 314동 103호 (자곡동, 래미안포레)</t>
  </si>
  <si>
    <t>840123-1677317</t>
  </si>
  <si>
    <t>대구광역시 동구 동북로 340, 1008동 902호 (신암동, 동대구해모로스퀘어웨스트)</t>
  </si>
  <si>
    <t>810617-1064910</t>
  </si>
  <si>
    <t>경기도 고양시 덕양구 지축로 55, 106동 2603호(지축동, 지축역센트럴푸르지오)</t>
  </si>
  <si>
    <t>750412-1233411</t>
  </si>
  <si>
    <t>경기도 고양시 덕양구 백양로 126, 1104동 1306호(화정동, 은빛마을)</t>
  </si>
  <si>
    <t>831218-1006310</t>
    <phoneticPr fontId="19" type="noConversion"/>
  </si>
  <si>
    <t>서울특별시 구로구 오리로22길 34, 나동 302호 (궁동, 청실빌라)</t>
    <phoneticPr fontId="19" type="noConversion"/>
  </si>
  <si>
    <t>991004-1389912</t>
  </si>
  <si>
    <t>인천광역시 서구 서달로207번길 1, 10동 301호(가정동, 대진빌라)</t>
  </si>
  <si>
    <t>800107-2553618</t>
  </si>
  <si>
    <t>인천광역시 연수구 새말로20, 505동 504호(연수동, 성일아파트)</t>
  </si>
  <si>
    <t>710124-2546213</t>
  </si>
  <si>
    <t>경기도 고양시 덕양구 은빛로17번길 13</t>
  </si>
  <si>
    <t>780323-2094929</t>
  </si>
  <si>
    <t>부산광역시 남구 고동골로97번길 67, 702호 (문현동, 광원아파트)</t>
  </si>
  <si>
    <t>870528-2111117</t>
  </si>
  <si>
    <t>부산광역시 수영구 광안해변로 311, 909호(민락동, 서희스타힐스센텀프리모)</t>
  </si>
  <si>
    <t>경상남도 양산시 물금읍 동중7길 21, A동 703호(삼위로얄아파트))</t>
  </si>
  <si>
    <t>821230-1122327</t>
  </si>
  <si>
    <t>840808-1559513</t>
  </si>
  <si>
    <t>경상남도 양산시 물금읍 백호로 156, 101동 703호 (우성스마트시티뷰)</t>
  </si>
  <si>
    <t>810926-2094210</t>
  </si>
  <si>
    <t>880215-1126712</t>
  </si>
  <si>
    <t>부산광역시 금정구 체육공원로 56, 502호(구서동, 태평아파트)</t>
  </si>
  <si>
    <t>이동휘</t>
    <phoneticPr fontId="19" type="noConversion"/>
  </si>
  <si>
    <t>870424-1841912</t>
    <phoneticPr fontId="19" type="noConversion"/>
  </si>
  <si>
    <t>부산광역시 북구 상학로 35, 102동 1105호(만덕동, 더 래디언트 금정산_</t>
    <phoneticPr fontId="19" type="noConversion"/>
  </si>
  <si>
    <t>820816-1467016</t>
  </si>
  <si>
    <t>대전광역시 서구 청사로 281, 206동 805호(둔산동, 샘머리아파트)</t>
  </si>
  <si>
    <t>841219-1063729</t>
  </si>
  <si>
    <t>대전광역시 중구 태평로 15, 122동 701호(태평동, 버드내마을아파트)</t>
  </si>
  <si>
    <t>941215-2078618</t>
  </si>
  <si>
    <t>대전광역시 서구 탄방로 50-21, 502호(탄방동, 드림빌라)</t>
  </si>
  <si>
    <t>981208-1216119</t>
  </si>
  <si>
    <t>대전시 서구 괴정동 74-10, 304호</t>
  </si>
  <si>
    <t>한재현</t>
    <phoneticPr fontId="19" type="noConversion"/>
  </si>
  <si>
    <t>760821-1951619</t>
    <phoneticPr fontId="19" type="noConversion"/>
  </si>
  <si>
    <t>제주특별자치도 제주시 조천읍 함대로3길 24-9, 비동 3층</t>
    <phoneticPr fontId="19" type="noConversion"/>
  </si>
  <si>
    <t>최용규</t>
    <phoneticPr fontId="19" type="noConversion"/>
  </si>
  <si>
    <t>760416-1252225</t>
  </si>
  <si>
    <t>대전시 서구 괴정로54번길 32 (괴정동)</t>
  </si>
  <si>
    <t>유은경</t>
    <phoneticPr fontId="19" type="noConversion"/>
  </si>
  <si>
    <t>750321-2395212</t>
  </si>
  <si>
    <t>충남 서산시 공림4로20 (예천동)</t>
  </si>
  <si>
    <t>원유호</t>
    <phoneticPr fontId="19" type="noConversion"/>
  </si>
  <si>
    <t>721225-1055215</t>
  </si>
  <si>
    <t>인천 남동구 장승남로 81번길 10 상가 102호</t>
  </si>
  <si>
    <t>박성옥</t>
    <phoneticPr fontId="19" type="noConversion"/>
  </si>
  <si>
    <t>720208-2454853</t>
  </si>
  <si>
    <t xml:space="preserve">대전광역시 유성구 복용동로 43 도안더리브시그니처 
2층 상가 211호  </t>
  </si>
  <si>
    <t>안중현</t>
    <phoneticPr fontId="19" type="noConversion"/>
  </si>
  <si>
    <t>710318-1029320</t>
    <phoneticPr fontId="19" type="noConversion"/>
  </si>
  <si>
    <t>서울특별시 도봉구 노해로63나길 21, 
1동 101호 (창동, 삼양빌라)</t>
    <phoneticPr fontId="2" type="noConversion"/>
  </si>
  <si>
    <t>경기 수원시 권선구 칠보로 102, 107동 701호 (한양수자인파크원)</t>
    <phoneticPr fontId="19" type="noConversion"/>
  </si>
  <si>
    <t>910301-2065317</t>
  </si>
  <si>
    <t>경기도 용인시 처인구 포곡읍 마성로 358-230</t>
  </si>
  <si>
    <t>한유정</t>
  </si>
  <si>
    <t>800929-2026322</t>
  </si>
  <si>
    <t>경기도 의정부시 호암로 256, 105동 302호 (호원동, 신일유토빌아파트)</t>
  </si>
  <si>
    <t/>
  </si>
  <si>
    <t>이동건</t>
  </si>
  <si>
    <t>710215-1809038</t>
  </si>
  <si>
    <t>경기도 포천시 소흘읍 태봉로83 503동 105호(추산마을주공아파트)</t>
  </si>
  <si>
    <t>(신유진)</t>
  </si>
  <si>
    <t>안규빈</t>
  </si>
  <si>
    <t>820120-2079115</t>
  </si>
  <si>
    <t>서울특별실 강동구 아리수로 358(고덕동)</t>
  </si>
  <si>
    <t>이민주</t>
  </si>
  <si>
    <t>810119-2664315</t>
  </si>
  <si>
    <t xml:space="preserve">경기도 양주시 백석면 고릉말로64, 2동 401호(삼성에코빌) </t>
  </si>
  <si>
    <t>750115-1173513</t>
  </si>
  <si>
    <t>박민송</t>
  </si>
  <si>
    <t>010905-4173119</t>
  </si>
  <si>
    <t>830222-1173516</t>
  </si>
  <si>
    <t>경기도 의정부시 평화로168번지 12, 103동 201호 (호원동, 건영아파트)</t>
  </si>
  <si>
    <t xml:space="preserve">820830-1235325   </t>
  </si>
  <si>
    <t>800607-1031126</t>
  </si>
  <si>
    <t>서울시 노원구 노원로 428, 207동 101호 (상계동,상계중앙하이츠2차아파트)</t>
  </si>
  <si>
    <t>891119-2173418</t>
  </si>
  <si>
    <t>경기도 의정부시 신흥로239번길 20, 럭스타워 308호</t>
  </si>
  <si>
    <t>이서아</t>
  </si>
  <si>
    <t>980222-2113311</t>
  </si>
  <si>
    <t>부산광역시 연제구 황새알로 12, 301호</t>
  </si>
  <si>
    <t>950321-1674710</t>
  </si>
  <si>
    <t>경기도 의정부시 평화로272번길 29, 403호 (호원동, 푸른마을아파트)</t>
  </si>
  <si>
    <t>김순기</t>
  </si>
  <si>
    <t>471225-2001711</t>
  </si>
  <si>
    <t>서울시특별시 노원구 노원로428 207동 101호</t>
  </si>
  <si>
    <t>920905-2126810</t>
  </si>
  <si>
    <t>부산광역시 동래구 쇠미로 185, 101동 1308호 (온천동, 경보이리스힐아파트)</t>
  </si>
  <si>
    <t>김성철</t>
    <phoneticPr fontId="19" type="noConversion"/>
  </si>
  <si>
    <t>670628-1626512</t>
  </si>
  <si>
    <t>전남 곡성군 옥과면 수리길 23-2</t>
  </si>
  <si>
    <t>김정교</t>
    <phoneticPr fontId="19" type="noConversion"/>
  </si>
  <si>
    <t>680210-1490813</t>
    <phoneticPr fontId="19" type="noConversion"/>
  </si>
  <si>
    <t>경기 고양시 일산동구 강석고110 525동 907호 (마두동, 강촌마을)</t>
    <phoneticPr fontId="19" type="noConversion"/>
  </si>
  <si>
    <t>노형균</t>
    <phoneticPr fontId="19" type="noConversion"/>
  </si>
  <si>
    <t>690219-1447418</t>
    <phoneticPr fontId="19" type="noConversion"/>
  </si>
  <si>
    <t>경기 용인시 처인구 명지로60번길 33-15 101호</t>
    <phoneticPr fontId="19" type="noConversion"/>
  </si>
  <si>
    <t>박태진</t>
    <phoneticPr fontId="19" type="noConversion"/>
  </si>
  <si>
    <t>670313-1232820</t>
    <phoneticPr fontId="19" type="noConversion"/>
  </si>
  <si>
    <t>경기 성남시 중원구 둔촌대로 388 B119호</t>
    <phoneticPr fontId="19" type="noConversion"/>
  </si>
  <si>
    <t>정진선</t>
    <phoneticPr fontId="19" type="noConversion"/>
  </si>
  <si>
    <t>기타</t>
    <phoneticPr fontId="2" type="noConversion"/>
  </si>
  <si>
    <t>개인포상</t>
    <phoneticPr fontId="2" type="noConversion"/>
  </si>
  <si>
    <t>기타</t>
    <phoneticPr fontId="2" type="noConversion"/>
  </si>
  <si>
    <t>개인포상</t>
    <phoneticPr fontId="2" type="noConversion"/>
  </si>
  <si>
    <t>매수신청대리</t>
    <phoneticPr fontId="2" type="noConversion"/>
  </si>
  <si>
    <t>`</t>
    <phoneticPr fontId="2" type="noConversion"/>
  </si>
  <si>
    <t>911111-1120616</t>
    <phoneticPr fontId="2" type="noConversion"/>
  </si>
  <si>
    <t>곽성민</t>
    <phoneticPr fontId="2" type="noConversion"/>
  </si>
  <si>
    <t>경북 경주시 감포읍 동해안로 2043-1</t>
    <phoneticPr fontId="2" type="noConversion"/>
  </si>
  <si>
    <t>640105-1785341</t>
    <phoneticPr fontId="2" type="noConversion"/>
  </si>
  <si>
    <t>여고영</t>
    <phoneticPr fontId="2" type="noConversion"/>
  </si>
  <si>
    <t>720315-2095910</t>
    <phoneticPr fontId="2" type="noConversion"/>
  </si>
  <si>
    <t>부산시 서구 망양로33번길27, 701호 (서대신동3가, 구덕자유아파트)</t>
    <phoneticPr fontId="2" type="noConversion"/>
  </si>
  <si>
    <t>경기도 양주시 고릉말로46번길 38-8, 광명빌라 B동 302호</t>
  </si>
  <si>
    <t>박상원</t>
    <phoneticPr fontId="2" type="noConversion"/>
  </si>
  <si>
    <t>기타포상</t>
    <phoneticPr fontId="2" type="noConversion"/>
  </si>
  <si>
    <t>조차훈</t>
    <phoneticPr fontId="2" type="noConversion"/>
  </si>
  <si>
    <t>2025.02.24</t>
    <phoneticPr fontId="2" type="noConversion"/>
  </si>
  <si>
    <t>계약</t>
  </si>
  <si>
    <t>761005-1683221</t>
    <phoneticPr fontId="2" type="noConversion"/>
  </si>
  <si>
    <t>경기도 수원시 권선구 망포로 13, 112동 1202호(곡반정동, 수원하늘채더퍼스트1단지)</t>
    <phoneticPr fontId="2" type="noConversion"/>
  </si>
  <si>
    <t>매수신청대리</t>
    <phoneticPr fontId="2" type="noConversion"/>
  </si>
  <si>
    <t>매수신청대리</t>
    <phoneticPr fontId="19" type="noConversion"/>
  </si>
  <si>
    <t>매수신청대리</t>
    <phoneticPr fontId="2" type="noConversion"/>
  </si>
  <si>
    <t>매출포상</t>
    <phoneticPr fontId="2" type="noConversion"/>
  </si>
  <si>
    <t>매출포상</t>
    <phoneticPr fontId="2" type="noConversion"/>
  </si>
  <si>
    <t>소득신고</t>
    <phoneticPr fontId="2" type="noConversion"/>
  </si>
  <si>
    <t>김은영</t>
    <phoneticPr fontId="2" type="noConversion"/>
  </si>
  <si>
    <t>이최선</t>
    <phoneticPr fontId="2" type="noConversion"/>
  </si>
  <si>
    <t>박기명</t>
    <phoneticPr fontId="2" type="noConversion"/>
  </si>
  <si>
    <t>871206-2121611</t>
    <phoneticPr fontId="2" type="noConversion"/>
  </si>
  <si>
    <t>경남 창원시 마산회원구삼호로 80, 207동 3601호(양덕동, 메트로시티2단지)</t>
    <phoneticPr fontId="2" type="noConversion"/>
  </si>
  <si>
    <t>920810-1673912</t>
    <phoneticPr fontId="2" type="noConversion"/>
  </si>
  <si>
    <t>대구시 중구 국채보상로 149길 23 (동인동3가)</t>
    <phoneticPr fontId="2" type="noConversion"/>
  </si>
  <si>
    <t>900622-2126315</t>
    <phoneticPr fontId="2" type="noConversion"/>
  </si>
  <si>
    <t>부산시 사하구 사리로 106, 109동 204호 (괴정동, 괴정한신더휴)</t>
    <phoneticPr fontId="2" type="noConversion"/>
  </si>
  <si>
    <t>770323-1637025</t>
    <phoneticPr fontId="2" type="noConversion"/>
  </si>
  <si>
    <t>(조차훈)</t>
    <phoneticPr fontId="2" type="noConversion"/>
  </si>
  <si>
    <t>서울특별시 중랑구 중랑천로2길 34-6(면목동)</t>
    <phoneticPr fontId="2" type="noConversion"/>
  </si>
  <si>
    <t>매수신청대리</t>
    <phoneticPr fontId="2" type="noConversion"/>
  </si>
  <si>
    <t>부산광역시 금정구 식물원로9번길 15, 101동2605호 (장전삼정그린코아더베스트)</t>
  </si>
  <si>
    <t>2025.03.31</t>
    <phoneticPr fontId="2" type="noConversion"/>
  </si>
  <si>
    <t>백재원</t>
    <phoneticPr fontId="2" type="noConversion"/>
  </si>
  <si>
    <t>910705-1037118</t>
    <phoneticPr fontId="2" type="noConversion"/>
  </si>
  <si>
    <t>이경서</t>
    <phoneticPr fontId="2" type="noConversion"/>
  </si>
  <si>
    <t>711209-2108614</t>
    <phoneticPr fontId="2" type="noConversion"/>
  </si>
  <si>
    <t>서울특별시 서초구 명달로26길 25, 301호 (서초동, 안나빌라)</t>
    <phoneticPr fontId="2" type="noConversion"/>
  </si>
  <si>
    <t>오통순</t>
    <phoneticPr fontId="2" type="noConversion"/>
  </si>
  <si>
    <t>730825-2545811</t>
    <phoneticPr fontId="2" type="noConversion"/>
  </si>
  <si>
    <t>서울특별시 노원구 동이로208길 19, 201동 111 3호(중계동, 중개무지개아파트)</t>
    <phoneticPr fontId="2" type="noConversion"/>
  </si>
  <si>
    <t>이규호</t>
    <phoneticPr fontId="2" type="noConversion"/>
  </si>
  <si>
    <t>720707-1690526</t>
    <phoneticPr fontId="2" type="noConversion"/>
  </si>
  <si>
    <t>경기 시흥시 인선길 111, 251동 701호(매꼴마을동양덱스빌@)</t>
    <phoneticPr fontId="2" type="noConversion"/>
  </si>
  <si>
    <t>김윤건</t>
    <phoneticPr fontId="2" type="noConversion"/>
  </si>
  <si>
    <t>790702-1221821</t>
    <phoneticPr fontId="2" type="noConversion"/>
  </si>
  <si>
    <t>경기 의정부 용현로 143 102동 202호</t>
  </si>
  <si>
    <t>매수신청대리</t>
    <phoneticPr fontId="2" type="noConversion"/>
  </si>
  <si>
    <t>박종연</t>
    <phoneticPr fontId="2" type="noConversion"/>
  </si>
  <si>
    <t>2024.08.05</t>
    <phoneticPr fontId="2" type="noConversion"/>
  </si>
  <si>
    <t>박종연</t>
    <phoneticPr fontId="2" type="noConversion"/>
  </si>
  <si>
    <t>강남1팀 : 7명</t>
    <phoneticPr fontId="2" type="noConversion"/>
  </si>
  <si>
    <t>김효섭</t>
    <phoneticPr fontId="2" type="noConversion"/>
  </si>
  <si>
    <t>급여</t>
    <phoneticPr fontId="2" type="noConversion"/>
  </si>
  <si>
    <t>팀포상</t>
    <phoneticPr fontId="2" type="noConversion"/>
  </si>
  <si>
    <t>팀포상</t>
    <phoneticPr fontId="2" type="noConversion"/>
  </si>
  <si>
    <t>팀매출포상</t>
    <phoneticPr fontId="2" type="noConversion"/>
  </si>
  <si>
    <t>목표매출포상</t>
    <phoneticPr fontId="2" type="noConversion"/>
  </si>
  <si>
    <t>목표매출포상</t>
    <phoneticPr fontId="2" type="noConversion"/>
  </si>
  <si>
    <t>목표매출포상</t>
    <phoneticPr fontId="2" type="noConversion"/>
  </si>
  <si>
    <t>목표매출포상</t>
    <phoneticPr fontId="2" type="noConversion"/>
  </si>
  <si>
    <t>목표매출포상</t>
    <phoneticPr fontId="2" type="noConversion"/>
  </si>
  <si>
    <t>팀포상</t>
    <phoneticPr fontId="2" type="noConversion"/>
  </si>
  <si>
    <t>강성규</t>
    <phoneticPr fontId="2" type="noConversion"/>
  </si>
  <si>
    <t>640622-1123219</t>
    <phoneticPr fontId="2" type="noConversion"/>
  </si>
  <si>
    <t>서울특별시 영등포구 당산로 214, 424동 902호(당산동5가, 당산삼성래미안)</t>
    <phoneticPr fontId="2" type="noConversion"/>
  </si>
  <si>
    <t>권강회</t>
    <phoneticPr fontId="2" type="noConversion"/>
  </si>
  <si>
    <t>830221-1221412</t>
    <phoneticPr fontId="2" type="noConversion"/>
  </si>
  <si>
    <t>경기도 양주시 고덕로 89, 101동 1403호</t>
    <phoneticPr fontId="2" type="noConversion"/>
  </si>
  <si>
    <t>매수신청대리</t>
    <phoneticPr fontId="2" type="noConversion"/>
  </si>
  <si>
    <t>소득신고</t>
    <phoneticPr fontId="2" type="noConversion"/>
  </si>
  <si>
    <t>기타포상</t>
    <phoneticPr fontId="2" type="noConversion"/>
  </si>
  <si>
    <t>개인포상</t>
    <phoneticPr fontId="2" type="noConversion"/>
  </si>
  <si>
    <t>매출포상</t>
    <phoneticPr fontId="2" type="noConversion"/>
  </si>
  <si>
    <t>팀포상</t>
    <phoneticPr fontId="2" type="noConversion"/>
  </si>
  <si>
    <t>김원철</t>
    <phoneticPr fontId="2" type="noConversion"/>
  </si>
  <si>
    <t>660728-1173511</t>
    <phoneticPr fontId="2" type="noConversion"/>
  </si>
  <si>
    <r>
      <rPr>
        <sz val="11"/>
        <color theme="1"/>
        <rFont val="돋움"/>
        <family val="3"/>
        <charset val="129"/>
      </rPr>
      <t>부산광역시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서구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암남공원로</t>
    </r>
    <r>
      <rPr>
        <sz val="11"/>
        <color theme="1"/>
        <rFont val="Calibri"/>
        <family val="2"/>
      </rPr>
      <t xml:space="preserve"> 38-11 (</t>
    </r>
    <r>
      <rPr>
        <sz val="11"/>
        <color theme="1"/>
        <rFont val="돋움"/>
        <family val="3"/>
        <charset val="129"/>
      </rPr>
      <t>암남동</t>
    </r>
    <r>
      <rPr>
        <sz val="11"/>
        <color theme="1"/>
        <rFont val="Calibri"/>
        <family val="2"/>
      </rPr>
      <t>)</t>
    </r>
    <phoneticPr fontId="2" type="noConversion"/>
  </si>
  <si>
    <t>유성철</t>
    <phoneticPr fontId="2" type="noConversion"/>
  </si>
  <si>
    <t>660316-1068631</t>
    <phoneticPr fontId="2" type="noConversion"/>
  </si>
  <si>
    <t>경기 야주시 현암3길 47-6, 201호(현암동)</t>
    <phoneticPr fontId="2" type="noConversion"/>
  </si>
  <si>
    <t>이정아</t>
    <phoneticPr fontId="2" type="noConversion"/>
  </si>
  <si>
    <t>721227-2108912</t>
    <phoneticPr fontId="2" type="noConversion"/>
  </si>
  <si>
    <t>부산광역시 연제구 월드컵대로266, 101동 1404호 (거제동, 롯데캐슬피렌체)</t>
    <phoneticPr fontId="2" type="noConversion"/>
  </si>
  <si>
    <t>수임료정산</t>
    <phoneticPr fontId="2" type="noConversion"/>
  </si>
  <si>
    <t>윤미진</t>
    <phoneticPr fontId="2" type="noConversion"/>
  </si>
  <si>
    <t>기타</t>
    <phoneticPr fontId="2" type="noConversion"/>
  </si>
  <si>
    <t>2025-07-00</t>
  </si>
  <si>
    <t>도정운</t>
    <phoneticPr fontId="2" type="noConversion"/>
  </si>
  <si>
    <t>2025.06.24</t>
    <phoneticPr fontId="2" type="noConversion"/>
  </si>
  <si>
    <t>9,914,210원</t>
    <phoneticPr fontId="2" type="noConversion"/>
  </si>
  <si>
    <t>김민서</t>
    <phoneticPr fontId="2" type="noConversion"/>
  </si>
  <si>
    <t>이익규</t>
    <phoneticPr fontId="2" type="noConversion"/>
  </si>
  <si>
    <t>박정규</t>
    <phoneticPr fontId="2" type="noConversion"/>
  </si>
  <si>
    <t>백재원</t>
    <phoneticPr fontId="2" type="noConversion"/>
  </si>
  <si>
    <t>정민준</t>
    <phoneticPr fontId="2" type="noConversion"/>
  </si>
  <si>
    <t>이진영</t>
    <phoneticPr fontId="2" type="noConversion"/>
  </si>
  <si>
    <t>조육형</t>
    <phoneticPr fontId="2" type="noConversion"/>
  </si>
  <si>
    <t>지경현</t>
    <phoneticPr fontId="2" type="noConversion"/>
  </si>
  <si>
    <t>최재명</t>
    <phoneticPr fontId="2" type="noConversion"/>
  </si>
  <si>
    <t>신유진</t>
    <phoneticPr fontId="2" type="noConversion"/>
  </si>
  <si>
    <t>박혜연</t>
    <phoneticPr fontId="2" type="noConversion"/>
  </si>
  <si>
    <t>진성헌</t>
    <phoneticPr fontId="2" type="noConversion"/>
  </si>
  <si>
    <t>임태율</t>
    <phoneticPr fontId="2" type="noConversion"/>
  </si>
  <si>
    <t>안중현</t>
    <phoneticPr fontId="2" type="noConversion"/>
  </si>
  <si>
    <t>이규진</t>
    <phoneticPr fontId="2" type="noConversion"/>
  </si>
  <si>
    <t>문지성</t>
    <phoneticPr fontId="2" type="noConversion"/>
  </si>
  <si>
    <t>최병철</t>
    <phoneticPr fontId="2" type="noConversion"/>
  </si>
  <si>
    <t>노연숙</t>
    <phoneticPr fontId="2" type="noConversion"/>
  </si>
  <si>
    <t>신은호</t>
    <phoneticPr fontId="2" type="noConversion"/>
  </si>
  <si>
    <t>최진웅</t>
    <phoneticPr fontId="2" type="noConversion"/>
  </si>
  <si>
    <t>박정윤</t>
    <phoneticPr fontId="2" type="noConversion"/>
  </si>
  <si>
    <t>주효상</t>
    <phoneticPr fontId="2" type="noConversion"/>
  </si>
  <si>
    <t>조차훈</t>
    <phoneticPr fontId="2" type="noConversion"/>
  </si>
  <si>
    <t>진은경</t>
    <phoneticPr fontId="2" type="noConversion"/>
  </si>
  <si>
    <t>박비송</t>
    <phoneticPr fontId="2" type="noConversion"/>
  </si>
  <si>
    <t>이태욱</t>
    <phoneticPr fontId="2" type="noConversion"/>
  </si>
  <si>
    <t>박선호</t>
    <phoneticPr fontId="2" type="noConversion"/>
  </si>
  <si>
    <t>김준경</t>
    <phoneticPr fontId="2" type="noConversion"/>
  </si>
  <si>
    <t>박종연</t>
    <phoneticPr fontId="2" type="noConversion"/>
  </si>
  <si>
    <t>윤미진</t>
    <phoneticPr fontId="2" type="noConversion"/>
  </si>
  <si>
    <t>김일환</t>
    <phoneticPr fontId="2" type="noConversion"/>
  </si>
  <si>
    <t>이동휘</t>
    <phoneticPr fontId="2" type="noConversion"/>
  </si>
  <si>
    <t>김아현</t>
    <phoneticPr fontId="2" type="noConversion"/>
  </si>
  <si>
    <t>윤현석</t>
    <phoneticPr fontId="2" type="noConversion"/>
  </si>
  <si>
    <t>우진솔</t>
    <phoneticPr fontId="2" type="noConversion"/>
  </si>
  <si>
    <t>강민석</t>
    <phoneticPr fontId="2" type="noConversion"/>
  </si>
  <si>
    <t>도정운</t>
    <phoneticPr fontId="2" type="noConversion"/>
  </si>
  <si>
    <t>1위</t>
    <phoneticPr fontId="2" type="noConversion"/>
  </si>
  <si>
    <t>2위</t>
    <phoneticPr fontId="2" type="noConversion"/>
  </si>
  <si>
    <t>3위</t>
    <phoneticPr fontId="2" type="noConversion"/>
  </si>
  <si>
    <t>4위</t>
    <phoneticPr fontId="2" type="noConversion"/>
  </si>
  <si>
    <t>팀포상</t>
    <phoneticPr fontId="2" type="noConversion"/>
  </si>
  <si>
    <t>팀포상</t>
    <phoneticPr fontId="2" type="noConversion"/>
  </si>
  <si>
    <t>팀포상</t>
    <phoneticPr fontId="2" type="noConversion"/>
  </si>
  <si>
    <t>팀포상</t>
    <phoneticPr fontId="2" type="noConversion"/>
  </si>
  <si>
    <t xml:space="preserve"> </t>
    <phoneticPr fontId="2" type="noConversion"/>
  </si>
  <si>
    <t>박비송</t>
    <phoneticPr fontId="2" type="noConversion"/>
  </si>
  <si>
    <t>본사(계약)</t>
    <phoneticPr fontId="2" type="noConversion"/>
  </si>
  <si>
    <t>전지사(계약)</t>
    <phoneticPr fontId="2" type="noConversion"/>
  </si>
  <si>
    <t>전지사(매출)</t>
    <phoneticPr fontId="2" type="noConversion"/>
  </si>
  <si>
    <t>본사(매출)</t>
    <phoneticPr fontId="2" type="noConversion"/>
  </si>
  <si>
    <t>10건이상없음</t>
    <phoneticPr fontId="2" type="noConversion"/>
  </si>
  <si>
    <t>개인포상</t>
    <phoneticPr fontId="2" type="noConversion"/>
  </si>
  <si>
    <t>개인포상</t>
    <phoneticPr fontId="2" type="noConversion"/>
  </si>
  <si>
    <t>개인포상</t>
    <phoneticPr fontId="2" type="noConversion"/>
  </si>
  <si>
    <t>기타</t>
    <phoneticPr fontId="2" type="noConversion"/>
  </si>
  <si>
    <t>도정운</t>
    <phoneticPr fontId="2" type="noConversion"/>
  </si>
  <si>
    <t>910228-2735912</t>
    <phoneticPr fontId="2" type="noConversion"/>
  </si>
  <si>
    <t>대전광역시 중구 보문산로161번길 55, 101동 508호 (문화동, 주공아파트)</t>
    <phoneticPr fontId="2" type="noConversion"/>
  </si>
  <si>
    <t>노효숙</t>
    <phoneticPr fontId="2" type="noConversion"/>
  </si>
  <si>
    <t>720531-2559013</t>
    <phoneticPr fontId="2" type="noConversion"/>
  </si>
  <si>
    <t>광주시 남구 백운로 100, 304동 402호 (백운동, 휴먼시아 3단지)</t>
    <phoneticPr fontId="2" type="noConversion"/>
  </si>
  <si>
    <t>2025-08-00</t>
    <phoneticPr fontId="2" type="noConversion"/>
  </si>
  <si>
    <t>팀매출포상</t>
    <phoneticPr fontId="2" type="noConversion"/>
  </si>
  <si>
    <t>강남지사 : 12명</t>
    <phoneticPr fontId="19" type="noConversion"/>
  </si>
  <si>
    <t>최성주</t>
    <phoneticPr fontId="2" type="noConversion"/>
  </si>
  <si>
    <t>매수신청대리</t>
    <phoneticPr fontId="2" type="noConversion"/>
  </si>
  <si>
    <t xml:space="preserve"> </t>
    <phoneticPr fontId="2" type="noConversion"/>
  </si>
  <si>
    <t>2,000,000원</t>
    <phoneticPr fontId="2" type="noConversion"/>
  </si>
  <si>
    <t>배정화</t>
    <phoneticPr fontId="2" type="noConversion"/>
  </si>
  <si>
    <t>810718-2894611</t>
    <phoneticPr fontId="2" type="noConversion"/>
  </si>
  <si>
    <t>부산광역시 부산진구 도평로 150번길 14, 108동 103호 서면동일파크스위트1차</t>
    <phoneticPr fontId="2" type="noConversion"/>
  </si>
  <si>
    <t>퇴직금3차까지나감</t>
    <phoneticPr fontId="2" type="noConversion"/>
  </si>
  <si>
    <t>직급수당</t>
    <phoneticPr fontId="2" type="noConversion"/>
  </si>
  <si>
    <t>기타급여</t>
    <phoneticPr fontId="2" type="noConversion"/>
  </si>
  <si>
    <t>기타급여</t>
    <phoneticPr fontId="2" type="noConversion"/>
  </si>
  <si>
    <t>직급수당</t>
    <phoneticPr fontId="2" type="noConversion"/>
  </si>
  <si>
    <t>이진우</t>
    <phoneticPr fontId="2" type="noConversion"/>
  </si>
  <si>
    <t>매수신청대리</t>
    <phoneticPr fontId="2" type="noConversion"/>
  </si>
  <si>
    <t>윤태강</t>
    <phoneticPr fontId="2" type="noConversion"/>
  </si>
  <si>
    <t>2025.08.22</t>
    <phoneticPr fontId="2" type="noConversion"/>
  </si>
  <si>
    <t>김진우</t>
    <phoneticPr fontId="2" type="noConversion"/>
  </si>
  <si>
    <t>2025.08.18</t>
    <phoneticPr fontId="2" type="noConversion"/>
  </si>
  <si>
    <t>개인포상</t>
    <phoneticPr fontId="2" type="noConversion"/>
  </si>
  <si>
    <t>기타급여</t>
    <phoneticPr fontId="2" type="noConversion"/>
  </si>
  <si>
    <t>기타급여</t>
    <phoneticPr fontId="2" type="noConversion"/>
  </si>
  <si>
    <t>직급수당</t>
    <phoneticPr fontId="2" type="noConversion"/>
  </si>
  <si>
    <t>윤태강</t>
    <phoneticPr fontId="2" type="noConversion"/>
  </si>
  <si>
    <t>조차훈</t>
    <phoneticPr fontId="2" type="noConversion"/>
  </si>
  <si>
    <t>이진영</t>
    <phoneticPr fontId="2" type="noConversion"/>
  </si>
  <si>
    <t>지경현</t>
    <phoneticPr fontId="2" type="noConversion"/>
  </si>
  <si>
    <t>윤태강</t>
    <phoneticPr fontId="2" type="noConversion"/>
  </si>
  <si>
    <t>김진우</t>
    <phoneticPr fontId="2" type="noConversion"/>
  </si>
  <si>
    <t>팀포상</t>
    <phoneticPr fontId="2" type="noConversion"/>
  </si>
  <si>
    <t>윤태강</t>
    <phoneticPr fontId="2" type="noConversion"/>
  </si>
  <si>
    <t>경남 양산시 물금읍 백호로 156, 우성스마트시티뷰 101동 703호</t>
    <phoneticPr fontId="2" type="noConversion"/>
  </si>
  <si>
    <t>최성주</t>
    <phoneticPr fontId="2" type="noConversion"/>
  </si>
  <si>
    <t>김수겸</t>
    <phoneticPr fontId="2" type="noConversion"/>
  </si>
  <si>
    <t>김진원</t>
    <phoneticPr fontId="2" type="noConversion"/>
  </si>
  <si>
    <t>오효철</t>
    <phoneticPr fontId="19" type="noConversion"/>
  </si>
  <si>
    <t>561210-1162117</t>
    <phoneticPr fontId="19" type="noConversion"/>
  </si>
  <si>
    <t>경기도 고양시 일산동구 강송로196, 107동 1205호 (마두동, 강촌마을)</t>
    <phoneticPr fontId="2" type="noConversion"/>
  </si>
  <si>
    <t>760125-1058011</t>
    <phoneticPr fontId="2" type="noConversion"/>
  </si>
  <si>
    <t>경기도 하남시 미사강변한강로410번길 87, 202호 (덕풍동)</t>
    <phoneticPr fontId="2" type="noConversion"/>
  </si>
  <si>
    <t>711204-1715717</t>
    <phoneticPr fontId="2" type="noConversion"/>
  </si>
  <si>
    <t>충북 청주시 층럭구 오송읍 오송생명7로 151</t>
    <phoneticPr fontId="2" type="noConversion"/>
  </si>
  <si>
    <t>781225-1105914</t>
    <phoneticPr fontId="2" type="noConversion"/>
  </si>
  <si>
    <t>경남 거제시 신천읍 장평리 497</t>
    <phoneticPr fontId="2" type="noConversion"/>
  </si>
  <si>
    <t>581125-1047229</t>
    <phoneticPr fontId="2" type="noConversion"/>
  </si>
  <si>
    <t>경기도 의정부시 장곡로 240, 113동 603호 (장암동, 장암동아아파트)</t>
    <phoneticPr fontId="2" type="noConversion"/>
  </si>
  <si>
    <t>장익성</t>
    <phoneticPr fontId="2" type="noConversion"/>
  </si>
  <si>
    <t>2025.09.08</t>
    <phoneticPr fontId="2" type="noConversion"/>
  </si>
  <si>
    <t>계약</t>
    <phoneticPr fontId="2" type="noConversion"/>
  </si>
  <si>
    <t>정수환</t>
    <phoneticPr fontId="2" type="noConversion"/>
  </si>
  <si>
    <t>2025.09.16</t>
    <phoneticPr fontId="2" type="noConversion"/>
  </si>
  <si>
    <t>880319-1057317</t>
    <phoneticPr fontId="2" type="noConversion"/>
  </si>
  <si>
    <t>정수환</t>
    <phoneticPr fontId="2" type="noConversion"/>
  </si>
  <si>
    <t>정수환</t>
    <phoneticPr fontId="2" type="noConversion"/>
  </si>
  <si>
    <t>장익성</t>
    <phoneticPr fontId="2" type="noConversion"/>
  </si>
  <si>
    <t>740925-1566110</t>
    <phoneticPr fontId="2" type="noConversion"/>
  </si>
  <si>
    <t>경기도 성남시 분당구 무지개로 144, 503동 1404호</t>
    <phoneticPr fontId="2" type="noConversion"/>
  </si>
  <si>
    <t>정수환</t>
    <phoneticPr fontId="2" type="noConversion"/>
  </si>
  <si>
    <t>851209-1032917</t>
    <phoneticPr fontId="2" type="noConversion"/>
  </si>
  <si>
    <t>서울특별시 강서구 곰달래로24길 12, 402호(화곡동, 동양하우징)</t>
    <phoneticPr fontId="2" type="noConversion"/>
  </si>
  <si>
    <t>기타포상</t>
    <phoneticPr fontId="2" type="noConversion"/>
  </si>
  <si>
    <t>팀원: 3명</t>
    <phoneticPr fontId="2" type="noConversion"/>
  </si>
  <si>
    <r>
      <t xml:space="preserve">부산광역시 동래구 금강로 </t>
    </r>
    <r>
      <rPr>
        <sz val="11"/>
        <color rgb="FF000000"/>
        <rFont val="굴림"/>
        <family val="3"/>
        <charset val="129"/>
      </rPr>
      <t>131</t>
    </r>
    <r>
      <rPr>
        <sz val="11"/>
        <color rgb="FF000000"/>
        <rFont val="맑은 고딕"/>
        <family val="2"/>
        <scheme val="minor"/>
      </rPr>
      <t xml:space="preserve">번길 </t>
    </r>
    <r>
      <rPr>
        <sz val="11"/>
        <color rgb="FF000000"/>
        <rFont val="굴림"/>
        <family val="3"/>
        <charset val="129"/>
      </rPr>
      <t>42, 201</t>
    </r>
    <r>
      <rPr>
        <sz val="11"/>
        <color rgb="FF000000"/>
        <rFont val="맑은 고딕"/>
        <family val="2"/>
        <scheme val="minor"/>
      </rPr>
      <t>동</t>
    </r>
    <r>
      <rPr>
        <sz val="11"/>
        <color rgb="FF000000"/>
        <rFont val="굴림"/>
        <family val="3"/>
        <charset val="129"/>
      </rPr>
      <t>, 902</t>
    </r>
    <r>
      <rPr>
        <sz val="11"/>
        <color rgb="FF000000"/>
        <rFont val="맑은 고딕"/>
        <family val="2"/>
        <scheme val="minor"/>
      </rPr>
      <t xml:space="preserve">호 </t>
    </r>
    <r>
      <rPr>
        <sz val="11"/>
        <color rgb="FF000000"/>
        <rFont val="굴림"/>
        <family val="3"/>
        <charset val="129"/>
      </rPr>
      <t>(</t>
    </r>
    <r>
      <rPr>
        <sz val="11"/>
        <color rgb="FF000000"/>
        <rFont val="맑은 고딕"/>
        <family val="2"/>
        <scheme val="minor"/>
      </rPr>
      <t>레미안포레스티지</t>
    </r>
    <r>
      <rPr>
        <sz val="11"/>
        <color rgb="FF000000"/>
        <rFont val="굴림"/>
        <family val="3"/>
        <charset val="129"/>
      </rPr>
      <t xml:space="preserve">) </t>
    </r>
  </si>
  <si>
    <t>기본급240만</t>
    <phoneticPr fontId="19" type="noConversion"/>
  </si>
  <si>
    <t>이석원</t>
    <phoneticPr fontId="2" type="noConversion"/>
  </si>
  <si>
    <t>790922-1851415</t>
    <phoneticPr fontId="2" type="noConversion"/>
  </si>
  <si>
    <t>울산광역시 울주군 범서읍 점촌5길 51-3, 102동 210호 (신한디아채)</t>
    <phoneticPr fontId="2" type="noConversion"/>
  </si>
  <si>
    <t>조성재</t>
    <phoneticPr fontId="2" type="noConversion"/>
  </si>
  <si>
    <t>930324-1094711</t>
    <phoneticPr fontId="2" type="noConversion"/>
  </si>
  <si>
    <t>부산광역시 부산진구 전포대로306번길 16,1102호(전포동, 르씨엘파크)</t>
    <phoneticPr fontId="19" type="noConversion"/>
  </si>
  <si>
    <r>
      <t>(</t>
    </r>
    <r>
      <rPr>
        <sz val="11"/>
        <color theme="1"/>
        <rFont val="돋움"/>
        <family val="3"/>
        <charset val="129"/>
      </rPr>
      <t>임태율</t>
    </r>
    <r>
      <rPr>
        <sz val="11"/>
        <color theme="1"/>
        <rFont val="Calibri"/>
        <family val="2"/>
      </rPr>
      <t>)</t>
    </r>
    <phoneticPr fontId="2" type="noConversion"/>
  </si>
  <si>
    <t>(엘앤씨 부동산중개법인) 2025-12 사업소득 내역</t>
    <phoneticPr fontId="2" type="noConversion"/>
  </si>
  <si>
    <t>2025-12-00</t>
  </si>
  <si>
    <t>박준태</t>
  </si>
  <si>
    <t>장재영</t>
  </si>
  <si>
    <t>박우숙</t>
  </si>
  <si>
    <t>박인경</t>
  </si>
  <si>
    <r>
      <rPr>
        <b/>
        <sz val="10"/>
        <color rgb="FFFF0000"/>
        <rFont val="돋움"/>
        <family val="3"/>
        <charset val="129"/>
      </rPr>
      <t>대전지사</t>
    </r>
    <r>
      <rPr>
        <b/>
        <sz val="10"/>
        <color rgb="FFFF0000"/>
        <rFont val="Calibri"/>
        <family val="2"/>
      </rPr>
      <t xml:space="preserve"> : 5</t>
    </r>
    <r>
      <rPr>
        <b/>
        <sz val="10"/>
        <color rgb="FFFF0000"/>
        <rFont val="돋움"/>
        <family val="3"/>
        <charset val="129"/>
      </rPr>
      <t>명</t>
    </r>
    <phoneticPr fontId="2" type="noConversion"/>
  </si>
  <si>
    <t>김성환</t>
    <phoneticPr fontId="19" type="noConversion"/>
  </si>
  <si>
    <t>2025.11.03</t>
    <phoneticPr fontId="19" type="noConversion"/>
  </si>
  <si>
    <t>팀원: 2명</t>
    <phoneticPr fontId="19" type="noConversion"/>
  </si>
  <si>
    <t>매수신청대리</t>
    <phoneticPr fontId="2" type="noConversion"/>
  </si>
  <si>
    <t>조성재</t>
    <phoneticPr fontId="2" type="noConversion"/>
  </si>
  <si>
    <t>2025.11.05</t>
    <phoneticPr fontId="2" type="noConversion"/>
  </si>
  <si>
    <t>이종선</t>
  </si>
  <si>
    <t>한서영</t>
  </si>
  <si>
    <t>송준화</t>
  </si>
  <si>
    <t xml:space="preserve"> </t>
    <phoneticPr fontId="19" type="noConversion"/>
  </si>
  <si>
    <t>김성환</t>
    <phoneticPr fontId="2" type="noConversion"/>
  </si>
  <si>
    <t>970316-1852411</t>
    <phoneticPr fontId="2" type="noConversion"/>
  </si>
  <si>
    <t>울산광역시 북구 양정4길 15, 205동 801호 (양정동, 양정힐스테이트2차아파트)</t>
    <phoneticPr fontId="2" type="noConversion"/>
  </si>
  <si>
    <t>구민주</t>
    <phoneticPr fontId="2" type="noConversion"/>
  </si>
  <si>
    <t>691203-2769919</t>
    <phoneticPr fontId="2" type="noConversion"/>
  </si>
  <si>
    <t>대구광역시 북구 노우너로10길 40, 108동 205호 (노원동3가, 대구노원LH천년나무)</t>
    <phoneticPr fontId="2" type="noConversion"/>
  </si>
  <si>
    <t>김종수</t>
    <phoneticPr fontId="2" type="noConversion"/>
  </si>
  <si>
    <t>610213-1567918</t>
    <phoneticPr fontId="2" type="noConversion"/>
  </si>
  <si>
    <t>전라북도 군산시 공단대로 427, (나운동)</t>
    <phoneticPr fontId="2" type="noConversion"/>
  </si>
  <si>
    <t>문인환</t>
    <phoneticPr fontId="2" type="noConversion"/>
  </si>
  <si>
    <t>720929-1716518</t>
    <phoneticPr fontId="2" type="noConversion"/>
  </si>
  <si>
    <t>경상북도 김천시 혁신5로 11, 110동 502호</t>
    <phoneticPr fontId="2" type="noConversion"/>
  </si>
  <si>
    <t>이은주</t>
    <phoneticPr fontId="2" type="noConversion"/>
  </si>
  <si>
    <t>731225-2247124</t>
    <phoneticPr fontId="2" type="noConversion"/>
  </si>
  <si>
    <t>경기도 성남시 분당구 금곡동 210 코오롱트리펄리스I B동 1407호</t>
    <phoneticPr fontId="2" type="noConversion"/>
  </si>
  <si>
    <t>장인용</t>
    <phoneticPr fontId="2" type="noConversion"/>
  </si>
  <si>
    <t>680715-1380114</t>
    <phoneticPr fontId="2" type="noConversion"/>
  </si>
  <si>
    <t>대전 서구 신갈마로 186, 122호(갈마동, 갤러리휴리움)</t>
    <phoneticPr fontId="2" type="noConversion"/>
  </si>
  <si>
    <t>정석현</t>
    <phoneticPr fontId="2" type="noConversion"/>
  </si>
  <si>
    <t>670412-1221116</t>
    <phoneticPr fontId="2" type="noConversion"/>
  </si>
  <si>
    <t>강원특별자치도 속초시 번영로43번길 18-2, 104호 (교동)</t>
    <phoneticPr fontId="2" type="noConversion"/>
  </si>
  <si>
    <t>정윤정</t>
    <phoneticPr fontId="2" type="noConversion"/>
  </si>
  <si>
    <t>750721-2079937</t>
    <phoneticPr fontId="2" type="noConversion"/>
  </si>
  <si>
    <t>경기도 수원시 장안구 송정로 190, 105동703호</t>
    <phoneticPr fontId="2" type="noConversion"/>
  </si>
  <si>
    <t>1월</t>
    <phoneticPr fontId="19" type="noConversion"/>
  </si>
  <si>
    <t>2026-01-00</t>
    <phoneticPr fontId="19" type="noConversion"/>
  </si>
  <si>
    <t>정현민</t>
    <phoneticPr fontId="19" type="noConversion"/>
  </si>
  <si>
    <t>계약</t>
    <phoneticPr fontId="19" type="noConversion"/>
  </si>
  <si>
    <t>정성애</t>
    <phoneticPr fontId="19" type="noConversion"/>
  </si>
  <si>
    <t>김효진</t>
    <phoneticPr fontId="19" type="noConversion"/>
  </si>
  <si>
    <t>계약</t>
    <phoneticPr fontId="19" type="noConversion"/>
  </si>
  <si>
    <t>안지후</t>
    <phoneticPr fontId="19" type="noConversion"/>
  </si>
  <si>
    <t>권리분석의뢰</t>
    <phoneticPr fontId="19" type="noConversion"/>
  </si>
  <si>
    <t>양혜수</t>
    <phoneticPr fontId="19" type="noConversion"/>
  </si>
  <si>
    <t>유인수</t>
    <phoneticPr fontId="19" type="noConversion"/>
  </si>
  <si>
    <t>박성숙</t>
    <phoneticPr fontId="19" type="noConversion"/>
  </si>
  <si>
    <t>계약</t>
    <phoneticPr fontId="19" type="noConversion"/>
  </si>
  <si>
    <t>김은숙</t>
    <phoneticPr fontId="19" type="noConversion"/>
  </si>
  <si>
    <t>낙찰수수료</t>
    <phoneticPr fontId="19" type="noConversion"/>
  </si>
  <si>
    <t>서예은</t>
    <phoneticPr fontId="19" type="noConversion"/>
  </si>
  <si>
    <t>이관호</t>
    <phoneticPr fontId="19" type="noConversion"/>
  </si>
  <si>
    <t>매수신청대리</t>
    <phoneticPr fontId="19" type="noConversion"/>
  </si>
  <si>
    <t>이수민</t>
    <phoneticPr fontId="19" type="noConversion"/>
  </si>
  <si>
    <t>계약</t>
    <phoneticPr fontId="19" type="noConversion"/>
  </si>
  <si>
    <t>이수민</t>
    <phoneticPr fontId="19" type="noConversion"/>
  </si>
  <si>
    <t>낙찰수수료</t>
    <phoneticPr fontId="19" type="noConversion"/>
  </si>
  <si>
    <t>정성환</t>
    <phoneticPr fontId="19" type="noConversion"/>
  </si>
  <si>
    <t>김재원</t>
    <phoneticPr fontId="19" type="noConversion"/>
  </si>
  <si>
    <t>낙찰수수료</t>
    <phoneticPr fontId="19" type="noConversion"/>
  </si>
  <si>
    <t>김순경</t>
    <phoneticPr fontId="19" type="noConversion"/>
  </si>
  <si>
    <t>손동혁</t>
    <phoneticPr fontId="19" type="noConversion"/>
  </si>
  <si>
    <t>변해용</t>
    <phoneticPr fontId="19" type="noConversion"/>
  </si>
  <si>
    <t>양치영</t>
    <phoneticPr fontId="19" type="noConversion"/>
  </si>
  <si>
    <t>김정혜</t>
    <phoneticPr fontId="19" type="noConversion"/>
  </si>
  <si>
    <t>계약</t>
    <phoneticPr fontId="19" type="noConversion"/>
  </si>
  <si>
    <t>손대겸</t>
    <phoneticPr fontId="19" type="noConversion"/>
  </si>
  <si>
    <t>계약</t>
    <phoneticPr fontId="19" type="noConversion"/>
  </si>
  <si>
    <t>이소연</t>
    <phoneticPr fontId="19" type="noConversion"/>
  </si>
  <si>
    <t>남미혜</t>
    <phoneticPr fontId="19" type="noConversion"/>
  </si>
  <si>
    <t>김종만</t>
    <phoneticPr fontId="19" type="noConversion"/>
  </si>
  <si>
    <t>낙찰수수료</t>
    <phoneticPr fontId="19" type="noConversion"/>
  </si>
  <si>
    <t>김초롱</t>
    <phoneticPr fontId="19" type="noConversion"/>
  </si>
  <si>
    <t>윤준수</t>
    <phoneticPr fontId="19" type="noConversion"/>
  </si>
  <si>
    <t>허성락</t>
    <phoneticPr fontId="19" type="noConversion"/>
  </si>
  <si>
    <t>계약2</t>
    <phoneticPr fontId="19" type="noConversion"/>
  </si>
  <si>
    <t>진해중앙로타리</t>
    <phoneticPr fontId="19" type="noConversion"/>
  </si>
  <si>
    <t>한택신</t>
    <phoneticPr fontId="19" type="noConversion"/>
  </si>
  <si>
    <t>홍현우</t>
    <phoneticPr fontId="19" type="noConversion"/>
  </si>
  <si>
    <t>매수신청대리</t>
    <phoneticPr fontId="19" type="noConversion"/>
  </si>
  <si>
    <t>백두관</t>
    <phoneticPr fontId="19" type="noConversion"/>
  </si>
  <si>
    <t>차주목</t>
    <phoneticPr fontId="19" type="noConversion"/>
  </si>
  <si>
    <t>계약</t>
    <phoneticPr fontId="19" type="noConversion"/>
  </si>
  <si>
    <t>최윤선</t>
    <phoneticPr fontId="19" type="noConversion"/>
  </si>
  <si>
    <t>지석환</t>
    <phoneticPr fontId="19" type="noConversion"/>
  </si>
  <si>
    <t>김충환</t>
    <phoneticPr fontId="19" type="noConversion"/>
  </si>
  <si>
    <t>지원희</t>
    <phoneticPr fontId="19" type="noConversion"/>
  </si>
  <si>
    <t>부산지사: 9명</t>
    <phoneticPr fontId="19" type="noConversion"/>
  </si>
  <si>
    <t>팀원: 4명</t>
    <phoneticPr fontId="19" type="noConversion"/>
  </si>
  <si>
    <t>(주)으뜸</t>
    <phoneticPr fontId="19" type="noConversion"/>
  </si>
  <si>
    <t>(주)가온엔피엘대부</t>
    <phoneticPr fontId="19" type="noConversion"/>
  </si>
  <si>
    <t>계약2</t>
    <phoneticPr fontId="19" type="noConversion"/>
  </si>
  <si>
    <t>중개수수료</t>
  </si>
  <si>
    <t>(유)HFS43</t>
    <phoneticPr fontId="19" type="noConversion"/>
  </si>
  <si>
    <t>정범창</t>
  </si>
  <si>
    <t>석용원</t>
  </si>
  <si>
    <t>이상춘</t>
  </si>
  <si>
    <t>계약</t>
    <phoneticPr fontId="19" type="noConversion"/>
  </si>
  <si>
    <t>권리분석의뢰</t>
    <phoneticPr fontId="19" type="noConversion"/>
  </si>
  <si>
    <t>계약</t>
    <phoneticPr fontId="19" type="noConversion"/>
  </si>
  <si>
    <t>이규원</t>
  </si>
  <si>
    <t>송인상</t>
  </si>
  <si>
    <t>양용문</t>
  </si>
  <si>
    <t>권리분석완료</t>
  </si>
  <si>
    <t>이근학</t>
    <phoneticPr fontId="19" type="noConversion"/>
  </si>
  <si>
    <t>계약</t>
    <phoneticPr fontId="19" type="noConversion"/>
  </si>
  <si>
    <t>계약2</t>
    <phoneticPr fontId="19" type="noConversion"/>
  </si>
  <si>
    <t>계약</t>
    <phoneticPr fontId="19" type="noConversion"/>
  </si>
  <si>
    <t>박승자</t>
    <phoneticPr fontId="19" type="noConversion"/>
  </si>
  <si>
    <t>나은숙</t>
  </si>
  <si>
    <t>(스타오토모빌)</t>
  </si>
  <si>
    <t>조필례</t>
  </si>
  <si>
    <t>김미선</t>
  </si>
  <si>
    <t>매수신청대리</t>
  </si>
  <si>
    <t>이선희, 윤동주</t>
    <phoneticPr fontId="19" type="noConversion"/>
  </si>
  <si>
    <t>김광일</t>
    <phoneticPr fontId="19" type="noConversion"/>
  </si>
  <si>
    <t>정민성</t>
    <phoneticPr fontId="19" type="noConversion"/>
  </si>
  <si>
    <t>김광일</t>
    <phoneticPr fontId="19" type="noConversion"/>
  </si>
  <si>
    <t>계약</t>
    <phoneticPr fontId="19" type="noConversion"/>
  </si>
  <si>
    <t>계약</t>
    <phoneticPr fontId="19" type="noConversion"/>
  </si>
  <si>
    <t>계약</t>
    <phoneticPr fontId="19" type="noConversion"/>
  </si>
  <si>
    <t>강민구</t>
  </si>
  <si>
    <t>남현자</t>
  </si>
  <si>
    <t>조영준</t>
    <phoneticPr fontId="19" type="noConversion"/>
  </si>
  <si>
    <t>계약</t>
    <phoneticPr fontId="19" type="noConversion"/>
  </si>
  <si>
    <t>김태호</t>
  </si>
  <si>
    <t>전건우, 전공심</t>
  </si>
  <si>
    <t>신영종</t>
  </si>
  <si>
    <t>(디엠디)</t>
  </si>
  <si>
    <t>박인수</t>
  </si>
  <si>
    <t>박춘홍</t>
  </si>
  <si>
    <t>김진도</t>
  </si>
  <si>
    <t>계약</t>
    <phoneticPr fontId="19" type="noConversion"/>
  </si>
  <si>
    <t>계약</t>
    <phoneticPr fontId="19" type="noConversion"/>
  </si>
  <si>
    <t>김승완</t>
    <phoneticPr fontId="19" type="noConversion"/>
  </si>
  <si>
    <t>2026-01-00</t>
    <phoneticPr fontId="19" type="noConversion"/>
  </si>
  <si>
    <t>손해배상</t>
    <phoneticPr fontId="19" type="noConversion"/>
  </si>
  <si>
    <t>정희숙</t>
    <phoneticPr fontId="19" type="noConversion"/>
  </si>
  <si>
    <t>진종현</t>
  </si>
  <si>
    <t>박성운</t>
  </si>
  <si>
    <t>옥혜경</t>
  </si>
  <si>
    <t>한동숙</t>
  </si>
  <si>
    <t>김태형</t>
    <phoneticPr fontId="19" type="noConversion"/>
  </si>
  <si>
    <t>이주혁</t>
    <phoneticPr fontId="19" type="noConversion"/>
  </si>
  <si>
    <t>도성욱</t>
    <phoneticPr fontId="19" type="noConversion"/>
  </si>
  <si>
    <t>이석형</t>
  </si>
  <si>
    <t>허주일</t>
  </si>
  <si>
    <t>정춘호</t>
  </si>
  <si>
    <t>김영진</t>
  </si>
  <si>
    <t>권리분석완료</t>
    <phoneticPr fontId="19" type="noConversion"/>
  </si>
  <si>
    <t>최성권</t>
  </si>
  <si>
    <t>이형국</t>
  </si>
  <si>
    <t>황영진</t>
  </si>
  <si>
    <t>김병석</t>
  </si>
  <si>
    <t>전현주</t>
  </si>
  <si>
    <t>정유진</t>
  </si>
  <si>
    <t>궁석희</t>
  </si>
  <si>
    <t>고성재(성욱)</t>
  </si>
  <si>
    <t>김남헌</t>
  </si>
  <si>
    <t>김윤정</t>
  </si>
  <si>
    <t>김인식(주식회사수연)</t>
  </si>
  <si>
    <t>한상원(마리아내과의원)</t>
  </si>
  <si>
    <t>조윤희</t>
  </si>
  <si>
    <t>양진기(제이케이디스포저)</t>
  </si>
  <si>
    <t>황학성</t>
  </si>
  <si>
    <t>강장미</t>
  </si>
  <si>
    <t>계약2</t>
    <phoneticPr fontId="19" type="noConversion"/>
  </si>
  <si>
    <t>계약</t>
    <phoneticPr fontId="19" type="noConversion"/>
  </si>
  <si>
    <t>박정수</t>
  </si>
  <si>
    <t>정혜진</t>
  </si>
  <si>
    <t>박지혜</t>
  </si>
  <si>
    <t>박지혜</t>
    <phoneticPr fontId="19" type="noConversion"/>
  </si>
  <si>
    <t>최시연</t>
  </si>
  <si>
    <t>김홍진</t>
  </si>
  <si>
    <t>강행원</t>
  </si>
  <si>
    <t>박상용</t>
  </si>
  <si>
    <t>박영주</t>
  </si>
  <si>
    <t>윤정현</t>
  </si>
  <si>
    <t>계약2</t>
    <phoneticPr fontId="19" type="noConversion"/>
  </si>
  <si>
    <t>계약</t>
    <phoneticPr fontId="19" type="noConversion"/>
  </si>
  <si>
    <t>계약</t>
    <phoneticPr fontId="19" type="noConversion"/>
  </si>
  <si>
    <t>양용대</t>
    <phoneticPr fontId="19" type="noConversion"/>
  </si>
  <si>
    <t>정진형</t>
    <phoneticPr fontId="19" type="noConversion"/>
  </si>
  <si>
    <t>김미송</t>
  </si>
  <si>
    <t>선양규(모간산업)</t>
  </si>
  <si>
    <t>박상준</t>
  </si>
  <si>
    <t>낙찰수수료</t>
    <phoneticPr fontId="19" type="noConversion"/>
  </si>
  <si>
    <t>김미옥</t>
  </si>
  <si>
    <t>이서윤</t>
  </si>
  <si>
    <t>김상이</t>
  </si>
  <si>
    <t>계약</t>
    <phoneticPr fontId="19" type="noConversion"/>
  </si>
  <si>
    <t>김현래</t>
  </si>
  <si>
    <t>주정남</t>
  </si>
  <si>
    <t>천춘일, MU YAN</t>
  </si>
  <si>
    <t>이수빈</t>
  </si>
  <si>
    <t>김재영</t>
  </si>
  <si>
    <t>박천운</t>
  </si>
  <si>
    <t>문성훈</t>
  </si>
  <si>
    <t>이상호</t>
  </si>
  <si>
    <t>조민준(맛의 정원 송파직영점)</t>
  </si>
  <si>
    <t>김태헌</t>
  </si>
  <si>
    <t>이승은</t>
  </si>
  <si>
    <t>서상원(주식회사 이앤피)</t>
  </si>
  <si>
    <t>강희숙</t>
  </si>
  <si>
    <t>김보경</t>
  </si>
  <si>
    <t>김향난</t>
  </si>
  <si>
    <t>양승호</t>
  </si>
  <si>
    <t>김학모</t>
  </si>
  <si>
    <t>허태희</t>
  </si>
  <si>
    <t>이영주</t>
  </si>
  <si>
    <t>김윤탁</t>
  </si>
  <si>
    <t>김혜균</t>
  </si>
  <si>
    <t>남희성</t>
  </si>
  <si>
    <t>김지안</t>
  </si>
  <si>
    <t>유영선(약산갤러리)</t>
  </si>
  <si>
    <t>김재용</t>
  </si>
  <si>
    <t>권경주(주식회사 유무에너지)</t>
  </si>
  <si>
    <t>김영일(한양광고)</t>
  </si>
  <si>
    <t>황민규</t>
  </si>
  <si>
    <t>최은성</t>
  </si>
  <si>
    <t>황주은</t>
  </si>
  <si>
    <t>김현아,양희범</t>
  </si>
  <si>
    <t>심재호</t>
  </si>
  <si>
    <t>(유에스아이제삼)</t>
  </si>
  <si>
    <t>윤도현</t>
  </si>
  <si>
    <t>이기택</t>
  </si>
  <si>
    <t>양태호(주식회사 에스비와이글로벌)</t>
  </si>
  <si>
    <t>최재경</t>
  </si>
  <si>
    <t>염대종(다성이앤아)</t>
  </si>
  <si>
    <t>정호성</t>
    <phoneticPr fontId="19" type="noConversion"/>
  </si>
  <si>
    <t>계약</t>
    <phoneticPr fontId="19" type="noConversion"/>
  </si>
  <si>
    <t>임연실</t>
    <phoneticPr fontId="19" type="noConversion"/>
  </si>
  <si>
    <t>김혜영</t>
    <phoneticPr fontId="19" type="noConversion"/>
  </si>
  <si>
    <t>윤사라</t>
    <phoneticPr fontId="19" type="noConversion"/>
  </si>
  <si>
    <t>계약</t>
    <phoneticPr fontId="19" type="noConversion"/>
  </si>
  <si>
    <t>기본급285만 
세후(2,505,890원)
(식비추가 161,500원)</t>
    <phoneticPr fontId="19" type="noConversion"/>
  </si>
  <si>
    <t>서병일((주) 원우이엔지)</t>
    <phoneticPr fontId="19" type="noConversion"/>
  </si>
  <si>
    <t>손용욱</t>
    <phoneticPr fontId="19" type="noConversion"/>
  </si>
  <si>
    <t>김성은</t>
    <phoneticPr fontId="19" type="noConversion"/>
  </si>
  <si>
    <t>낙찰수수료</t>
    <phoneticPr fontId="19" type="noConversion"/>
  </si>
  <si>
    <t>윤준수</t>
    <phoneticPr fontId="19" type="noConversion"/>
  </si>
  <si>
    <t>낙찰수수료</t>
    <phoneticPr fontId="19" type="noConversion"/>
  </si>
  <si>
    <t>도성욱</t>
    <phoneticPr fontId="19" type="noConversion"/>
  </si>
  <si>
    <t>낙찰수수료</t>
    <phoneticPr fontId="19" type="noConversion"/>
  </si>
  <si>
    <t>서병일((주) 원우이엔지)</t>
    <phoneticPr fontId="19" type="noConversion"/>
  </si>
  <si>
    <t>최준관(성우광고기계산업)</t>
    <phoneticPr fontId="19" type="noConversion"/>
  </si>
  <si>
    <t>강남2팀 : 3명</t>
    <phoneticPr fontId="2" type="noConversion"/>
  </si>
  <si>
    <t>계약(추가)</t>
    <phoneticPr fontId="19" type="noConversion"/>
  </si>
  <si>
    <t>12월계약건</t>
    <phoneticPr fontId="19" type="noConversion"/>
  </si>
  <si>
    <t>전지사 매출2위</t>
    <phoneticPr fontId="19" type="noConversion"/>
  </si>
  <si>
    <t>전지사 매출1위</t>
    <phoneticPr fontId="19" type="noConversion"/>
  </si>
  <si>
    <t>전지사 계약1위</t>
    <phoneticPr fontId="19" type="noConversion"/>
  </si>
  <si>
    <t>이강호</t>
    <phoneticPr fontId="19" type="noConversion"/>
  </si>
  <si>
    <t>계약</t>
    <phoneticPr fontId="19" type="noConversion"/>
  </si>
  <si>
    <t>전윤호</t>
  </si>
  <si>
    <t>손용욱</t>
  </si>
  <si>
    <t>최경원</t>
  </si>
  <si>
    <t>계약(추가)</t>
  </si>
  <si>
    <t>정지현, 정병준</t>
  </si>
  <si>
    <t>매출(200)</t>
    <phoneticPr fontId="19" type="noConversion"/>
  </si>
  <si>
    <t>김영준</t>
    <phoneticPr fontId="19" type="noConversion"/>
  </si>
  <si>
    <t>김도훈</t>
    <phoneticPr fontId="19" type="noConversion"/>
  </si>
  <si>
    <t>이정훈1건</t>
    <phoneticPr fontId="19" type="noConversion"/>
  </si>
  <si>
    <t>변근덕1건</t>
    <phoneticPr fontId="19" type="noConversion"/>
  </si>
  <si>
    <t>은무영1건</t>
    <phoneticPr fontId="19" type="noConversion"/>
  </si>
  <si>
    <t>김동률, 최명식</t>
    <phoneticPr fontId="19" type="noConversion"/>
  </si>
  <si>
    <t>(1월분)</t>
    <phoneticPr fontId="19" type="noConversion"/>
  </si>
  <si>
    <t>배창수</t>
    <phoneticPr fontId="2" type="noConversion"/>
  </si>
  <si>
    <t>650721-1542610</t>
    <phoneticPr fontId="2" type="noConversion"/>
  </si>
  <si>
    <t>서울특별시 마포구 월드컵로31길 110-4, 2층 1호 (망원동)</t>
    <phoneticPr fontId="2" type="noConversion"/>
  </si>
  <si>
    <t>설길선</t>
    <phoneticPr fontId="2" type="noConversion"/>
  </si>
  <si>
    <t>780714-2666023</t>
    <phoneticPr fontId="2" type="noConversion"/>
  </si>
  <si>
    <t>서울특별시 광진구 군자동 63 극동하이츠빌라 가동 203호</t>
    <phoneticPr fontId="2" type="noConversion"/>
  </si>
  <si>
    <t>변혜림</t>
    <phoneticPr fontId="2" type="noConversion"/>
  </si>
  <si>
    <t>721227-2031519</t>
    <phoneticPr fontId="2" type="noConversion"/>
  </si>
  <si>
    <t>서울특별시 노원구 한글비석로91 107동 306호 (하계동, 하계1차청구아파트)</t>
    <phoneticPr fontId="2" type="noConversion"/>
  </si>
  <si>
    <t>전상욱</t>
    <phoneticPr fontId="2" type="noConversion"/>
  </si>
  <si>
    <t>961109-1860821</t>
    <phoneticPr fontId="2" type="noConversion"/>
  </si>
  <si>
    <t>경남 창원시 성산구 가음동 21-20, 212호</t>
    <phoneticPr fontId="2" type="noConversion"/>
  </si>
  <si>
    <t>1/13이체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</si>
</sst>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-* #,##0_-;\-* #,##0_-;_-* &quot;-&quot;_-;_-@"/>
    <numFmt numFmtId="177" formatCode="0.0%"/>
    <numFmt numFmtId="178" formatCode="yyyy\-mm\-dd"/>
    <numFmt numFmtId="179" formatCode="mm&quot;월&quot;\ dd&quot;일&quot;"/>
    <numFmt numFmtId="180" formatCode="_-* #,##0.000_-;\-* #,##0.000_-;_-* &quot;-&quot;_-;_-@"/>
    <numFmt numFmtId="181" formatCode="_-* #,##0_-;\-* #,##0_-;_-* &quot;-&quot;??_-;_-@_-"/>
  </numFmts>
  <fonts count="79">
    <font>
      <sz val="11"/>
      <color theme="1"/>
      <name val="맑은 고딕"/>
      <family val="2"/>
      <charset val="129"/>
      <scheme val="minor"/>
    </font>
    <font>
      <sz val="10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C00000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10"/>
      <color rgb="FFFF0000"/>
      <name val="Malgun Gothic"/>
      <family val="3"/>
      <charset val="129"/>
    </font>
    <font>
      <sz val="10"/>
      <color rgb="FF2F02EE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1"/>
      <name val="Calibri"/>
      <family val="2"/>
    </font>
    <font>
      <sz val="10"/>
      <color rgb="FFFF0000"/>
      <name val="Malgun Gothic"/>
      <family val="3"/>
      <charset val="129"/>
    </font>
    <font>
      <sz val="10"/>
      <color rgb="FF0070C0"/>
      <name val="Malgun Gothic"/>
      <family val="3"/>
      <charset val="129"/>
    </font>
    <font>
      <sz val="8"/>
      <color rgb="FF7F7F7F"/>
      <name val="Malgun Gothic"/>
      <family val="3"/>
      <charset val="129"/>
    </font>
    <font>
      <sz val="10"/>
      <color rgb="FFC55A11"/>
      <name val="Malgun Gothic"/>
      <family val="3"/>
      <charset val="129"/>
    </font>
    <font>
      <sz val="9"/>
      <color rgb="FFFF0000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rgb="FF0000FF"/>
      <name val="Malgun Gothic"/>
      <family val="3"/>
      <charset val="129"/>
    </font>
    <font>
      <sz val="8"/>
      <name val="맑은 고딕"/>
      <family val="3"/>
      <charset val="129"/>
      <scheme val="minor"/>
    </font>
    <font>
      <b/>
      <sz val="10"/>
      <color rgb="FF0070C0"/>
      <name val="Malgun Gothic"/>
      <family val="3"/>
      <charset val="129"/>
    </font>
    <font>
      <sz val="8"/>
      <color rgb="FFFF0000"/>
      <name val="맑은 고딕"/>
      <family val="3"/>
      <charset val="129"/>
    </font>
    <font>
      <sz val="11"/>
      <color rgb="FFFF0000"/>
      <name val="Malgun Gothic"/>
      <family val="3"/>
      <charset val="129"/>
    </font>
    <font>
      <strike/>
      <sz val="10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sz val="8"/>
      <name val="Calibri"/>
      <family val="2"/>
    </font>
    <font>
      <b/>
      <sz val="12"/>
      <color rgb="FFC00000"/>
      <name val="Malgun Gothic"/>
      <family val="3"/>
      <charset val="129"/>
    </font>
    <font>
      <b/>
      <sz val="22"/>
      <color rgb="FFC00000"/>
      <name val="Malgun Gothic"/>
      <family val="3"/>
      <charset val="129"/>
    </font>
    <font>
      <sz val="10"/>
      <name val="Malgun Gothic"/>
      <family val="3"/>
      <charset val="129"/>
    </font>
    <font>
      <sz val="11"/>
      <color rgb="FFFF0000"/>
      <name val="Calibri"/>
      <family val="2"/>
    </font>
    <font>
      <sz val="10"/>
      <color theme="1"/>
      <name val="Calibri"/>
      <family val="2"/>
    </font>
    <font>
      <b/>
      <sz val="10"/>
      <color theme="6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10"/>
      <color rgb="FFC00000"/>
      <name val="Malgun Gothic"/>
      <family val="3"/>
      <charset val="129"/>
    </font>
    <font>
      <sz val="10"/>
      <color rgb="FF2E75B5"/>
      <name val="Malgun Gothic"/>
      <family val="3"/>
      <charset val="129"/>
    </font>
    <font>
      <b/>
      <sz val="10"/>
      <color rgb="FFBFBFBF"/>
      <name val="Malgun Gothic"/>
      <family val="3"/>
      <charset val="129"/>
    </font>
    <font>
      <sz val="10"/>
      <color rgb="FFBFBFBF"/>
      <name val="Malgun Gothic"/>
      <family val="3"/>
      <charset val="129"/>
    </font>
    <font>
      <sz val="9"/>
      <color rgb="FFFF0000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Dotum"/>
      <family val="3"/>
      <charset val="129"/>
    </font>
    <font>
      <b/>
      <sz val="11"/>
      <color theme="1"/>
      <name val="Malgun Gothic"/>
      <family val="3"/>
      <charset val="129"/>
    </font>
    <font>
      <b/>
      <sz val="10"/>
      <color rgb="FFFF0000"/>
      <name val="Calibri"/>
      <family val="2"/>
    </font>
    <font>
      <sz val="8"/>
      <color rgb="FF7F7F7F"/>
      <name val="Calibri"/>
      <family val="2"/>
    </font>
    <font>
      <sz val="10"/>
      <color rgb="FFC55A11"/>
      <name val="Calibri"/>
      <family val="2"/>
    </font>
    <font>
      <b/>
      <sz val="12"/>
      <color rgb="FF002060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9"/>
      <color rgb="FF0070C0"/>
      <name val="Malgun Gothic"/>
      <family val="3"/>
      <charset val="129"/>
    </font>
    <font>
      <sz val="10"/>
      <color rgb="FF2F02EE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0"/>
      <color theme="1"/>
      <name val="맑은고딕"/>
      <family val="3"/>
      <charset val="129"/>
    </font>
    <font>
      <sz val="14"/>
      <color rgb="FFC00000"/>
      <name val="Malgun Gothic"/>
      <family val="3"/>
      <charset val="129"/>
    </font>
    <font>
      <sz val="6"/>
      <color theme="1"/>
      <name val="Malgun Gothic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돋움"/>
      <family val="3"/>
      <charset val="129"/>
    </font>
    <font>
      <b/>
      <sz val="11"/>
      <color rgb="FF222222"/>
      <name val="Dotum"/>
      <family val="3"/>
      <charset val="129"/>
    </font>
    <font>
      <sz val="10"/>
      <color theme="1"/>
      <name val="돋움"/>
      <family val="3"/>
      <charset val="129"/>
    </font>
    <font>
      <sz val="11"/>
      <color rgb="FFFF0000"/>
      <name val="맑은 고딕"/>
      <family val="2"/>
      <charset val="129"/>
      <scheme val="minor"/>
    </font>
    <font>
      <b/>
      <sz val="10"/>
      <color rgb="FFFF0000"/>
      <name val="돋움"/>
      <family val="3"/>
      <charset val="129"/>
    </font>
    <font>
      <sz val="11"/>
      <color indexed="8"/>
      <name val="맑은 고딕"/>
      <family val="2"/>
      <scheme val="minor"/>
    </font>
    <font>
      <sz val="8"/>
      <name val="Malgun Gothic"/>
      <family val="3"/>
      <charset val="129"/>
    </font>
    <font>
      <sz val="9"/>
      <name val="Calibri"/>
      <family val="2"/>
    </font>
    <font>
      <sz val="10"/>
      <color rgb="FFFF0000"/>
      <name val="Calibri"/>
      <family val="2"/>
    </font>
    <font>
      <sz val="11"/>
      <name val="맑은 고딕"/>
      <family val="3"/>
      <charset val="129"/>
    </font>
    <font>
      <sz val="8"/>
      <color rgb="FF0070C0"/>
      <name val="Malgun Gothic"/>
      <family val="3"/>
      <charset val="129"/>
    </font>
    <font>
      <sz val="11"/>
      <name val="Malgun Gothic"/>
      <family val="3"/>
      <charset val="129"/>
    </font>
    <font>
      <sz val="11"/>
      <name val="맑은 고딕"/>
      <family val="2"/>
      <charset val="129"/>
      <scheme val="minor"/>
    </font>
    <font>
      <sz val="9"/>
      <color rgb="FFFF0000"/>
      <name val="Calibri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name val="Calibri"/>
      <family val="2"/>
    </font>
    <font>
      <b/>
      <sz val="11"/>
      <name val="맑은 고딕"/>
      <family val="3"/>
      <charset val="129"/>
    </font>
    <font>
      <b/>
      <sz val="10"/>
      <name val="Malgun Gothic"/>
      <family val="3"/>
      <charset val="129"/>
    </font>
    <font>
      <sz val="10"/>
      <color rgb="FF00B0F0"/>
      <name val="Malgun Gothic"/>
      <family val="3"/>
      <charset val="129"/>
    </font>
    <font>
      <sz val="11"/>
      <color rgb="FF000000"/>
      <name val="맑은 고딕"/>
      <family val="2"/>
      <scheme val="minor"/>
    </font>
    <font>
      <sz val="11"/>
      <color rgb="FF000000"/>
      <name val="굴림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DEEAF6"/>
        <bgColor rgb="FFDEEAF6"/>
      </patternFill>
    </fill>
    <fill>
      <patternFill patternType="solid">
        <fgColor rgb="FFFF0000"/>
        <bgColor rgb="FFFF0000"/>
      </patternFill>
    </fill>
    <fill>
      <patternFill patternType="solid">
        <fgColor rgb="FFFBE4D5"/>
        <bgColor rgb="FFFBE4D5"/>
      </patternFill>
    </fill>
    <fill>
      <patternFill patternType="solid">
        <fgColor rgb="FFF2F2F2"/>
        <bgColor rgb="FFF2F2F2"/>
      </patternFill>
    </fill>
    <fill>
      <patternFill patternType="solid">
        <fgColor rgb="FFF4B083"/>
        <bgColor rgb="FFF4B083"/>
      </patternFill>
    </fill>
    <fill>
      <patternFill patternType="solid">
        <fgColor rgb="FFDADADA"/>
        <bgColor rgb="FFDADADA"/>
      </patternFill>
    </fill>
    <fill>
      <patternFill patternType="solid">
        <fgColor rgb="FFFFE598"/>
        <bgColor rgb="FFFFE598"/>
      </patternFill>
    </fill>
    <fill>
      <patternFill patternType="solid">
        <fgColor theme="0" tint="-0.14999847407452621"/>
        <bgColor rgb="FFFFE598"/>
      </patternFill>
    </fill>
    <fill>
      <patternFill patternType="solid">
        <fgColor rgb="FFD6DCE4"/>
        <bgColor rgb="FFD6DCE4"/>
      </patternFill>
    </fill>
    <fill>
      <patternFill patternType="solid">
        <fgColor rgb="FFA8D08D"/>
        <bgColor rgb="FFA8D08D"/>
      </patternFill>
    </fill>
    <fill>
      <patternFill patternType="solid">
        <fgColor rgb="FFE7E6E6"/>
        <bgColor rgb="FFE7E6E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rgb="FFD8D8D8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rgb="FFD8D8D8"/>
      </patternFill>
    </fill>
  </fills>
  <borders count="5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4">
    <xf numFmtId="0" fontId="0" fillId="0" borderId="0">
      <alignment vertical="center"/>
    </xf>
    <xf numFmtId="0" fontId="62" fillId="0" borderId="0">
      <alignment vertical="center"/>
    </xf>
    <xf numFmtId="41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</cellStyleXfs>
  <cellXfs count="666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176" fontId="3" fillId="0" borderId="0" xfId="0" applyNumberFormat="1" applyFont="1" applyAlignment="1">
      <alignment vertical="center"/>
    </xf>
    <xf numFmtId="176" fontId="1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176" fontId="5" fillId="2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right" vertical="center"/>
    </xf>
    <xf numFmtId="0" fontId="5" fillId="3" borderId="3" xfId="0" applyFont="1" applyFill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9" fontId="1" fillId="4" borderId="0" xfId="0" applyNumberFormat="1" applyFont="1" applyFill="1" applyBorder="1" applyAlignment="1">
      <alignment horizontal="center" vertical="center"/>
    </xf>
    <xf numFmtId="177" fontId="1" fillId="4" borderId="0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176" fontId="1" fillId="6" borderId="4" xfId="0" applyNumberFormat="1" applyFont="1" applyFill="1" applyBorder="1" applyAlignment="1">
      <alignment horizontal="center" vertical="center"/>
    </xf>
    <xf numFmtId="176" fontId="1" fillId="7" borderId="2" xfId="0" applyNumberFormat="1" applyFont="1" applyFill="1" applyBorder="1" applyAlignment="1">
      <alignment horizontal="center" vertical="center"/>
    </xf>
    <xf numFmtId="178" fontId="11" fillId="0" borderId="5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79" fontId="11" fillId="0" borderId="6" xfId="0" applyNumberFormat="1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176" fontId="11" fillId="0" borderId="6" xfId="0" applyNumberFormat="1" applyFont="1" applyBorder="1" applyAlignment="1">
      <alignment horizontal="center" vertical="center"/>
    </xf>
    <xf numFmtId="176" fontId="11" fillId="7" borderId="0" xfId="0" applyNumberFormat="1" applyFont="1" applyFill="1" applyBorder="1" applyAlignment="1">
      <alignment vertical="center"/>
    </xf>
    <xf numFmtId="176" fontId="11" fillId="0" borderId="0" xfId="0" applyNumberFormat="1" applyFont="1" applyAlignment="1">
      <alignment vertical="center"/>
    </xf>
    <xf numFmtId="176" fontId="11" fillId="0" borderId="6" xfId="0" applyNumberFormat="1" applyFont="1" applyBorder="1" applyAlignment="1">
      <alignment vertical="center"/>
    </xf>
    <xf numFmtId="176" fontId="11" fillId="0" borderId="0" xfId="0" applyNumberFormat="1" applyFont="1" applyAlignment="1">
      <alignment horizontal="center" vertical="center"/>
    </xf>
    <xf numFmtId="176" fontId="1" fillId="0" borderId="6" xfId="0" applyNumberFormat="1" applyFont="1" applyBorder="1" applyAlignment="1">
      <alignment horizontal="center" vertical="center"/>
    </xf>
    <xf numFmtId="178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179" fontId="1" fillId="0" borderId="6" xfId="0" applyNumberFormat="1" applyFont="1" applyBorder="1" applyAlignment="1">
      <alignment vertical="center"/>
    </xf>
    <xf numFmtId="176" fontId="1" fillId="7" borderId="0" xfId="0" applyNumberFormat="1" applyFont="1" applyFill="1" applyBorder="1" applyAlignment="1">
      <alignment vertical="center"/>
    </xf>
    <xf numFmtId="176" fontId="12" fillId="0" borderId="0" xfId="0" applyNumberFormat="1" applyFont="1" applyAlignment="1">
      <alignment vertical="center"/>
    </xf>
    <xf numFmtId="176" fontId="1" fillId="0" borderId="6" xfId="0" applyNumberFormat="1" applyFont="1" applyBorder="1" applyAlignment="1">
      <alignment vertical="center"/>
    </xf>
    <xf numFmtId="0" fontId="1" fillId="8" borderId="0" xfId="0" applyFont="1" applyFill="1" applyBorder="1" applyAlignment="1">
      <alignment vertical="center"/>
    </xf>
    <xf numFmtId="0" fontId="1" fillId="6" borderId="0" xfId="0" applyFont="1" applyFill="1" applyBorder="1" applyAlignment="1">
      <alignment vertical="center"/>
    </xf>
    <xf numFmtId="176" fontId="1" fillId="0" borderId="5" xfId="0" applyNumberFormat="1" applyFont="1" applyBorder="1" applyAlignment="1">
      <alignment vertical="center"/>
    </xf>
    <xf numFmtId="176" fontId="12" fillId="0" borderId="6" xfId="0" applyNumberFormat="1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178" fontId="1" fillId="0" borderId="6" xfId="0" applyNumberFormat="1" applyFont="1" applyBorder="1" applyAlignment="1">
      <alignment horizontal="center" vertical="center"/>
    </xf>
    <xf numFmtId="176" fontId="1" fillId="0" borderId="5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176" fontId="1" fillId="0" borderId="4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3" fillId="9" borderId="7" xfId="0" applyFont="1" applyFill="1" applyBorder="1" applyAlignment="1">
      <alignment horizontal="center"/>
    </xf>
    <xf numFmtId="0" fontId="14" fillId="9" borderId="12" xfId="0" applyFont="1" applyFill="1" applyBorder="1" applyAlignment="1">
      <alignment vertical="center"/>
    </xf>
    <xf numFmtId="176" fontId="14" fillId="9" borderId="12" xfId="0" applyNumberFormat="1" applyFont="1" applyFill="1" applyBorder="1" applyAlignment="1">
      <alignment horizontal="right" vertical="center"/>
    </xf>
    <xf numFmtId="176" fontId="14" fillId="9" borderId="8" xfId="0" applyNumberFormat="1" applyFont="1" applyFill="1" applyBorder="1" applyAlignment="1">
      <alignment vertical="center"/>
    </xf>
    <xf numFmtId="0" fontId="1" fillId="9" borderId="7" xfId="0" applyFont="1" applyFill="1" applyBorder="1" applyAlignment="1">
      <alignment vertical="center"/>
    </xf>
    <xf numFmtId="176" fontId="1" fillId="9" borderId="12" xfId="0" applyNumberFormat="1" applyFont="1" applyFill="1" applyBorder="1" applyAlignment="1">
      <alignment horizontal="center" vertical="center"/>
    </xf>
    <xf numFmtId="176" fontId="14" fillId="9" borderId="9" xfId="0" applyNumberFormat="1" applyFont="1" applyFill="1" applyBorder="1" applyAlignment="1">
      <alignment vertical="center"/>
    </xf>
    <xf numFmtId="0" fontId="11" fillId="9" borderId="7" xfId="0" applyFont="1" applyFill="1" applyBorder="1" applyAlignment="1">
      <alignment vertical="center"/>
    </xf>
    <xf numFmtId="176" fontId="11" fillId="9" borderId="8" xfId="0" applyNumberFormat="1" applyFont="1" applyFill="1" applyBorder="1" applyAlignment="1">
      <alignment vertical="center"/>
    </xf>
    <xf numFmtId="176" fontId="1" fillId="9" borderId="12" xfId="0" applyNumberFormat="1" applyFont="1" applyFill="1" applyBorder="1" applyAlignment="1">
      <alignment vertical="center"/>
    </xf>
    <xf numFmtId="0" fontId="13" fillId="9" borderId="13" xfId="0" applyFont="1" applyFill="1" applyBorder="1" applyAlignment="1">
      <alignment horizontal="center" vertical="top"/>
    </xf>
    <xf numFmtId="0" fontId="14" fillId="9" borderId="0" xfId="0" applyFont="1" applyFill="1" applyBorder="1" applyAlignment="1">
      <alignment vertical="center"/>
    </xf>
    <xf numFmtId="176" fontId="14" fillId="9" borderId="0" xfId="0" applyNumberFormat="1" applyFont="1" applyFill="1" applyBorder="1" applyAlignment="1">
      <alignment horizontal="center" vertical="center"/>
    </xf>
    <xf numFmtId="0" fontId="1" fillId="9" borderId="5" xfId="0" applyFont="1" applyFill="1" applyBorder="1" applyAlignment="1">
      <alignment vertical="center"/>
    </xf>
    <xf numFmtId="176" fontId="1" fillId="9" borderId="0" xfId="0" applyNumberFormat="1" applyFont="1" applyFill="1" applyBorder="1" applyAlignment="1">
      <alignment horizontal="center" vertical="center"/>
    </xf>
    <xf numFmtId="176" fontId="1" fillId="9" borderId="9" xfId="0" applyNumberFormat="1" applyFont="1" applyFill="1" applyBorder="1" applyAlignment="1">
      <alignment vertical="center"/>
    </xf>
    <xf numFmtId="176" fontId="1" fillId="9" borderId="0" xfId="0" applyNumberFormat="1" applyFont="1" applyFill="1" applyBorder="1" applyAlignment="1">
      <alignment vertical="center"/>
    </xf>
    <xf numFmtId="0" fontId="11" fillId="9" borderId="5" xfId="0" applyFont="1" applyFill="1" applyBorder="1" applyAlignment="1">
      <alignment vertical="center"/>
    </xf>
    <xf numFmtId="0" fontId="11" fillId="9" borderId="9" xfId="0" applyFont="1" applyFill="1" applyBorder="1" applyAlignment="1">
      <alignment vertical="center"/>
    </xf>
    <xf numFmtId="176" fontId="1" fillId="10" borderId="17" xfId="0" applyNumberFormat="1" applyFont="1" applyFill="1" applyBorder="1" applyAlignment="1">
      <alignment horizontal="center" vertical="center"/>
    </xf>
    <xf numFmtId="176" fontId="12" fillId="10" borderId="15" xfId="0" applyNumberFormat="1" applyFont="1" applyFill="1" applyBorder="1" applyAlignment="1">
      <alignment horizontal="center" vertical="center"/>
    </xf>
    <xf numFmtId="176" fontId="1" fillId="10" borderId="18" xfId="0" applyNumberFormat="1" applyFont="1" applyFill="1" applyBorder="1" applyAlignment="1">
      <alignment horizontal="center" vertical="center"/>
    </xf>
    <xf numFmtId="176" fontId="1" fillId="10" borderId="15" xfId="0" applyNumberFormat="1" applyFont="1" applyFill="1" applyBorder="1" applyAlignment="1">
      <alignment horizontal="center" vertical="center"/>
    </xf>
    <xf numFmtId="176" fontId="18" fillId="10" borderId="17" xfId="0" applyNumberFormat="1" applyFont="1" applyFill="1" applyBorder="1" applyAlignment="1">
      <alignment horizontal="center" vertical="center"/>
    </xf>
    <xf numFmtId="176" fontId="18" fillId="10" borderId="19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1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13" fillId="9" borderId="5" xfId="0" applyFont="1" applyFill="1" applyBorder="1" applyAlignment="1">
      <alignment horizontal="center"/>
    </xf>
    <xf numFmtId="176" fontId="14" fillId="9" borderId="0" xfId="0" applyNumberFormat="1" applyFont="1" applyFill="1" applyBorder="1" applyAlignment="1">
      <alignment horizontal="right" vertical="center"/>
    </xf>
    <xf numFmtId="176" fontId="11" fillId="9" borderId="9" xfId="0" applyNumberFormat="1" applyFont="1" applyFill="1" applyBorder="1" applyAlignment="1">
      <alignment vertical="center"/>
    </xf>
    <xf numFmtId="0" fontId="11" fillId="9" borderId="6" xfId="0" applyFont="1" applyFill="1" applyBorder="1" applyAlignment="1">
      <alignment horizontal="right" vertical="center"/>
    </xf>
    <xf numFmtId="176" fontId="11" fillId="0" borderId="9" xfId="0" applyNumberFormat="1" applyFont="1" applyBorder="1" applyAlignment="1">
      <alignment vertical="center"/>
    </xf>
    <xf numFmtId="176" fontId="1" fillId="9" borderId="22" xfId="0" applyNumberFormat="1" applyFont="1" applyFill="1" applyBorder="1" applyAlignment="1">
      <alignment horizontal="center" vertical="center"/>
    </xf>
    <xf numFmtId="176" fontId="1" fillId="9" borderId="23" xfId="0" applyNumberFormat="1" applyFont="1" applyFill="1" applyBorder="1" applyAlignment="1">
      <alignment vertical="center"/>
    </xf>
    <xf numFmtId="9" fontId="1" fillId="0" borderId="0" xfId="0" applyNumberFormat="1" applyFont="1" applyAlignment="1">
      <alignment horizontal="center" vertical="center"/>
    </xf>
    <xf numFmtId="0" fontId="1" fillId="0" borderId="6" xfId="0" applyFont="1" applyBorder="1" applyAlignment="1">
      <alignment vertical="center" wrapText="1"/>
    </xf>
    <xf numFmtId="0" fontId="14" fillId="9" borderId="7" xfId="0" applyFont="1" applyFill="1" applyBorder="1" applyAlignment="1">
      <alignment vertical="center"/>
    </xf>
    <xf numFmtId="0" fontId="14" fillId="9" borderId="12" xfId="0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vertical="center"/>
    </xf>
    <xf numFmtId="0" fontId="14" fillId="9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78" fontId="1" fillId="0" borderId="0" xfId="0" applyNumberFormat="1" applyFont="1" applyAlignment="1">
      <alignment vertical="center"/>
    </xf>
    <xf numFmtId="9" fontId="1" fillId="12" borderId="0" xfId="0" applyNumberFormat="1" applyFont="1" applyFill="1" applyBorder="1" applyAlignment="1">
      <alignment horizontal="center" vertical="center"/>
    </xf>
    <xf numFmtId="178" fontId="1" fillId="0" borderId="5" xfId="0" applyNumberFormat="1" applyFont="1" applyBorder="1" applyAlignment="1">
      <alignment horizontal="left" vertical="center"/>
    </xf>
    <xf numFmtId="0" fontId="22" fillId="0" borderId="0" xfId="0" applyFont="1" applyAlignment="1">
      <alignment vertical="center"/>
    </xf>
    <xf numFmtId="176" fontId="12" fillId="0" borderId="0" xfId="0" applyNumberFormat="1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24" fillId="0" borderId="24" xfId="0" applyNumberFormat="1" applyFont="1" applyBorder="1" applyAlignment="1">
      <alignment vertical="center"/>
    </xf>
    <xf numFmtId="176" fontId="24" fillId="0" borderId="6" xfId="0" applyNumberFormat="1" applyFont="1" applyBorder="1" applyAlignment="1">
      <alignment vertical="center"/>
    </xf>
    <xf numFmtId="176" fontId="1" fillId="0" borderId="25" xfId="0" applyNumberFormat="1" applyFont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176" fontId="1" fillId="0" borderId="9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12" fillId="0" borderId="5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" fillId="0" borderId="6" xfId="0" applyFont="1" applyFill="1" applyBorder="1" applyAlignment="1">
      <alignment vertical="center"/>
    </xf>
    <xf numFmtId="179" fontId="1" fillId="0" borderId="6" xfId="0" applyNumberFormat="1" applyFont="1" applyFill="1" applyBorder="1" applyAlignment="1">
      <alignment vertical="center"/>
    </xf>
    <xf numFmtId="0" fontId="11" fillId="0" borderId="0" xfId="0" applyFont="1" applyFill="1" applyAlignment="1">
      <alignment horizontal="center" vertical="center"/>
    </xf>
    <xf numFmtId="176" fontId="1" fillId="0" borderId="6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Alignment="1">
      <alignment vertical="center"/>
    </xf>
    <xf numFmtId="176" fontId="1" fillId="0" borderId="6" xfId="0" applyNumberFormat="1" applyFont="1" applyFill="1" applyBorder="1" applyAlignment="1">
      <alignment vertical="center"/>
    </xf>
    <xf numFmtId="176" fontId="11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9" borderId="8" xfId="0" applyFont="1" applyFill="1" applyBorder="1" applyAlignment="1">
      <alignment vertical="center"/>
    </xf>
    <xf numFmtId="178" fontId="1" fillId="0" borderId="5" xfId="0" applyNumberFormat="1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9" fontId="1" fillId="13" borderId="0" xfId="0" applyNumberFormat="1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178" fontId="1" fillId="0" borderId="24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28" fillId="0" borderId="0" xfId="0" applyFont="1" applyAlignment="1">
      <alignment vertical="center"/>
    </xf>
    <xf numFmtId="178" fontId="29" fillId="0" borderId="6" xfId="0" applyNumberFormat="1" applyFont="1" applyBorder="1" applyAlignment="1">
      <alignment horizontal="center" vertical="center"/>
    </xf>
    <xf numFmtId="0" fontId="29" fillId="0" borderId="9" xfId="0" applyFont="1" applyBorder="1" applyAlignment="1">
      <alignment vertical="center"/>
    </xf>
    <xf numFmtId="0" fontId="29" fillId="0" borderId="9" xfId="0" applyFont="1" applyBorder="1" applyAlignment="1">
      <alignment horizontal="center" vertical="center"/>
    </xf>
    <xf numFmtId="176" fontId="29" fillId="0" borderId="6" xfId="0" applyNumberFormat="1" applyFont="1" applyBorder="1" applyAlignment="1">
      <alignment horizontal="center" vertical="center"/>
    </xf>
    <xf numFmtId="176" fontId="29" fillId="7" borderId="0" xfId="0" applyNumberFormat="1" applyFont="1" applyFill="1" applyBorder="1" applyAlignment="1">
      <alignment vertical="center"/>
    </xf>
    <xf numFmtId="176" fontId="29" fillId="0" borderId="6" xfId="0" applyNumberFormat="1" applyFont="1" applyBorder="1" applyAlignment="1">
      <alignment vertical="center"/>
    </xf>
    <xf numFmtId="176" fontId="29" fillId="0" borderId="0" xfId="0" applyNumberFormat="1" applyFont="1" applyAlignment="1">
      <alignment horizontal="center" vertical="center"/>
    </xf>
    <xf numFmtId="176" fontId="1" fillId="0" borderId="24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9" borderId="9" xfId="0" applyFont="1" applyFill="1" applyBorder="1" applyAlignment="1">
      <alignment vertical="center"/>
    </xf>
    <xf numFmtId="176" fontId="18" fillId="10" borderId="14" xfId="0" applyNumberFormat="1" applyFont="1" applyFill="1" applyBorder="1" applyAlignment="1">
      <alignment horizontal="center" vertical="center"/>
    </xf>
    <xf numFmtId="180" fontId="1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vertical="center"/>
    </xf>
    <xf numFmtId="0" fontId="24" fillId="0" borderId="5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176" fontId="5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13" fillId="9" borderId="5" xfId="0" applyFont="1" applyFill="1" applyBorder="1" applyAlignment="1">
      <alignment horizontal="center" vertical="top"/>
    </xf>
    <xf numFmtId="0" fontId="25" fillId="9" borderId="9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35" fillId="0" borderId="5" xfId="0" applyFont="1" applyBorder="1" applyAlignment="1">
      <alignment vertical="center"/>
    </xf>
    <xf numFmtId="0" fontId="35" fillId="0" borderId="0" xfId="0" applyFont="1" applyAlignment="1">
      <alignment vertical="center"/>
    </xf>
    <xf numFmtId="176" fontId="1" fillId="9" borderId="8" xfId="0" applyNumberFormat="1" applyFont="1" applyFill="1" applyBorder="1" applyAlignment="1">
      <alignment vertical="center"/>
    </xf>
    <xf numFmtId="0" fontId="34" fillId="0" borderId="5" xfId="0" applyFont="1" applyBorder="1" applyAlignment="1">
      <alignment vertical="center"/>
    </xf>
    <xf numFmtId="176" fontId="14" fillId="9" borderId="12" xfId="0" applyNumberFormat="1" applyFont="1" applyFill="1" applyBorder="1" applyAlignment="1">
      <alignment horizontal="center" vertical="center"/>
    </xf>
    <xf numFmtId="176" fontId="11" fillId="0" borderId="5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18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31" fillId="0" borderId="9" xfId="0" applyFont="1" applyBorder="1" applyAlignment="1">
      <alignment vertical="center"/>
    </xf>
    <xf numFmtId="9" fontId="1" fillId="14" borderId="0" xfId="0" applyNumberFormat="1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right" vertical="center"/>
    </xf>
    <xf numFmtId="176" fontId="31" fillId="0" borderId="0" xfId="0" applyNumberFormat="1" applyFont="1" applyAlignment="1">
      <alignment vertical="center"/>
    </xf>
    <xf numFmtId="0" fontId="31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176" fontId="41" fillId="0" borderId="0" xfId="0" applyNumberFormat="1" applyFont="1" applyAlignment="1">
      <alignment vertical="center"/>
    </xf>
    <xf numFmtId="176" fontId="1" fillId="5" borderId="4" xfId="0" applyNumberFormat="1" applyFont="1" applyFill="1" applyBorder="1" applyAlignment="1">
      <alignment horizontal="center" vertical="center"/>
    </xf>
    <xf numFmtId="176" fontId="1" fillId="7" borderId="0" xfId="0" applyNumberFormat="1" applyFont="1" applyFill="1" applyBorder="1" applyAlignment="1">
      <alignment horizontal="right" vertical="center"/>
    </xf>
    <xf numFmtId="176" fontId="12" fillId="0" borderId="0" xfId="0" applyNumberFormat="1" applyFont="1" applyAlignment="1">
      <alignment horizontal="right" vertical="center"/>
    </xf>
    <xf numFmtId="176" fontId="1" fillId="0" borderId="6" xfId="0" applyNumberFormat="1" applyFont="1" applyBorder="1" applyAlignment="1">
      <alignment horizontal="right" vertical="center"/>
    </xf>
    <xf numFmtId="0" fontId="31" fillId="0" borderId="6" xfId="0" applyFont="1" applyBorder="1" applyAlignment="1">
      <alignment vertical="center"/>
    </xf>
    <xf numFmtId="179" fontId="31" fillId="0" borderId="6" xfId="0" applyNumberFormat="1" applyFont="1" applyBorder="1" applyAlignment="1">
      <alignment vertical="center"/>
    </xf>
    <xf numFmtId="176" fontId="31" fillId="0" borderId="6" xfId="0" applyNumberFormat="1" applyFont="1" applyBorder="1" applyAlignment="1">
      <alignment vertical="center"/>
    </xf>
    <xf numFmtId="176" fontId="31" fillId="7" borderId="0" xfId="0" applyNumberFormat="1" applyFont="1" applyFill="1" applyBorder="1" applyAlignment="1">
      <alignment vertical="center"/>
    </xf>
    <xf numFmtId="178" fontId="31" fillId="0" borderId="5" xfId="0" applyNumberFormat="1" applyFont="1" applyBorder="1" applyAlignment="1">
      <alignment vertical="center"/>
    </xf>
    <xf numFmtId="0" fontId="42" fillId="0" borderId="6" xfId="0" applyFont="1" applyBorder="1" applyAlignment="1">
      <alignment vertical="center"/>
    </xf>
    <xf numFmtId="179" fontId="42" fillId="0" borderId="6" xfId="0" applyNumberFormat="1" applyFont="1" applyBorder="1" applyAlignment="1">
      <alignment vertical="center"/>
    </xf>
    <xf numFmtId="176" fontId="31" fillId="0" borderId="1" xfId="0" applyNumberFormat="1" applyFont="1" applyBorder="1" applyAlignment="1">
      <alignment vertical="center"/>
    </xf>
    <xf numFmtId="0" fontId="31" fillId="0" borderId="3" xfId="0" applyFont="1" applyBorder="1" applyAlignment="1">
      <alignment vertical="center"/>
    </xf>
    <xf numFmtId="178" fontId="13" fillId="9" borderId="7" xfId="0" applyNumberFormat="1" applyFont="1" applyFill="1" applyBorder="1" applyAlignment="1">
      <alignment horizontal="center"/>
    </xf>
    <xf numFmtId="176" fontId="41" fillId="9" borderId="8" xfId="0" applyNumberFormat="1" applyFont="1" applyFill="1" applyBorder="1" applyAlignment="1">
      <alignment vertical="center"/>
    </xf>
    <xf numFmtId="176" fontId="41" fillId="9" borderId="7" xfId="0" applyNumberFormat="1" applyFont="1" applyFill="1" applyBorder="1" applyAlignment="1">
      <alignment vertical="center"/>
    </xf>
    <xf numFmtId="176" fontId="41" fillId="9" borderId="12" xfId="0" applyNumberFormat="1" applyFont="1" applyFill="1" applyBorder="1" applyAlignment="1">
      <alignment vertical="center"/>
    </xf>
    <xf numFmtId="176" fontId="11" fillId="9" borderId="7" xfId="0" applyNumberFormat="1" applyFont="1" applyFill="1" applyBorder="1" applyAlignment="1">
      <alignment vertical="center"/>
    </xf>
    <xf numFmtId="0" fontId="41" fillId="9" borderId="5" xfId="0" applyFont="1" applyFill="1" applyBorder="1" applyAlignment="1">
      <alignment vertical="center"/>
    </xf>
    <xf numFmtId="0" fontId="41" fillId="9" borderId="9" xfId="0" applyFont="1" applyFill="1" applyBorder="1" applyAlignment="1">
      <alignment vertical="center"/>
    </xf>
    <xf numFmtId="176" fontId="41" fillId="9" borderId="9" xfId="0" applyNumberFormat="1" applyFont="1" applyFill="1" applyBorder="1" applyAlignment="1">
      <alignment vertical="center"/>
    </xf>
    <xf numFmtId="176" fontId="41" fillId="9" borderId="5" xfId="0" applyNumberFormat="1" applyFont="1" applyFill="1" applyBorder="1" applyAlignment="1">
      <alignment vertical="center"/>
    </xf>
    <xf numFmtId="176" fontId="41" fillId="9" borderId="0" xfId="0" applyNumberFormat="1" applyFont="1" applyFill="1" applyBorder="1" applyAlignment="1">
      <alignment vertical="center"/>
    </xf>
    <xf numFmtId="176" fontId="4" fillId="9" borderId="0" xfId="0" applyNumberFormat="1" applyFont="1" applyFill="1" applyBorder="1" applyAlignment="1">
      <alignment horizontal="right" vertical="center"/>
    </xf>
    <xf numFmtId="176" fontId="41" fillId="10" borderId="17" xfId="0" applyNumberFormat="1" applyFont="1" applyFill="1" applyBorder="1" applyAlignment="1">
      <alignment vertical="center"/>
    </xf>
    <xf numFmtId="176" fontId="44" fillId="0" borderId="0" xfId="0" applyNumberFormat="1" applyFont="1" applyAlignment="1">
      <alignment horizontal="center" vertical="center"/>
    </xf>
    <xf numFmtId="0" fontId="45" fillId="9" borderId="7" xfId="0" applyFont="1" applyFill="1" applyBorder="1" applyAlignment="1">
      <alignment horizontal="center"/>
    </xf>
    <xf numFmtId="0" fontId="46" fillId="9" borderId="12" xfId="0" applyFont="1" applyFill="1" applyBorder="1" applyAlignment="1">
      <alignment vertical="center"/>
    </xf>
    <xf numFmtId="176" fontId="46" fillId="9" borderId="12" xfId="0" applyNumberFormat="1" applyFont="1" applyFill="1" applyBorder="1" applyAlignment="1">
      <alignment horizontal="right" vertical="center"/>
    </xf>
    <xf numFmtId="176" fontId="46" fillId="9" borderId="8" xfId="0" applyNumberFormat="1" applyFont="1" applyFill="1" applyBorder="1" applyAlignment="1">
      <alignment vertical="center"/>
    </xf>
    <xf numFmtId="0" fontId="45" fillId="9" borderId="5" xfId="0" applyFont="1" applyFill="1" applyBorder="1" applyAlignment="1">
      <alignment horizontal="center" vertical="top"/>
    </xf>
    <xf numFmtId="0" fontId="46" fillId="9" borderId="0" xfId="0" applyFont="1" applyFill="1" applyBorder="1" applyAlignment="1">
      <alignment vertical="center"/>
    </xf>
    <xf numFmtId="176" fontId="46" fillId="9" borderId="0" xfId="0" applyNumberFormat="1" applyFont="1" applyFill="1" applyBorder="1" applyAlignment="1">
      <alignment horizontal="right" vertical="center"/>
    </xf>
    <xf numFmtId="176" fontId="46" fillId="9" borderId="9" xfId="0" applyNumberFormat="1" applyFont="1" applyFill="1" applyBorder="1" applyAlignment="1">
      <alignment vertical="center"/>
    </xf>
    <xf numFmtId="9" fontId="12" fillId="0" borderId="0" xfId="0" applyNumberFormat="1" applyFont="1" applyAlignment="1">
      <alignment horizontal="center" vertical="center"/>
    </xf>
    <xf numFmtId="3" fontId="11" fillId="9" borderId="5" xfId="0" applyNumberFormat="1" applyFont="1" applyFill="1" applyBorder="1" applyAlignment="1">
      <alignment vertical="center"/>
    </xf>
    <xf numFmtId="179" fontId="24" fillId="0" borderId="6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176" fontId="5" fillId="2" borderId="3" xfId="0" applyNumberFormat="1" applyFont="1" applyFill="1" applyBorder="1" applyAlignment="1">
      <alignment horizontal="center" vertical="center"/>
    </xf>
    <xf numFmtId="0" fontId="47" fillId="0" borderId="0" xfId="0" applyFont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176" fontId="5" fillId="6" borderId="3" xfId="0" applyNumberFormat="1" applyFont="1" applyFill="1" applyBorder="1" applyAlignment="1">
      <alignment horizontal="center" vertical="center"/>
    </xf>
    <xf numFmtId="0" fontId="48" fillId="0" borderId="0" xfId="0" applyFont="1" applyAlignment="1">
      <alignment vertical="center"/>
    </xf>
    <xf numFmtId="0" fontId="1" fillId="0" borderId="0" xfId="0" applyFont="1" applyAlignment="1"/>
    <xf numFmtId="176" fontId="5" fillId="15" borderId="24" xfId="0" applyNumberFormat="1" applyFont="1" applyFill="1" applyBorder="1" applyAlignment="1">
      <alignment horizontal="center"/>
    </xf>
    <xf numFmtId="0" fontId="1" fillId="15" borderId="2" xfId="0" applyFont="1" applyFill="1" applyBorder="1" applyAlignment="1">
      <alignment vertical="center"/>
    </xf>
    <xf numFmtId="0" fontId="11" fillId="15" borderId="2" xfId="0" applyFont="1" applyFill="1" applyBorder="1" applyAlignment="1">
      <alignment horizontal="center" vertical="center"/>
    </xf>
    <xf numFmtId="176" fontId="1" fillId="10" borderId="4" xfId="0" applyNumberFormat="1" applyFont="1" applyFill="1" applyBorder="1" applyAlignment="1">
      <alignment horizontal="center" vertical="center"/>
    </xf>
    <xf numFmtId="0" fontId="5" fillId="15" borderId="25" xfId="0" applyFont="1" applyFill="1" applyBorder="1" applyAlignment="1">
      <alignment horizontal="center" vertical="top"/>
    </xf>
    <xf numFmtId="179" fontId="1" fillId="15" borderId="2" xfId="0" applyNumberFormat="1" applyFont="1" applyFill="1" applyBorder="1" applyAlignment="1">
      <alignment horizontal="right" vertical="center"/>
    </xf>
    <xf numFmtId="176" fontId="1" fillId="15" borderId="2" xfId="0" applyNumberFormat="1" applyFont="1" applyFill="1" applyBorder="1" applyAlignment="1">
      <alignment vertical="center"/>
    </xf>
    <xf numFmtId="176" fontId="11" fillId="7" borderId="4" xfId="0" applyNumberFormat="1" applyFont="1" applyFill="1" applyBorder="1" applyAlignment="1">
      <alignment horizontal="center" vertical="center"/>
    </xf>
    <xf numFmtId="176" fontId="12" fillId="10" borderId="2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176" fontId="1" fillId="12" borderId="3" xfId="0" applyNumberFormat="1" applyFont="1" applyFill="1" applyBorder="1" applyAlignment="1">
      <alignment vertical="center"/>
    </xf>
    <xf numFmtId="0" fontId="50" fillId="0" borderId="0" xfId="0" applyFont="1" applyAlignment="1">
      <alignment vertical="center"/>
    </xf>
    <xf numFmtId="0" fontId="51" fillId="0" borderId="0" xfId="0" applyFont="1" applyAlignment="1">
      <alignment vertical="center"/>
    </xf>
    <xf numFmtId="0" fontId="52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0" fontId="54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55" fillId="0" borderId="0" xfId="0" applyFont="1" applyAlignment="1">
      <alignment vertical="center"/>
    </xf>
    <xf numFmtId="176" fontId="4" fillId="0" borderId="0" xfId="0" applyNumberFormat="1" applyFont="1" applyAlignment="1">
      <alignment vertical="center"/>
    </xf>
    <xf numFmtId="176" fontId="4" fillId="0" borderId="30" xfId="0" applyNumberFormat="1" applyFont="1" applyBorder="1" applyAlignment="1">
      <alignment vertical="center"/>
    </xf>
    <xf numFmtId="0" fontId="4" fillId="6" borderId="31" xfId="0" applyFont="1" applyFill="1" applyBorder="1" applyAlignment="1">
      <alignment vertical="center"/>
    </xf>
    <xf numFmtId="0" fontId="4" fillId="6" borderId="32" xfId="0" applyFont="1" applyFill="1" applyBorder="1" applyAlignment="1">
      <alignment vertical="center"/>
    </xf>
    <xf numFmtId="176" fontId="4" fillId="0" borderId="33" xfId="0" applyNumberFormat="1" applyFont="1" applyBorder="1" applyAlignment="1">
      <alignment vertical="center"/>
    </xf>
    <xf numFmtId="0" fontId="4" fillId="6" borderId="29" xfId="0" applyFont="1" applyFill="1" applyBorder="1" applyAlignment="1">
      <alignment vertical="center"/>
    </xf>
    <xf numFmtId="0" fontId="4" fillId="17" borderId="0" xfId="0" applyFont="1" applyFill="1" applyBorder="1" applyAlignment="1">
      <alignment horizontal="center" vertical="center"/>
    </xf>
    <xf numFmtId="0" fontId="4" fillId="17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6" fillId="0" borderId="0" xfId="0" applyFont="1" applyAlignment="1">
      <alignment vertical="center"/>
    </xf>
    <xf numFmtId="176" fontId="4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  <xf numFmtId="179" fontId="4" fillId="0" borderId="0" xfId="0" applyNumberFormat="1" applyFont="1" applyAlignment="1">
      <alignment vertical="center"/>
    </xf>
    <xf numFmtId="176" fontId="43" fillId="4" borderId="0" xfId="0" applyNumberFormat="1" applyFont="1" applyFill="1" applyBorder="1" applyAlignment="1">
      <alignment vertical="center"/>
    </xf>
    <xf numFmtId="0" fontId="43" fillId="0" borderId="0" xfId="0" quotePrefix="1" applyFont="1" applyAlignment="1">
      <alignment vertical="center"/>
    </xf>
    <xf numFmtId="0" fontId="22" fillId="0" borderId="0" xfId="0" applyFont="1" applyAlignment="1">
      <alignment horizontal="center" vertical="center"/>
    </xf>
    <xf numFmtId="0" fontId="58" fillId="0" borderId="0" xfId="0" applyFont="1" applyAlignment="1">
      <alignment vertical="center"/>
    </xf>
    <xf numFmtId="0" fontId="29" fillId="0" borderId="6" xfId="0" applyFont="1" applyFill="1" applyBorder="1" applyAlignment="1">
      <alignment vertical="center"/>
    </xf>
    <xf numFmtId="179" fontId="29" fillId="0" borderId="6" xfId="0" applyNumberFormat="1" applyFont="1" applyFill="1" applyBorder="1" applyAlignment="1">
      <alignment vertical="center"/>
    </xf>
    <xf numFmtId="0" fontId="29" fillId="0" borderId="0" xfId="0" applyFont="1" applyFill="1" applyAlignment="1">
      <alignment horizontal="center" vertical="center"/>
    </xf>
    <xf numFmtId="176" fontId="29" fillId="0" borderId="6" xfId="0" applyNumberFormat="1" applyFont="1" applyFill="1" applyBorder="1" applyAlignment="1">
      <alignment horizontal="center" vertical="center"/>
    </xf>
    <xf numFmtId="176" fontId="29" fillId="0" borderId="6" xfId="0" applyNumberFormat="1" applyFont="1" applyFill="1" applyBorder="1" applyAlignment="1">
      <alignment vertical="center"/>
    </xf>
    <xf numFmtId="176" fontId="29" fillId="0" borderId="0" xfId="0" applyNumberFormat="1" applyFont="1" applyFill="1" applyAlignment="1">
      <alignment horizontal="center" vertical="center"/>
    </xf>
    <xf numFmtId="0" fontId="59" fillId="0" borderId="6" xfId="0" applyFont="1" applyBorder="1" applyAlignment="1">
      <alignment vertical="center"/>
    </xf>
    <xf numFmtId="179" fontId="59" fillId="0" borderId="6" xfId="0" applyNumberFormat="1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9" fillId="0" borderId="9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0" fillId="0" borderId="9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24" fillId="0" borderId="5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" fillId="9" borderId="7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178" fontId="29" fillId="0" borderId="5" xfId="0" applyNumberFormat="1" applyFont="1" applyBorder="1" applyAlignment="1">
      <alignment horizontal="center" vertical="center"/>
    </xf>
    <xf numFmtId="0" fontId="29" fillId="0" borderId="6" xfId="0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60" fillId="0" borderId="0" xfId="0" applyFont="1" applyAlignment="1">
      <alignment vertical="center"/>
    </xf>
    <xf numFmtId="0" fontId="10" fillId="0" borderId="9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9" xfId="0" applyFont="1" applyBorder="1" applyAlignment="1">
      <alignment horizontal="center" vertical="center"/>
    </xf>
    <xf numFmtId="176" fontId="12" fillId="0" borderId="6" xfId="0" applyNumberFormat="1" applyFont="1" applyFill="1" applyBorder="1" applyAlignment="1">
      <alignment vertical="center"/>
    </xf>
    <xf numFmtId="176" fontId="14" fillId="18" borderId="12" xfId="0" applyNumberFormat="1" applyFont="1" applyFill="1" applyBorder="1" applyAlignment="1">
      <alignment horizontal="center" vertical="center"/>
    </xf>
    <xf numFmtId="176" fontId="14" fillId="18" borderId="0" xfId="0" applyNumberFormat="1" applyFont="1" applyFill="1" applyBorder="1" applyAlignment="1">
      <alignment horizontal="center" vertical="center"/>
    </xf>
    <xf numFmtId="176" fontId="1" fillId="19" borderId="0" xfId="0" applyNumberFormat="1" applyFont="1" applyFill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24" fillId="0" borderId="5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78" fontId="1" fillId="0" borderId="6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" fillId="9" borderId="5" xfId="0" applyFont="1" applyFill="1" applyBorder="1" applyAlignment="1">
      <alignment vertical="center"/>
    </xf>
    <xf numFmtId="0" fontId="24" fillId="0" borderId="5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" fillId="9" borderId="7" xfId="0" applyFont="1" applyFill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3" fontId="41" fillId="9" borderId="9" xfId="0" applyNumberFormat="1" applyFont="1" applyFill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" fillId="9" borderId="5" xfId="0" applyFont="1" applyFill="1" applyBorder="1" applyAlignment="1">
      <alignment vertical="center"/>
    </xf>
    <xf numFmtId="0" fontId="24" fillId="0" borderId="5" xfId="0" applyFont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" fillId="9" borderId="5" xfId="0" applyFont="1" applyFill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" fillId="9" borderId="7" xfId="0" applyFont="1" applyFill="1" applyBorder="1" applyAlignment="1">
      <alignment vertical="center"/>
    </xf>
    <xf numFmtId="176" fontId="1" fillId="9" borderId="0" xfId="0" applyNumberFormat="1" applyFont="1" applyFill="1" applyBorder="1" applyAlignment="1">
      <alignment horizontal="right" vertical="center"/>
    </xf>
    <xf numFmtId="176" fontId="1" fillId="9" borderId="12" xfId="0" applyNumberFormat="1" applyFont="1" applyFill="1" applyBorder="1" applyAlignment="1">
      <alignment horizontal="right" vertical="center"/>
    </xf>
    <xf numFmtId="0" fontId="1" fillId="0" borderId="6" xfId="0" applyNumberFormat="1" applyFont="1" applyBorder="1" applyAlignment="1">
      <alignment vertical="center"/>
    </xf>
    <xf numFmtId="176" fontId="65" fillId="9" borderId="8" xfId="0" applyNumberFormat="1" applyFont="1" applyFill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3" fontId="11" fillId="9" borderId="9" xfId="0" applyNumberFormat="1" applyFont="1" applyFill="1" applyBorder="1" applyAlignment="1">
      <alignment vertical="center"/>
    </xf>
    <xf numFmtId="0" fontId="1" fillId="0" borderId="9" xfId="0" applyFont="1" applyFill="1" applyBorder="1" applyAlignment="1">
      <alignment horizontal="center" vertical="center"/>
    </xf>
    <xf numFmtId="176" fontId="1" fillId="0" borderId="9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41" fillId="0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176" fontId="1" fillId="0" borderId="5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0" fillId="0" borderId="9" xfId="0" applyFont="1" applyFill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" fillId="9" borderId="5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9" fontId="1" fillId="2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176" fontId="18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24" fillId="0" borderId="6" xfId="0" applyFont="1" applyFill="1" applyBorder="1" applyAlignment="1">
      <alignment vertical="center"/>
    </xf>
    <xf numFmtId="176" fontId="1" fillId="21" borderId="4" xfId="0" applyNumberFormat="1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9" fillId="0" borderId="5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24" fillId="0" borderId="6" xfId="0" applyFont="1" applyBorder="1" applyAlignment="1">
      <alignment vertical="center"/>
    </xf>
    <xf numFmtId="176" fontId="29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0" fontId="68" fillId="0" borderId="0" xfId="0" applyFont="1" applyAlignment="1">
      <alignment vertical="center"/>
    </xf>
    <xf numFmtId="0" fontId="69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179" fontId="29" fillId="0" borderId="6" xfId="0" applyNumberFormat="1" applyFont="1" applyBorder="1" applyAlignment="1">
      <alignment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34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20" fillId="0" borderId="5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176" fontId="1" fillId="0" borderId="36" xfId="0" applyNumberFormat="1" applyFont="1" applyBorder="1" applyAlignment="1">
      <alignment horizontal="center" vertical="center"/>
    </xf>
    <xf numFmtId="176" fontId="4" fillId="0" borderId="37" xfId="0" applyNumberFormat="1" applyFont="1" applyBorder="1" applyAlignment="1">
      <alignment vertical="center"/>
    </xf>
    <xf numFmtId="0" fontId="4" fillId="6" borderId="38" xfId="0" applyFont="1" applyFill="1" applyBorder="1" applyAlignment="1">
      <alignment vertical="center"/>
    </xf>
    <xf numFmtId="176" fontId="4" fillId="0" borderId="39" xfId="0" applyNumberFormat="1" applyFont="1" applyBorder="1" applyAlignment="1">
      <alignment vertical="center"/>
    </xf>
    <xf numFmtId="0" fontId="4" fillId="6" borderId="40" xfId="0" applyFont="1" applyFill="1" applyBorder="1" applyAlignment="1">
      <alignment vertical="center"/>
    </xf>
    <xf numFmtId="176" fontId="4" fillId="0" borderId="41" xfId="0" applyNumberFormat="1" applyFont="1" applyBorder="1" applyAlignment="1">
      <alignment vertical="center"/>
    </xf>
    <xf numFmtId="0" fontId="4" fillId="6" borderId="42" xfId="0" applyFont="1" applyFill="1" applyBorder="1" applyAlignment="1">
      <alignment vertical="center"/>
    </xf>
    <xf numFmtId="176" fontId="4" fillId="0" borderId="43" xfId="0" applyNumberFormat="1" applyFont="1" applyBorder="1" applyAlignment="1">
      <alignment vertical="center"/>
    </xf>
    <xf numFmtId="176" fontId="4" fillId="0" borderId="44" xfId="0" applyNumberFormat="1" applyFont="1" applyBorder="1" applyAlignment="1">
      <alignment vertical="center"/>
    </xf>
    <xf numFmtId="0" fontId="4" fillId="6" borderId="45" xfId="0" applyFont="1" applyFill="1" applyBorder="1" applyAlignment="1">
      <alignment vertical="center"/>
    </xf>
    <xf numFmtId="0" fontId="4" fillId="6" borderId="46" xfId="0" applyFont="1" applyFill="1" applyBorder="1" applyAlignment="1">
      <alignment vertical="center"/>
    </xf>
    <xf numFmtId="176" fontId="4" fillId="0" borderId="47" xfId="0" applyNumberFormat="1" applyFont="1" applyBorder="1" applyAlignment="1">
      <alignment vertical="center"/>
    </xf>
    <xf numFmtId="0" fontId="4" fillId="6" borderId="48" xfId="0" applyFont="1" applyFill="1" applyBorder="1" applyAlignment="1">
      <alignment vertical="center"/>
    </xf>
    <xf numFmtId="176" fontId="4" fillId="0" borderId="49" xfId="0" applyNumberFormat="1" applyFont="1" applyBorder="1" applyAlignment="1">
      <alignment vertical="center"/>
    </xf>
    <xf numFmtId="0" fontId="4" fillId="6" borderId="50" xfId="0" applyFont="1" applyFill="1" applyBorder="1" applyAlignment="1">
      <alignment vertical="center"/>
    </xf>
    <xf numFmtId="176" fontId="4" fillId="0" borderId="51" xfId="0" applyNumberFormat="1" applyFont="1" applyBorder="1" applyAlignment="1">
      <alignment vertical="center"/>
    </xf>
    <xf numFmtId="41" fontId="0" fillId="0" borderId="0" xfId="2" applyFont="1">
      <alignment vertical="center"/>
    </xf>
    <xf numFmtId="0" fontId="11" fillId="0" borderId="9" xfId="0" applyFont="1" applyBorder="1" applyAlignment="1">
      <alignment horizontal="center" vertical="center"/>
    </xf>
    <xf numFmtId="176" fontId="4" fillId="0" borderId="39" xfId="0" applyNumberFormat="1" applyFont="1" applyFill="1" applyBorder="1" applyAlignment="1">
      <alignment vertical="center"/>
    </xf>
    <xf numFmtId="176" fontId="4" fillId="0" borderId="30" xfId="0" applyNumberFormat="1" applyFont="1" applyFill="1" applyBorder="1" applyAlignment="1">
      <alignment vertical="center"/>
    </xf>
    <xf numFmtId="176" fontId="4" fillId="0" borderId="43" xfId="0" applyNumberFormat="1" applyFont="1" applyFill="1" applyBorder="1" applyAlignment="1">
      <alignment vertical="center"/>
    </xf>
    <xf numFmtId="176" fontId="4" fillId="0" borderId="44" xfId="0" applyNumberFormat="1" applyFont="1" applyFill="1" applyBorder="1" applyAlignment="1">
      <alignment vertical="center"/>
    </xf>
    <xf numFmtId="176" fontId="4" fillId="0" borderId="37" xfId="0" applyNumberFormat="1" applyFont="1" applyFill="1" applyBorder="1" applyAlignment="1">
      <alignment vertical="center"/>
    </xf>
    <xf numFmtId="176" fontId="4" fillId="0" borderId="47" xfId="0" applyNumberFormat="1" applyFont="1" applyFill="1" applyBorder="1" applyAlignment="1">
      <alignment vertical="center"/>
    </xf>
    <xf numFmtId="176" fontId="4" fillId="0" borderId="49" xfId="0" applyNumberFormat="1" applyFont="1" applyFill="1" applyBorder="1" applyAlignment="1">
      <alignment vertical="center"/>
    </xf>
    <xf numFmtId="176" fontId="4" fillId="0" borderId="33" xfId="0" applyNumberFormat="1" applyFont="1" applyFill="1" applyBorder="1" applyAlignment="1">
      <alignment vertical="center"/>
    </xf>
    <xf numFmtId="176" fontId="4" fillId="0" borderId="51" xfId="0" applyNumberFormat="1" applyFont="1" applyFill="1" applyBorder="1" applyAlignment="1">
      <alignment vertical="center"/>
    </xf>
    <xf numFmtId="0" fontId="20" fillId="0" borderId="5" xfId="0" applyFont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11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179" fontId="41" fillId="0" borderId="0" xfId="0" applyNumberFormat="1" applyFont="1" applyAlignment="1">
      <alignment vertical="center"/>
    </xf>
    <xf numFmtId="176" fontId="24" fillId="0" borderId="6" xfId="0" applyNumberFormat="1" applyFont="1" applyFill="1" applyBorder="1" applyAlignment="1">
      <alignment vertical="center"/>
    </xf>
    <xf numFmtId="176" fontId="76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41" fontId="0" fillId="23" borderId="0" xfId="2" applyFont="1" applyFill="1">
      <alignment vertical="center"/>
    </xf>
    <xf numFmtId="0" fontId="0" fillId="23" borderId="0" xfId="0" applyFill="1">
      <alignment vertical="center"/>
    </xf>
    <xf numFmtId="0" fontId="0" fillId="0" borderId="0" xfId="0" applyFont="1" applyAlignment="1">
      <alignment vertical="center"/>
    </xf>
    <xf numFmtId="181" fontId="1" fillId="0" borderId="0" xfId="0" applyNumberFormat="1" applyFont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1" fillId="9" borderId="5" xfId="0" applyFont="1" applyFill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" fillId="9" borderId="7" xfId="0" applyFont="1" applyFill="1" applyBorder="1" applyAlignment="1">
      <alignment vertical="center"/>
    </xf>
    <xf numFmtId="9" fontId="12" fillId="0" borderId="0" xfId="3" applyFont="1" applyFill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24" fillId="0" borderId="5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76" fontId="12" fillId="22" borderId="0" xfId="0" applyNumberFormat="1" applyFont="1" applyFill="1" applyAlignment="1">
      <alignment vertical="center"/>
    </xf>
    <xf numFmtId="0" fontId="0" fillId="24" borderId="52" xfId="0" applyFont="1" applyFill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10" fillId="0" borderId="9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4" fillId="0" borderId="35" xfId="0" applyFont="1" applyFill="1" applyBorder="1" applyAlignment="1">
      <alignment vertical="center"/>
    </xf>
    <xf numFmtId="0" fontId="24" fillId="0" borderId="5" xfId="0" applyFont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" fillId="9" borderId="7" xfId="0" applyFont="1" applyFill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" fillId="9" borderId="5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" fillId="9" borderId="5" xfId="0" applyFont="1" applyFill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" fillId="9" borderId="7" xfId="0" applyFont="1" applyFill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78" fontId="1" fillId="0" borderId="5" xfId="1" applyNumberFormat="1" applyFont="1" applyFill="1" applyBorder="1" applyAlignment="1">
      <alignment horizontal="center" vertical="center"/>
    </xf>
    <xf numFmtId="0" fontId="1" fillId="0" borderId="6" xfId="1" applyFont="1" applyFill="1" applyBorder="1" applyAlignment="1">
      <alignment vertical="center"/>
    </xf>
    <xf numFmtId="179" fontId="1" fillId="0" borderId="6" xfId="1" applyNumberFormat="1" applyFont="1" applyFill="1" applyBorder="1" applyAlignment="1">
      <alignment vertical="center"/>
    </xf>
    <xf numFmtId="0" fontId="11" fillId="0" borderId="0" xfId="1" applyFont="1" applyFill="1" applyAlignment="1">
      <alignment horizontal="center" vertical="center"/>
    </xf>
    <xf numFmtId="176" fontId="1" fillId="0" borderId="6" xfId="1" applyNumberFormat="1" applyFont="1" applyFill="1" applyBorder="1" applyAlignment="1">
      <alignment vertical="center"/>
    </xf>
    <xf numFmtId="176" fontId="1" fillId="0" borderId="6" xfId="1" applyNumberFormat="1" applyFont="1" applyFill="1" applyBorder="1" applyAlignment="1">
      <alignment horizontal="center" vertical="center"/>
    </xf>
    <xf numFmtId="0" fontId="11" fillId="0" borderId="9" xfId="1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1" fillId="0" borderId="9" xfId="0" applyFont="1" applyBorder="1" applyAlignment="1">
      <alignment horizontal="center" vertical="center"/>
    </xf>
    <xf numFmtId="9" fontId="1" fillId="25" borderId="0" xfId="0" applyNumberFormat="1" applyFont="1" applyFill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77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178" fontId="11" fillId="0" borderId="6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9" fontId="1" fillId="0" borderId="0" xfId="0" applyNumberFormat="1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9" fontId="31" fillId="0" borderId="0" xfId="0" applyNumberFormat="1" applyFont="1" applyAlignment="1">
      <alignment vertical="center"/>
    </xf>
    <xf numFmtId="0" fontId="25" fillId="0" borderId="6" xfId="0" applyFont="1" applyBorder="1" applyAlignment="1">
      <alignment vertical="center"/>
    </xf>
    <xf numFmtId="176" fontId="1" fillId="22" borderId="9" xfId="0" applyNumberFormat="1" applyFont="1" applyFill="1" applyBorder="1" applyAlignment="1">
      <alignment horizontal="center" vertical="center"/>
    </xf>
    <xf numFmtId="176" fontId="1" fillId="22" borderId="6" xfId="0" applyNumberFormat="1" applyFont="1" applyFill="1" applyBorder="1" applyAlignment="1">
      <alignment horizontal="center" vertical="center"/>
    </xf>
    <xf numFmtId="0" fontId="11" fillId="0" borderId="54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5" fillId="3" borderId="3" xfId="0" applyNumberFormat="1" applyFont="1" applyFill="1" applyBorder="1" applyAlignment="1">
      <alignment horizontal="center" vertical="center"/>
    </xf>
    <xf numFmtId="176" fontId="12" fillId="22" borderId="0" xfId="0" applyNumberFormat="1" applyFont="1" applyFill="1" applyAlignment="1">
      <alignment horizontal="right" vertical="center"/>
    </xf>
    <xf numFmtId="0" fontId="0" fillId="0" borderId="0" xfId="0" applyFont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1" fillId="0" borderId="5" xfId="0" applyFont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3" fontId="1" fillId="0" borderId="5" xfId="0" applyNumberFormat="1" applyFont="1" applyBorder="1" applyAlignment="1">
      <alignment horizontal="center" vertical="center"/>
    </xf>
    <xf numFmtId="0" fontId="5" fillId="10" borderId="14" xfId="0" applyFont="1" applyFill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176" fontId="1" fillId="10" borderId="14" xfId="0" applyNumberFormat="1" applyFont="1" applyFill="1" applyBorder="1" applyAlignment="1">
      <alignment horizontal="center" vertical="center"/>
    </xf>
    <xf numFmtId="176" fontId="5" fillId="11" borderId="14" xfId="0" applyNumberFormat="1" applyFont="1" applyFill="1" applyBorder="1" applyAlignment="1">
      <alignment horizontal="center" vertical="center"/>
    </xf>
    <xf numFmtId="0" fontId="10" fillId="0" borderId="20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24" fillId="0" borderId="5" xfId="0" applyFont="1" applyBorder="1" applyAlignment="1">
      <alignment horizontal="left" vertical="center"/>
    </xf>
    <xf numFmtId="0" fontId="24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34" fillId="0" borderId="5" xfId="0" applyFont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vertical="center"/>
    </xf>
    <xf numFmtId="0" fontId="23" fillId="0" borderId="5" xfId="0" applyFont="1" applyBorder="1" applyAlignment="1">
      <alignment horizontal="center" vertical="center"/>
    </xf>
    <xf numFmtId="3" fontId="5" fillId="0" borderId="7" xfId="0" applyNumberFormat="1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73" fillId="0" borderId="9" xfId="0" applyFont="1" applyBorder="1" applyAlignment="1">
      <alignment vertical="center"/>
    </xf>
    <xf numFmtId="176" fontId="5" fillId="16" borderId="1" xfId="0" applyNumberFormat="1" applyFont="1" applyFill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0" fontId="67" fillId="0" borderId="5" xfId="0" applyFont="1" applyBorder="1" applyAlignment="1">
      <alignment horizontal="left" vertical="center"/>
    </xf>
    <xf numFmtId="0" fontId="26" fillId="0" borderId="9" xfId="0" applyFont="1" applyBorder="1" applyAlignment="1">
      <alignment vertical="center"/>
    </xf>
    <xf numFmtId="0" fontId="12" fillId="0" borderId="5" xfId="0" applyFont="1" applyBorder="1" applyAlignment="1">
      <alignment horizontal="left" vertical="center"/>
    </xf>
    <xf numFmtId="0" fontId="49" fillId="0" borderId="5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/>
    </xf>
    <xf numFmtId="0" fontId="10" fillId="0" borderId="11" xfId="0" applyFont="1" applyBorder="1" applyAlignment="1">
      <alignment vertical="center"/>
    </xf>
    <xf numFmtId="0" fontId="12" fillId="0" borderId="7" xfId="0" applyFont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3" fontId="11" fillId="0" borderId="5" xfId="0" applyNumberFormat="1" applyFont="1" applyBorder="1" applyAlignment="1">
      <alignment horizontal="center" vertical="center"/>
    </xf>
    <xf numFmtId="3" fontId="34" fillId="0" borderId="5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5" xfId="0" applyFont="1" applyBorder="1" applyAlignment="1">
      <alignment horizontal="left" vertical="center"/>
    </xf>
    <xf numFmtId="0" fontId="20" fillId="0" borderId="5" xfId="0" applyFont="1" applyBorder="1" applyAlignment="1">
      <alignment horizontal="center" vertical="center"/>
    </xf>
    <xf numFmtId="0" fontId="1" fillId="9" borderId="5" xfId="0" applyFont="1" applyFill="1" applyBorder="1" applyAlignment="1">
      <alignment vertical="center"/>
    </xf>
    <xf numFmtId="0" fontId="1" fillId="9" borderId="13" xfId="0" applyFont="1" applyFill="1" applyBorder="1" applyAlignment="1">
      <alignment vertical="center"/>
    </xf>
    <xf numFmtId="0" fontId="10" fillId="0" borderId="23" xfId="0" applyFont="1" applyBorder="1" applyAlignment="1">
      <alignment vertical="center"/>
    </xf>
    <xf numFmtId="0" fontId="5" fillId="0" borderId="5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75" fillId="0" borderId="5" xfId="0" applyFont="1" applyBorder="1" applyAlignment="1">
      <alignment horizontal="center" vertical="center"/>
    </xf>
    <xf numFmtId="0" fontId="75" fillId="0" borderId="9" xfId="0" applyFont="1" applyBorder="1" applyAlignment="1">
      <alignment horizontal="center" vertical="center"/>
    </xf>
    <xf numFmtId="0" fontId="43" fillId="10" borderId="14" xfId="0" applyFont="1" applyFill="1" applyBorder="1" applyAlignment="1">
      <alignment horizontal="center" vertical="center"/>
    </xf>
    <xf numFmtId="0" fontId="31" fillId="0" borderId="5" xfId="0" applyFont="1" applyBorder="1" applyAlignment="1">
      <alignment vertical="center"/>
    </xf>
    <xf numFmtId="178" fontId="5" fillId="0" borderId="1" xfId="0" applyNumberFormat="1" applyFont="1" applyBorder="1" applyAlignment="1">
      <alignment horizontal="center" vertical="center"/>
    </xf>
    <xf numFmtId="3" fontId="31" fillId="0" borderId="5" xfId="0" applyNumberFormat="1" applyFont="1" applyBorder="1" applyAlignment="1">
      <alignment vertical="center"/>
    </xf>
    <xf numFmtId="0" fontId="31" fillId="0" borderId="7" xfId="0" applyFont="1" applyBorder="1" applyAlignment="1">
      <alignment vertical="center"/>
    </xf>
    <xf numFmtId="0" fontId="5" fillId="0" borderId="26" xfId="0" applyFont="1" applyBorder="1" applyAlignment="1">
      <alignment horizontal="center" vertical="center"/>
    </xf>
    <xf numFmtId="0" fontId="73" fillId="0" borderId="21" xfId="0" applyFont="1" applyBorder="1" applyAlignment="1">
      <alignment vertical="center"/>
    </xf>
    <xf numFmtId="0" fontId="73" fillId="0" borderId="9" xfId="0" applyFont="1" applyFill="1" applyBorder="1" applyAlignment="1">
      <alignment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30" fillId="0" borderId="9" xfId="0" applyFont="1" applyBorder="1" applyAlignment="1">
      <alignment vertical="center"/>
    </xf>
    <xf numFmtId="0" fontId="1" fillId="0" borderId="26" xfId="0" applyFont="1" applyBorder="1" applyAlignment="1">
      <alignment horizontal="center" vertical="center"/>
    </xf>
    <xf numFmtId="0" fontId="10" fillId="0" borderId="21" xfId="0" applyFont="1" applyBorder="1" applyAlignment="1">
      <alignment vertical="center"/>
    </xf>
    <xf numFmtId="0" fontId="17" fillId="0" borderId="5" xfId="0" applyFont="1" applyBorder="1" applyAlignment="1">
      <alignment horizontal="center" vertical="center"/>
    </xf>
    <xf numFmtId="0" fontId="74" fillId="0" borderId="9" xfId="0" applyFont="1" applyBorder="1" applyAlignment="1">
      <alignment vertical="center"/>
    </xf>
    <xf numFmtId="0" fontId="5" fillId="0" borderId="27" xfId="0" applyFont="1" applyBorder="1" applyAlignment="1">
      <alignment horizontal="center" vertical="center"/>
    </xf>
    <xf numFmtId="0" fontId="73" fillId="0" borderId="28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3" fontId="37" fillId="0" borderId="5" xfId="0" applyNumberFormat="1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5" fillId="0" borderId="5" xfId="0" applyNumberFormat="1" applyFont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/>
    </xf>
    <xf numFmtId="3" fontId="1" fillId="0" borderId="9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66" fillId="0" borderId="9" xfId="0" applyFont="1" applyBorder="1" applyAlignment="1">
      <alignment vertical="center"/>
    </xf>
    <xf numFmtId="3" fontId="23" fillId="0" borderId="5" xfId="0" applyNumberFormat="1" applyFont="1" applyBorder="1" applyAlignment="1">
      <alignment horizontal="center" vertical="center"/>
    </xf>
    <xf numFmtId="0" fontId="63" fillId="0" borderId="5" xfId="0" applyFont="1" applyBorder="1" applyAlignment="1">
      <alignment horizontal="center" vertical="center"/>
    </xf>
    <xf numFmtId="3" fontId="31" fillId="0" borderId="5" xfId="0" applyNumberFormat="1" applyFont="1" applyBorder="1" applyAlignment="1">
      <alignment horizontal="center" vertical="center"/>
    </xf>
    <xf numFmtId="0" fontId="20" fillId="0" borderId="5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vertical="center"/>
    </xf>
    <xf numFmtId="0" fontId="24" fillId="0" borderId="5" xfId="0" applyFont="1" applyFill="1" applyBorder="1" applyAlignment="1">
      <alignment horizontal="center" vertical="center"/>
    </xf>
    <xf numFmtId="0" fontId="64" fillId="0" borderId="9" xfId="0" applyFont="1" applyFill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70" fillId="0" borderId="9" xfId="0" applyFont="1" applyBorder="1" applyAlignment="1">
      <alignment vertical="center"/>
    </xf>
    <xf numFmtId="0" fontId="24" fillId="0" borderId="9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11" fillId="9" borderId="22" xfId="0" applyFont="1" applyFill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</cellXfs>
  <cellStyles count="4">
    <cellStyle name="백분율" xfId="3" builtinId="5"/>
    <cellStyle name="쉼표 [0]" xfId="2" builtinId="6"/>
    <cellStyle name="표준" xfId="0" builtinId="0"/>
    <cellStyle name="표준 2" xfId="1"/>
  </cellStyles>
  <dxfs count="19">
    <dxf>
      <font>
        <b/>
        <i/>
        <color theme="0"/>
      </font>
      <fill>
        <patternFill patternType="solid">
          <fgColor rgb="FFFBABAB"/>
          <bgColor rgb="FFFBABAB"/>
        </patternFill>
      </fill>
    </dxf>
    <dxf>
      <font>
        <b/>
        <i/>
        <color theme="0"/>
      </font>
      <fill>
        <patternFill patternType="solid">
          <fgColor rgb="FFFBABAB"/>
          <bgColor rgb="FFFBABAB"/>
        </patternFill>
      </fill>
    </dxf>
    <dxf>
      <font>
        <b/>
        <i/>
        <color theme="0"/>
      </font>
      <fill>
        <patternFill patternType="solid">
          <fgColor rgb="FFFBABAB"/>
          <bgColor rgb="FFFBABAB"/>
        </patternFill>
      </fill>
    </dxf>
    <dxf>
      <font>
        <b/>
        <i/>
        <color theme="0"/>
      </font>
      <fill>
        <patternFill patternType="solid">
          <fgColor rgb="FFFBABAB"/>
          <bgColor rgb="FFFBABAB"/>
        </patternFill>
      </fill>
    </dxf>
    <dxf>
      <font>
        <b/>
        <i/>
        <color theme="0"/>
      </font>
      <fill>
        <patternFill patternType="solid">
          <fgColor rgb="FFFBABAB"/>
          <bgColor rgb="FFFBABAB"/>
        </patternFill>
      </fill>
    </dxf>
    <dxf>
      <font>
        <b/>
        <i/>
        <color theme="0"/>
      </font>
      <fill>
        <patternFill patternType="solid">
          <fgColor rgb="FFFBABAB"/>
          <bgColor rgb="FFFBABAB"/>
        </patternFill>
      </fill>
    </dxf>
    <dxf>
      <font>
        <b/>
        <i/>
        <color theme="0"/>
      </font>
      <fill>
        <patternFill patternType="solid">
          <fgColor rgb="FFFBABAB"/>
          <bgColor rgb="FFFBABAB"/>
        </patternFill>
      </fill>
    </dxf>
    <dxf>
      <font>
        <b/>
        <i/>
        <color theme="0"/>
      </font>
      <fill>
        <patternFill patternType="solid">
          <fgColor rgb="FFFBABAB"/>
          <bgColor rgb="FFFBABAB"/>
        </patternFill>
      </fill>
    </dxf>
    <dxf>
      <font>
        <b/>
        <i/>
        <color theme="0"/>
      </font>
      <fill>
        <patternFill patternType="solid">
          <fgColor rgb="FFFBABAB"/>
          <bgColor rgb="FFFBABAB"/>
        </patternFill>
      </fill>
    </dxf>
    <dxf>
      <font>
        <b/>
        <i/>
        <color theme="0"/>
      </font>
      <fill>
        <patternFill patternType="solid">
          <fgColor rgb="FFFBABAB"/>
          <bgColor rgb="FFFBABAB"/>
        </patternFill>
      </fill>
    </dxf>
    <dxf>
      <font>
        <b/>
        <i/>
        <color theme="0"/>
      </font>
      <fill>
        <patternFill patternType="solid">
          <fgColor rgb="FFFBABAB"/>
          <bgColor rgb="FFFBABAB"/>
        </patternFill>
      </fill>
    </dxf>
    <dxf>
      <font>
        <b/>
        <i/>
        <color theme="0"/>
      </font>
      <fill>
        <patternFill patternType="solid">
          <fgColor rgb="FFFBABAB"/>
          <bgColor rgb="FFFBABAB"/>
        </patternFill>
      </fill>
    </dxf>
    <dxf>
      <font>
        <b/>
        <i/>
        <color theme="0"/>
      </font>
      <fill>
        <patternFill patternType="solid">
          <fgColor rgb="FFFBABAB"/>
          <bgColor rgb="FFFBABAB"/>
        </patternFill>
      </fill>
    </dxf>
    <dxf>
      <font>
        <b/>
        <i/>
        <color theme="0"/>
      </font>
      <fill>
        <patternFill patternType="solid">
          <fgColor rgb="FFFBABAB"/>
          <bgColor rgb="FFFBABAB"/>
        </patternFill>
      </fill>
    </dxf>
    <dxf>
      <font>
        <b/>
        <i/>
        <color theme="0"/>
      </font>
      <fill>
        <patternFill patternType="solid">
          <fgColor rgb="FFFBABAB"/>
          <bgColor rgb="FFFBABAB"/>
        </patternFill>
      </fill>
    </dxf>
    <dxf>
      <font>
        <b/>
        <i/>
        <color theme="0"/>
      </font>
      <fill>
        <patternFill patternType="solid">
          <fgColor rgb="FFFBABAB"/>
          <bgColor rgb="FFFBABAB"/>
        </patternFill>
      </fill>
    </dxf>
    <dxf>
      <font>
        <b/>
        <i/>
        <color theme="0"/>
      </font>
      <fill>
        <patternFill patternType="solid">
          <fgColor rgb="FFFBABAB"/>
          <bgColor rgb="FFFBABAB"/>
        </patternFill>
      </fill>
    </dxf>
    <dxf>
      <font>
        <b/>
        <i/>
        <color theme="0"/>
      </font>
      <fill>
        <patternFill patternType="solid">
          <fgColor rgb="FFFBABAB"/>
          <bgColor rgb="FFFBABAB"/>
        </patternFill>
      </fill>
    </dxf>
    <dxf>
      <font>
        <b/>
        <i/>
        <color theme="0"/>
      </font>
      <fill>
        <patternFill patternType="solid">
          <fgColor rgb="FFFBABAB"/>
          <bgColor rgb="FFFBABA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861"/>
  <sheetViews>
    <sheetView tabSelected="1" topLeftCell="A1636" zoomScaleNormal="100" zoomScaleSheetLayoutView="85" workbookViewId="0">
      <selection activeCell="W1646" sqref="W1646"/>
    </sheetView>
  </sheetViews>
  <sheetFormatPr defaultColWidth="12.625" defaultRowHeight="16.5"/>
  <cols>
    <col min="1" max="1" width="11" style="5" customWidth="1"/>
    <col min="2" max="2" width="13.875" style="5" customWidth="1"/>
    <col min="3" max="3" width="11" style="5" customWidth="1"/>
    <col min="4" max="4" width="4.75" style="5" customWidth="1"/>
    <col min="5" max="5" width="11.125" style="5" customWidth="1"/>
    <col min="6" max="6" width="12" style="5" customWidth="1"/>
    <col min="7" max="10" width="11.625" style="5" customWidth="1"/>
    <col min="11" max="12" width="11.875" style="5" customWidth="1"/>
    <col min="13" max="13" width="8.5" style="5" customWidth="1"/>
    <col min="14" max="14" width="9.125" style="5" customWidth="1"/>
    <col min="15" max="15" width="1.25" style="5" hidden="1" customWidth="1"/>
    <col min="16" max="16" width="12.75" style="5" customWidth="1"/>
    <col min="17" max="17" width="7.375" style="5" customWidth="1"/>
    <col min="18" max="18" width="11.5" style="5" customWidth="1"/>
    <col min="19" max="19" width="6.875" style="5" hidden="1" customWidth="1"/>
    <col min="20" max="20" width="6.875" style="5" customWidth="1"/>
    <col min="21" max="21" width="11" style="5" customWidth="1"/>
    <col min="22" max="16384" width="12.625" style="5"/>
  </cols>
  <sheetData>
    <row r="1" spans="1:2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1"/>
      <c r="N1" s="1"/>
      <c r="O1" s="1"/>
      <c r="P1" s="3"/>
      <c r="Q1" s="1"/>
      <c r="R1" s="1"/>
      <c r="S1" s="1"/>
      <c r="T1" s="1"/>
      <c r="U1" s="4"/>
    </row>
    <row r="2" spans="1:21" ht="18.75" customHeight="1">
      <c r="A2" s="6" t="s">
        <v>0</v>
      </c>
      <c r="B2" s="7" t="str">
        <f>$B$34</f>
        <v>1월</v>
      </c>
      <c r="C2" s="8" t="s">
        <v>1</v>
      </c>
      <c r="D2" s="9">
        <f>COUNTIF($C4:$C28,"계약")+(COUNTIF($C4:$C28,"계약2")*2)</f>
        <v>0</v>
      </c>
      <c r="E2" s="3">
        <f>COUNTIF(C4:C28,"낙찰수수료")</f>
        <v>0</v>
      </c>
      <c r="F2" s="10" t="s">
        <v>2</v>
      </c>
      <c r="G2" s="1"/>
      <c r="H2" s="11">
        <v>0.5</v>
      </c>
      <c r="I2" s="12">
        <v>3.3000000000000002E-2</v>
      </c>
      <c r="J2" s="1"/>
      <c r="K2" s="1"/>
      <c r="L2" s="1"/>
      <c r="M2" s="1"/>
      <c r="N2" s="1"/>
      <c r="O2" s="1"/>
      <c r="P2" s="3"/>
      <c r="Q2" s="1"/>
      <c r="R2" s="1"/>
      <c r="S2" s="1"/>
      <c r="T2" s="1"/>
      <c r="U2" s="4"/>
    </row>
    <row r="3" spans="1:21" ht="18.75" customHeight="1">
      <c r="A3" s="13" t="s">
        <v>3</v>
      </c>
      <c r="B3" s="14" t="s">
        <v>4</v>
      </c>
      <c r="C3" s="14" t="s">
        <v>5</v>
      </c>
      <c r="D3" s="15" t="s">
        <v>6</v>
      </c>
      <c r="E3" s="16" t="s">
        <v>7</v>
      </c>
      <c r="F3" s="17" t="s">
        <v>8</v>
      </c>
      <c r="G3" s="14" t="s">
        <v>9</v>
      </c>
      <c r="H3" s="15" t="s">
        <v>10</v>
      </c>
      <c r="I3" s="14" t="s">
        <v>11</v>
      </c>
      <c r="J3" s="15" t="s">
        <v>12</v>
      </c>
      <c r="K3" s="14" t="s">
        <v>13</v>
      </c>
      <c r="L3" s="14" t="s">
        <v>14</v>
      </c>
      <c r="M3" s="579" t="s">
        <v>15</v>
      </c>
      <c r="N3" s="577"/>
      <c r="O3" s="1"/>
      <c r="P3" s="3"/>
      <c r="Q3" s="1"/>
      <c r="R3" s="1"/>
      <c r="S3" s="1"/>
      <c r="T3" s="1"/>
      <c r="U3" s="4"/>
    </row>
    <row r="4" spans="1:21" ht="18.75" customHeight="1">
      <c r="A4" s="18"/>
      <c r="B4" s="19"/>
      <c r="C4" s="20"/>
      <c r="D4" s="21"/>
      <c r="E4" s="22"/>
      <c r="F4" s="23">
        <f t="shared" ref="F4:F9" si="0">IF(D4="no",E4,E4/1.1)</f>
        <v>0</v>
      </c>
      <c r="G4" s="22">
        <f t="shared" ref="G4:G9" si="1">IF(D4="no",0,F4*0.1)</f>
        <v>0</v>
      </c>
      <c r="H4" s="24">
        <f>IF(D4="no",0,F4*H2)</f>
        <v>0</v>
      </c>
      <c r="I4" s="25">
        <f t="shared" ref="I4:I9" si="2">IF(D4="no",0,H4*3.3%)</f>
        <v>0</v>
      </c>
      <c r="J4" s="26"/>
      <c r="K4" s="22">
        <f t="shared" ref="K4:K9" si="3">IF(D4="no",0,H4-I4-J4)</f>
        <v>0</v>
      </c>
      <c r="L4" s="27">
        <f>IF(D4="no",F4*H2-J4,0)</f>
        <v>0</v>
      </c>
      <c r="M4" s="582"/>
      <c r="N4" s="581"/>
      <c r="O4" s="1"/>
      <c r="P4" s="3"/>
      <c r="Q4" s="1"/>
      <c r="R4" s="1"/>
      <c r="S4" s="1"/>
      <c r="T4" s="1"/>
      <c r="U4" s="4"/>
    </row>
    <row r="5" spans="1:21" ht="18.75" hidden="1" customHeight="1">
      <c r="A5" s="28"/>
      <c r="B5" s="29"/>
      <c r="C5" s="30"/>
      <c r="D5" s="21"/>
      <c r="E5" s="27"/>
      <c r="F5" s="31">
        <f t="shared" si="0"/>
        <v>0</v>
      </c>
      <c r="G5" s="27">
        <f t="shared" si="1"/>
        <v>0</v>
      </c>
      <c r="H5" s="32">
        <f>IF(D5="no",0,F5*H2)</f>
        <v>0</v>
      </c>
      <c r="I5" s="33">
        <f t="shared" si="2"/>
        <v>0</v>
      </c>
      <c r="J5" s="26"/>
      <c r="K5" s="27">
        <f t="shared" si="3"/>
        <v>0</v>
      </c>
      <c r="L5" s="27">
        <f>IF(D5="no",F5*H2-J5,0)</f>
        <v>0</v>
      </c>
      <c r="M5" s="572"/>
      <c r="N5" s="564"/>
      <c r="O5" s="1"/>
      <c r="P5" s="3"/>
      <c r="Q5" s="1"/>
      <c r="R5" s="1"/>
      <c r="S5" s="1"/>
      <c r="T5" s="1"/>
      <c r="U5" s="4"/>
    </row>
    <row r="6" spans="1:21" ht="18.75" hidden="1" customHeight="1">
      <c r="A6" s="28"/>
      <c r="B6" s="29"/>
      <c r="C6" s="30"/>
      <c r="D6" s="21"/>
      <c r="E6" s="27"/>
      <c r="F6" s="31">
        <f t="shared" si="0"/>
        <v>0</v>
      </c>
      <c r="G6" s="27">
        <f t="shared" si="1"/>
        <v>0</v>
      </c>
      <c r="H6" s="32">
        <f>IF(D6="no",0,F6*H2)</f>
        <v>0</v>
      </c>
      <c r="I6" s="33">
        <f t="shared" si="2"/>
        <v>0</v>
      </c>
      <c r="J6" s="26"/>
      <c r="K6" s="27">
        <f t="shared" si="3"/>
        <v>0</v>
      </c>
      <c r="L6" s="27">
        <f>IF(D6="no",F6*H2-J6,0)</f>
        <v>0</v>
      </c>
      <c r="M6" s="578" t="s">
        <v>16</v>
      </c>
      <c r="N6" s="564"/>
      <c r="O6" s="1"/>
      <c r="P6" s="3"/>
      <c r="Q6" s="34" t="s">
        <v>17</v>
      </c>
      <c r="R6" s="34" t="s">
        <v>18</v>
      </c>
      <c r="S6" s="1"/>
      <c r="T6" s="1"/>
      <c r="U6" s="4"/>
    </row>
    <row r="7" spans="1:21" ht="18.75" hidden="1" customHeight="1">
      <c r="A7" s="28"/>
      <c r="B7" s="29"/>
      <c r="C7" s="30"/>
      <c r="D7" s="21"/>
      <c r="E7" s="27"/>
      <c r="F7" s="31">
        <f t="shared" si="0"/>
        <v>0</v>
      </c>
      <c r="G7" s="27">
        <f t="shared" si="1"/>
        <v>0</v>
      </c>
      <c r="H7" s="32">
        <f>IF(D7="no",0,F7*H2)</f>
        <v>0</v>
      </c>
      <c r="I7" s="33">
        <f t="shared" si="2"/>
        <v>0</v>
      </c>
      <c r="J7" s="26"/>
      <c r="K7" s="27">
        <f t="shared" si="3"/>
        <v>0</v>
      </c>
      <c r="L7" s="27">
        <f>IF(D7="no",F7*H2-J7,0)</f>
        <v>0</v>
      </c>
      <c r="M7" s="565" t="s">
        <v>19</v>
      </c>
      <c r="N7" s="564"/>
      <c r="O7" s="1"/>
      <c r="P7" s="3"/>
      <c r="Q7" s="34" t="s">
        <v>20</v>
      </c>
      <c r="R7" s="34" t="s">
        <v>18</v>
      </c>
      <c r="S7" s="1"/>
      <c r="T7" s="1"/>
      <c r="U7" s="4"/>
    </row>
    <row r="8" spans="1:21" ht="18.75" hidden="1" customHeight="1">
      <c r="A8" s="28"/>
      <c r="B8" s="29"/>
      <c r="C8" s="30"/>
      <c r="D8" s="21"/>
      <c r="E8" s="27"/>
      <c r="F8" s="31">
        <f t="shared" si="0"/>
        <v>0</v>
      </c>
      <c r="G8" s="27">
        <f t="shared" si="1"/>
        <v>0</v>
      </c>
      <c r="H8" s="32">
        <f>IF(D8="no",0,F8*H2)</f>
        <v>0</v>
      </c>
      <c r="I8" s="33">
        <f t="shared" si="2"/>
        <v>0</v>
      </c>
      <c r="J8" s="26"/>
      <c r="K8" s="27">
        <f t="shared" si="3"/>
        <v>0</v>
      </c>
      <c r="L8" s="27">
        <f>IF(D8="no",F8*H2-J8,0)</f>
        <v>0</v>
      </c>
      <c r="M8" s="641" t="s">
        <v>21</v>
      </c>
      <c r="N8" s="564"/>
      <c r="O8" s="1"/>
      <c r="P8" s="3"/>
      <c r="Q8" s="34" t="s">
        <v>22</v>
      </c>
      <c r="R8" s="34" t="s">
        <v>23</v>
      </c>
      <c r="S8" s="1"/>
      <c r="T8" s="1"/>
      <c r="U8" s="4"/>
    </row>
    <row r="9" spans="1:21" ht="18.75" hidden="1" customHeight="1">
      <c r="A9" s="28"/>
      <c r="B9" s="29"/>
      <c r="C9" s="30"/>
      <c r="D9" s="21"/>
      <c r="E9" s="27"/>
      <c r="F9" s="31">
        <f t="shared" si="0"/>
        <v>0</v>
      </c>
      <c r="G9" s="27">
        <f t="shared" si="1"/>
        <v>0</v>
      </c>
      <c r="H9" s="32">
        <f>IF(D9="no",0,F9*H2)</f>
        <v>0</v>
      </c>
      <c r="I9" s="33">
        <f t="shared" si="2"/>
        <v>0</v>
      </c>
      <c r="J9" s="26"/>
      <c r="K9" s="27">
        <f t="shared" si="3"/>
        <v>0</v>
      </c>
      <c r="L9" s="27">
        <f>IF(D9="no",F9*H2-J9,0)</f>
        <v>0</v>
      </c>
      <c r="M9" s="565" t="s">
        <v>19</v>
      </c>
      <c r="N9" s="564"/>
      <c r="O9" s="1"/>
      <c r="P9" s="3"/>
      <c r="Q9" s="35" t="s">
        <v>24</v>
      </c>
      <c r="R9" s="35"/>
      <c r="S9" s="1"/>
      <c r="T9" s="1"/>
      <c r="U9" s="4"/>
    </row>
    <row r="10" spans="1:21" ht="18.75" hidden="1" customHeight="1">
      <c r="A10" s="28"/>
      <c r="B10" s="29"/>
      <c r="C10" s="30"/>
      <c r="D10" s="21"/>
      <c r="E10" s="27"/>
      <c r="F10" s="31"/>
      <c r="G10" s="27"/>
      <c r="H10" s="32"/>
      <c r="I10" s="33"/>
      <c r="J10" s="26"/>
      <c r="K10" s="27"/>
      <c r="L10" s="27"/>
      <c r="M10" s="565" t="s">
        <v>19</v>
      </c>
      <c r="N10" s="564"/>
      <c r="O10" s="1"/>
      <c r="P10" s="3">
        <f>SUM(P5:P9)</f>
        <v>0</v>
      </c>
      <c r="Q10" s="35"/>
      <c r="R10" s="35"/>
      <c r="S10" s="1"/>
      <c r="T10" s="1"/>
      <c r="U10" s="4"/>
    </row>
    <row r="11" spans="1:21" ht="18.75" hidden="1" customHeight="1">
      <c r="A11" s="28"/>
      <c r="B11" s="29"/>
      <c r="C11" s="30"/>
      <c r="D11" s="21"/>
      <c r="E11" s="27"/>
      <c r="F11" s="31">
        <f>IF(D11="no",E11,E11/1.1)</f>
        <v>0</v>
      </c>
      <c r="G11" s="27">
        <f>IF(D11="no",0,F11*0.1)</f>
        <v>0</v>
      </c>
      <c r="H11" s="32">
        <f>IF(D11="no",0,F11*H2)</f>
        <v>0</v>
      </c>
      <c r="I11" s="33">
        <f>IF(D11="no",0,H11*3.3%)</f>
        <v>0</v>
      </c>
      <c r="J11" s="26"/>
      <c r="K11" s="27">
        <f>IF(D11="no",0,H11-I11-J11)</f>
        <v>0</v>
      </c>
      <c r="L11" s="27"/>
      <c r="M11" s="565"/>
      <c r="N11" s="564"/>
      <c r="O11" s="1"/>
      <c r="P11" s="3"/>
      <c r="Q11" s="1"/>
      <c r="R11" s="1"/>
      <c r="S11" s="1"/>
      <c r="T11" s="1"/>
      <c r="U11" s="4"/>
    </row>
    <row r="12" spans="1:21" ht="18.75" hidden="1" customHeight="1">
      <c r="A12" s="28"/>
      <c r="B12" s="29"/>
      <c r="C12" s="30"/>
      <c r="D12" s="21"/>
      <c r="E12" s="27"/>
      <c r="F12" s="31"/>
      <c r="G12" s="27"/>
      <c r="H12" s="32"/>
      <c r="I12" s="33"/>
      <c r="J12" s="26"/>
      <c r="K12" s="27"/>
      <c r="L12" s="27"/>
      <c r="M12" s="565"/>
      <c r="N12" s="564"/>
      <c r="O12" s="1"/>
      <c r="P12" s="3"/>
      <c r="Q12" s="1"/>
      <c r="R12" s="1"/>
      <c r="S12" s="1"/>
      <c r="T12" s="1"/>
      <c r="U12" s="4"/>
    </row>
    <row r="13" spans="1:21" ht="18.75" hidden="1" customHeight="1">
      <c r="A13" s="28"/>
      <c r="B13" s="29"/>
      <c r="C13" s="30"/>
      <c r="D13" s="21"/>
      <c r="E13" s="27"/>
      <c r="F13" s="31">
        <f t="shared" ref="F13:F18" si="4">IF(D13="no",E13,E13/1.1)</f>
        <v>0</v>
      </c>
      <c r="G13" s="27">
        <f t="shared" ref="G13:G18" si="5">IF(D13="no",0,F13*0.1)</f>
        <v>0</v>
      </c>
      <c r="H13" s="32">
        <f>IF(D13="no",0,F13*H2)</f>
        <v>0</v>
      </c>
      <c r="I13" s="33">
        <f t="shared" ref="I13:I18" si="6">IF(D13="no",0,H13*3.3%)</f>
        <v>0</v>
      </c>
      <c r="J13" s="26"/>
      <c r="K13" s="27">
        <f t="shared" ref="K13:K18" si="7">IF(D13="no",0,H13-I13-J13)</f>
        <v>0</v>
      </c>
      <c r="L13" s="27"/>
      <c r="M13" s="565"/>
      <c r="N13" s="564"/>
      <c r="O13" s="1"/>
      <c r="P13" s="3"/>
      <c r="Q13" s="1"/>
      <c r="R13" s="1"/>
      <c r="S13" s="1"/>
      <c r="T13" s="1"/>
      <c r="U13" s="4"/>
    </row>
    <row r="14" spans="1:21" ht="18.75" hidden="1" customHeight="1">
      <c r="A14" s="28"/>
      <c r="B14" s="29"/>
      <c r="C14" s="30"/>
      <c r="D14" s="21"/>
      <c r="E14" s="27"/>
      <c r="F14" s="31">
        <f t="shared" si="4"/>
        <v>0</v>
      </c>
      <c r="G14" s="27">
        <f t="shared" si="5"/>
        <v>0</v>
      </c>
      <c r="H14" s="32">
        <f>IF(D14="no",0,F14*H2)</f>
        <v>0</v>
      </c>
      <c r="I14" s="33">
        <f t="shared" si="6"/>
        <v>0</v>
      </c>
      <c r="J14" s="26"/>
      <c r="K14" s="27">
        <f t="shared" si="7"/>
        <v>0</v>
      </c>
      <c r="L14" s="27"/>
      <c r="M14" s="641" t="s">
        <v>25</v>
      </c>
      <c r="N14" s="564"/>
      <c r="O14" s="1"/>
      <c r="P14" s="3"/>
      <c r="Q14" s="1"/>
      <c r="R14" s="3"/>
      <c r="S14" s="1"/>
      <c r="T14" s="1"/>
      <c r="U14" s="4"/>
    </row>
    <row r="15" spans="1:21" ht="18.75" hidden="1" customHeight="1">
      <c r="A15" s="28"/>
      <c r="B15" s="29"/>
      <c r="C15" s="30"/>
      <c r="D15" s="21"/>
      <c r="E15" s="27"/>
      <c r="F15" s="31">
        <f t="shared" si="4"/>
        <v>0</v>
      </c>
      <c r="G15" s="27">
        <f t="shared" si="5"/>
        <v>0</v>
      </c>
      <c r="H15" s="32">
        <f>IF(D15="no",0,F15*H2)</f>
        <v>0</v>
      </c>
      <c r="I15" s="33">
        <f t="shared" si="6"/>
        <v>0</v>
      </c>
      <c r="J15" s="26"/>
      <c r="K15" s="27">
        <f t="shared" si="7"/>
        <v>0</v>
      </c>
      <c r="L15" s="27"/>
      <c r="M15" s="572"/>
      <c r="N15" s="564"/>
      <c r="O15" s="1"/>
      <c r="P15" s="3"/>
      <c r="Q15" s="1"/>
      <c r="R15" s="3"/>
      <c r="S15" s="1"/>
      <c r="T15" s="1"/>
      <c r="U15" s="4"/>
    </row>
    <row r="16" spans="1:21" ht="18.75" hidden="1" customHeight="1">
      <c r="A16" s="28"/>
      <c r="B16" s="29"/>
      <c r="C16" s="30"/>
      <c r="D16" s="21"/>
      <c r="E16" s="27"/>
      <c r="F16" s="31">
        <f t="shared" si="4"/>
        <v>0</v>
      </c>
      <c r="G16" s="27">
        <f t="shared" si="5"/>
        <v>0</v>
      </c>
      <c r="H16" s="32">
        <f>IF(D16="no",0,F16*H2)</f>
        <v>0</v>
      </c>
      <c r="I16" s="33">
        <f t="shared" si="6"/>
        <v>0</v>
      </c>
      <c r="J16" s="26"/>
      <c r="K16" s="27">
        <f t="shared" si="7"/>
        <v>0</v>
      </c>
      <c r="L16" s="27"/>
      <c r="M16" s="663" t="s">
        <v>26</v>
      </c>
      <c r="N16" s="564"/>
      <c r="O16" s="1"/>
      <c r="P16" s="3"/>
      <c r="Q16" s="1"/>
      <c r="R16" s="3"/>
      <c r="S16" s="1"/>
      <c r="T16" s="1"/>
      <c r="U16" s="4"/>
    </row>
    <row r="17" spans="1:21" ht="18.75" hidden="1" customHeight="1">
      <c r="A17" s="28"/>
      <c r="B17" s="29"/>
      <c r="C17" s="30"/>
      <c r="D17" s="21"/>
      <c r="E17" s="27"/>
      <c r="F17" s="31">
        <f t="shared" si="4"/>
        <v>0</v>
      </c>
      <c r="G17" s="27">
        <f t="shared" si="5"/>
        <v>0</v>
      </c>
      <c r="H17" s="32">
        <f>IF(D17="no",0,F17*H2)</f>
        <v>0</v>
      </c>
      <c r="I17" s="33">
        <f t="shared" si="6"/>
        <v>0</v>
      </c>
      <c r="J17" s="26"/>
      <c r="K17" s="27">
        <f t="shared" si="7"/>
        <v>0</v>
      </c>
      <c r="L17" s="27"/>
      <c r="M17" s="563" t="s">
        <v>27</v>
      </c>
      <c r="N17" s="564"/>
      <c r="O17" s="1"/>
      <c r="P17" s="3"/>
      <c r="Q17" s="3"/>
      <c r="R17" s="3"/>
      <c r="S17" s="1"/>
      <c r="T17" s="1"/>
      <c r="U17" s="4"/>
    </row>
    <row r="18" spans="1:21" ht="18.75" hidden="1" customHeight="1">
      <c r="A18" s="28"/>
      <c r="B18" s="29"/>
      <c r="C18" s="30"/>
      <c r="D18" s="21"/>
      <c r="E18" s="27"/>
      <c r="F18" s="31">
        <f t="shared" si="4"/>
        <v>0</v>
      </c>
      <c r="G18" s="27">
        <f t="shared" si="5"/>
        <v>0</v>
      </c>
      <c r="H18" s="32">
        <f>IF(D18="no",0,F18*H2)</f>
        <v>0</v>
      </c>
      <c r="I18" s="33">
        <f t="shared" si="6"/>
        <v>0</v>
      </c>
      <c r="J18" s="26"/>
      <c r="K18" s="27">
        <f t="shared" si="7"/>
        <v>0</v>
      </c>
      <c r="L18" s="27"/>
      <c r="M18" s="613" t="s">
        <v>28</v>
      </c>
      <c r="N18" s="564"/>
      <c r="O18" s="1"/>
      <c r="P18" s="3"/>
      <c r="Q18" s="1"/>
      <c r="R18" s="3"/>
      <c r="S18" s="1"/>
      <c r="T18" s="1"/>
      <c r="U18" s="4"/>
    </row>
    <row r="19" spans="1:21" ht="18.75" hidden="1" customHeight="1">
      <c r="A19" s="28"/>
      <c r="B19" s="29"/>
      <c r="C19" s="30"/>
      <c r="D19" s="21"/>
      <c r="E19" s="27"/>
      <c r="F19" s="31"/>
      <c r="G19" s="27"/>
      <c r="H19" s="32"/>
      <c r="I19" s="33"/>
      <c r="J19" s="26"/>
      <c r="K19" s="27"/>
      <c r="L19" s="27"/>
      <c r="M19" s="663"/>
      <c r="N19" s="564"/>
      <c r="O19" s="1"/>
      <c r="P19" s="36"/>
      <c r="Q19" s="1"/>
      <c r="R19" s="1"/>
      <c r="S19" s="1"/>
      <c r="T19" s="1"/>
      <c r="U19" s="4"/>
    </row>
    <row r="20" spans="1:21" ht="18.75" hidden="1" customHeight="1">
      <c r="A20" s="28"/>
      <c r="B20" s="29"/>
      <c r="C20" s="30"/>
      <c r="D20" s="21"/>
      <c r="E20" s="27"/>
      <c r="F20" s="31"/>
      <c r="G20" s="27"/>
      <c r="H20" s="32"/>
      <c r="I20" s="33"/>
      <c r="J20" s="26"/>
      <c r="K20" s="27"/>
      <c r="L20" s="27"/>
      <c r="M20" s="563"/>
      <c r="N20" s="564"/>
      <c r="O20" s="1"/>
      <c r="P20" s="36"/>
      <c r="Q20" s="1"/>
      <c r="R20" s="1"/>
      <c r="S20" s="1"/>
      <c r="T20" s="1"/>
      <c r="U20" s="4"/>
    </row>
    <row r="21" spans="1:21" ht="18.75" customHeight="1">
      <c r="A21" s="28"/>
      <c r="B21" s="29"/>
      <c r="C21" s="30"/>
      <c r="D21" s="21"/>
      <c r="E21" s="27"/>
      <c r="F21" s="31"/>
      <c r="G21" s="27"/>
      <c r="H21" s="37"/>
      <c r="I21" s="33">
        <f t="shared" ref="I21:I28" si="8">IF(D21="no",0,H21*3.3%)</f>
        <v>0</v>
      </c>
      <c r="J21" s="26"/>
      <c r="K21" s="27">
        <f t="shared" ref="K21:K27" si="9">IF(D21="no",0,H21-I21-J21)</f>
        <v>0</v>
      </c>
      <c r="L21" s="27"/>
      <c r="M21" s="578" t="s">
        <v>29</v>
      </c>
      <c r="N21" s="564"/>
      <c r="O21" s="1"/>
      <c r="P21" s="3"/>
      <c r="Q21" s="1"/>
      <c r="R21" s="1"/>
      <c r="S21" s="1"/>
      <c r="T21" s="1"/>
      <c r="U21" s="4"/>
    </row>
    <row r="22" spans="1:21" ht="18.75" customHeight="1">
      <c r="A22" s="28"/>
      <c r="B22" s="29"/>
      <c r="C22" s="30"/>
      <c r="D22" s="38"/>
      <c r="E22" s="27"/>
      <c r="F22" s="31"/>
      <c r="G22" s="27"/>
      <c r="H22" s="37"/>
      <c r="I22" s="33">
        <f t="shared" si="8"/>
        <v>0</v>
      </c>
      <c r="J22" s="26"/>
      <c r="K22" s="27">
        <f t="shared" si="9"/>
        <v>0</v>
      </c>
      <c r="L22" s="27">
        <f>IF(D22="no",F22*H9-J22,0)</f>
        <v>0</v>
      </c>
      <c r="M22" s="572" t="s">
        <v>30</v>
      </c>
      <c r="N22" s="564"/>
      <c r="O22" s="1"/>
      <c r="P22" s="3">
        <v>2092516</v>
      </c>
      <c r="Q22" s="1"/>
      <c r="R22" s="1"/>
      <c r="S22" s="1"/>
      <c r="T22" s="1"/>
      <c r="U22" s="4"/>
    </row>
    <row r="23" spans="1:21" ht="18.75" customHeight="1">
      <c r="A23" s="28"/>
      <c r="B23" s="29"/>
      <c r="C23" s="30"/>
      <c r="D23" s="21"/>
      <c r="E23" s="27"/>
      <c r="F23" s="31">
        <f t="shared" ref="F23:F26" si="10">IF(D23="no",E23,E23/1.1)</f>
        <v>0</v>
      </c>
      <c r="G23" s="27">
        <f t="shared" ref="G23:G26" si="11">IF(D23="no",0,F23*0.1)</f>
        <v>0</v>
      </c>
      <c r="H23" s="32">
        <f>IF(D23="no",0,F23*H2)</f>
        <v>0</v>
      </c>
      <c r="I23" s="33">
        <f t="shared" si="8"/>
        <v>0</v>
      </c>
      <c r="J23" s="26"/>
      <c r="K23" s="27">
        <f t="shared" si="9"/>
        <v>0</v>
      </c>
      <c r="L23" s="27"/>
      <c r="M23" s="572" t="s">
        <v>31</v>
      </c>
      <c r="N23" s="564"/>
      <c r="O23" s="1"/>
      <c r="P23" s="3">
        <v>2842287</v>
      </c>
      <c r="Q23" s="1"/>
      <c r="R23" s="1"/>
      <c r="S23" s="1"/>
      <c r="T23" s="1"/>
      <c r="U23" s="4"/>
    </row>
    <row r="24" spans="1:21" ht="18.75" customHeight="1">
      <c r="A24" s="39" t="s">
        <v>616</v>
      </c>
      <c r="B24" s="29" t="s">
        <v>33</v>
      </c>
      <c r="C24" s="30"/>
      <c r="D24" s="21"/>
      <c r="E24" s="27"/>
      <c r="F24" s="31">
        <f t="shared" si="10"/>
        <v>0</v>
      </c>
      <c r="G24" s="27">
        <f t="shared" si="11"/>
        <v>0</v>
      </c>
      <c r="H24" s="32"/>
      <c r="I24" s="33">
        <f t="shared" si="8"/>
        <v>0</v>
      </c>
      <c r="J24" s="26"/>
      <c r="K24" s="27">
        <f t="shared" si="9"/>
        <v>0</v>
      </c>
      <c r="L24" s="40">
        <f>IF(D24="no",F24*H5-J24,0)</f>
        <v>0</v>
      </c>
      <c r="M24" s="572" t="s">
        <v>34</v>
      </c>
      <c r="N24" s="564"/>
      <c r="O24" s="1"/>
      <c r="P24" s="3">
        <v>2110836</v>
      </c>
      <c r="Q24" s="1"/>
      <c r="R24" s="32"/>
      <c r="S24" s="1"/>
      <c r="T24" s="1"/>
      <c r="U24" s="4"/>
    </row>
    <row r="25" spans="1:21" ht="18.75" customHeight="1">
      <c r="A25" s="39" t="s">
        <v>616</v>
      </c>
      <c r="B25" s="29" t="s">
        <v>35</v>
      </c>
      <c r="C25" s="30"/>
      <c r="D25" s="21"/>
      <c r="E25" s="27"/>
      <c r="F25" s="31">
        <f t="shared" si="10"/>
        <v>0</v>
      </c>
      <c r="G25" s="27">
        <f t="shared" si="11"/>
        <v>0</v>
      </c>
      <c r="H25" s="37">
        <f>(E30+E31+N30)/0.967</f>
        <v>0</v>
      </c>
      <c r="I25" s="33">
        <f t="shared" si="8"/>
        <v>0</v>
      </c>
      <c r="J25" s="26"/>
      <c r="K25" s="27">
        <f t="shared" si="9"/>
        <v>0</v>
      </c>
      <c r="L25" s="27">
        <f t="shared" ref="L25:L26" si="12">IF(D25="no",F25*H8-J25,0)</f>
        <v>0</v>
      </c>
      <c r="M25" s="572" t="s">
        <v>36</v>
      </c>
      <c r="N25" s="564"/>
      <c r="O25" s="1"/>
      <c r="P25" s="3">
        <v>2054302</v>
      </c>
      <c r="Q25" s="1"/>
      <c r="R25" s="1"/>
      <c r="S25" s="1"/>
      <c r="T25" s="1"/>
      <c r="U25" s="4"/>
    </row>
    <row r="26" spans="1:21" ht="18.75" customHeight="1">
      <c r="A26" s="39" t="s">
        <v>616</v>
      </c>
      <c r="B26" s="1" t="s">
        <v>37</v>
      </c>
      <c r="C26" s="30"/>
      <c r="D26" s="38"/>
      <c r="E26" s="27"/>
      <c r="F26" s="31">
        <f t="shared" si="10"/>
        <v>0</v>
      </c>
      <c r="G26" s="27">
        <f t="shared" si="11"/>
        <v>0</v>
      </c>
      <c r="H26" s="32">
        <v>0</v>
      </c>
      <c r="I26" s="33">
        <f t="shared" si="8"/>
        <v>0</v>
      </c>
      <c r="J26" s="26"/>
      <c r="K26" s="27">
        <f t="shared" si="9"/>
        <v>0</v>
      </c>
      <c r="L26" s="27">
        <f t="shared" si="12"/>
        <v>0</v>
      </c>
      <c r="M26" s="572" t="s">
        <v>38</v>
      </c>
      <c r="N26" s="564"/>
      <c r="O26" s="1"/>
      <c r="P26" s="3">
        <v>814269</v>
      </c>
      <c r="Q26" s="41"/>
      <c r="R26" s="3"/>
      <c r="S26" s="1"/>
      <c r="T26" s="1"/>
      <c r="U26" s="4"/>
    </row>
    <row r="27" spans="1:21" ht="18.75" customHeight="1">
      <c r="A27" s="39" t="s">
        <v>616</v>
      </c>
      <c r="B27" s="1" t="s">
        <v>39</v>
      </c>
      <c r="C27" s="30"/>
      <c r="D27" s="21"/>
      <c r="E27" s="27"/>
      <c r="F27" s="31"/>
      <c r="G27" s="27"/>
      <c r="H27" s="32"/>
      <c r="I27" s="33">
        <f t="shared" si="8"/>
        <v>0</v>
      </c>
      <c r="J27" s="26"/>
      <c r="K27" s="27">
        <f t="shared" si="9"/>
        <v>0</v>
      </c>
      <c r="L27" s="27">
        <f>IF(D27="no",F27*H11-J27,0)</f>
        <v>0</v>
      </c>
      <c r="M27" s="578" t="s">
        <v>40</v>
      </c>
      <c r="N27" s="564"/>
      <c r="O27" s="1"/>
      <c r="P27" s="3"/>
      <c r="Q27" s="41"/>
      <c r="R27" s="3"/>
      <c r="S27" s="1"/>
      <c r="T27" s="1"/>
      <c r="U27" s="4"/>
    </row>
    <row r="28" spans="1:21" ht="18.75" customHeight="1">
      <c r="A28" s="39" t="s">
        <v>616</v>
      </c>
      <c r="B28" s="29" t="s">
        <v>41</v>
      </c>
      <c r="C28" s="30"/>
      <c r="D28" s="21"/>
      <c r="E28" s="27"/>
      <c r="F28" s="31">
        <f>IF(D28="no",E28,E28/1.1)</f>
        <v>0</v>
      </c>
      <c r="G28" s="27">
        <f>IF(D28="no",0,F28*0.1)</f>
        <v>0</v>
      </c>
      <c r="H28" s="32"/>
      <c r="I28" s="33">
        <f t="shared" si="8"/>
        <v>0</v>
      </c>
      <c r="J28" s="26"/>
      <c r="K28" s="27"/>
      <c r="L28" s="27">
        <v>0</v>
      </c>
      <c r="M28" s="625" t="s">
        <v>438</v>
      </c>
      <c r="N28" s="601"/>
      <c r="O28" s="1"/>
      <c r="P28" s="24">
        <f>SUM(P22:P26)</f>
        <v>9914210</v>
      </c>
      <c r="Q28" s="41"/>
      <c r="R28" s="3"/>
      <c r="S28" s="1"/>
      <c r="T28" s="1"/>
      <c r="U28" s="4"/>
    </row>
    <row r="29" spans="1:21" ht="18.75" customHeight="1">
      <c r="A29" s="575" t="s">
        <v>42</v>
      </c>
      <c r="B29" s="576"/>
      <c r="C29" s="576"/>
      <c r="D29" s="577"/>
      <c r="E29" s="42">
        <f t="shared" ref="E29:L29" si="13">SUM(E4:E28)</f>
        <v>0</v>
      </c>
      <c r="F29" s="17">
        <f t="shared" si="13"/>
        <v>0</v>
      </c>
      <c r="G29" s="42">
        <f t="shared" si="13"/>
        <v>0</v>
      </c>
      <c r="H29" s="43">
        <f t="shared" si="13"/>
        <v>0</v>
      </c>
      <c r="I29" s="42">
        <f t="shared" si="13"/>
        <v>0</v>
      </c>
      <c r="J29" s="43">
        <f t="shared" si="13"/>
        <v>0</v>
      </c>
      <c r="K29" s="42">
        <f t="shared" si="13"/>
        <v>0</v>
      </c>
      <c r="L29" s="42">
        <f t="shared" si="13"/>
        <v>0</v>
      </c>
      <c r="M29" s="44"/>
      <c r="N29" s="45"/>
      <c r="O29" s="1"/>
      <c r="P29" s="3"/>
      <c r="Q29" s="1"/>
      <c r="R29" s="1"/>
      <c r="S29" s="1"/>
      <c r="T29" s="1"/>
      <c r="U29" s="4"/>
    </row>
    <row r="30" spans="1:21" ht="18.75" customHeight="1">
      <c r="A30" s="46" t="s">
        <v>37</v>
      </c>
      <c r="B30" s="47" t="s">
        <v>43</v>
      </c>
      <c r="C30" s="48">
        <f>D2</f>
        <v>0</v>
      </c>
      <c r="D30" s="47" t="s">
        <v>44</v>
      </c>
      <c r="E30" s="49"/>
      <c r="F30" s="50" t="s">
        <v>45</v>
      </c>
      <c r="G30" s="51">
        <f>C108+C136+C163+C369+C399+C213+C337+C236+C260+C284+C302+C418+C441</f>
        <v>46</v>
      </c>
      <c r="H30" s="52"/>
      <c r="I30" s="53" t="s">
        <v>46</v>
      </c>
      <c r="J30" s="54"/>
      <c r="K30" s="50"/>
      <c r="L30" s="55"/>
      <c r="M30" s="654"/>
      <c r="N30" s="581"/>
      <c r="O30" s="1"/>
      <c r="P30" s="3" t="s">
        <v>47</v>
      </c>
      <c r="Q30" s="1"/>
      <c r="R30" s="1"/>
      <c r="S30" s="1"/>
      <c r="T30" s="1"/>
      <c r="U30" s="4"/>
    </row>
    <row r="31" spans="1:21" ht="17.25" customHeight="1" thickBot="1">
      <c r="A31" s="56" t="s">
        <v>48</v>
      </c>
      <c r="B31" s="57" t="s">
        <v>49</v>
      </c>
      <c r="C31" s="58">
        <f>ROUND(F29/10000,0)</f>
        <v>0</v>
      </c>
      <c r="D31" s="57" t="s">
        <v>50</v>
      </c>
      <c r="E31" s="52"/>
      <c r="F31" s="59" t="s">
        <v>51</v>
      </c>
      <c r="G31" s="60">
        <f>C109+C137+C164+C214+C237+C261+C338+C370+C400+C285+C303+C419+C442</f>
        <v>8932</v>
      </c>
      <c r="H31" s="52"/>
      <c r="I31" s="59"/>
      <c r="J31" s="61"/>
      <c r="K31" s="59"/>
      <c r="L31" s="62"/>
      <c r="M31" s="63"/>
      <c r="N31" s="64"/>
      <c r="O31" s="1"/>
      <c r="P31" s="3"/>
      <c r="Q31" s="1"/>
      <c r="R31" s="1"/>
      <c r="S31" s="1"/>
      <c r="T31" s="1"/>
      <c r="U31" s="4"/>
    </row>
    <row r="32" spans="1:21" ht="18.75" customHeight="1" thickBot="1">
      <c r="A32" s="566" t="s">
        <v>52</v>
      </c>
      <c r="B32" s="567"/>
      <c r="C32" s="567"/>
      <c r="D32" s="568"/>
      <c r="E32" s="65"/>
      <c r="F32" s="569" t="s">
        <v>53</v>
      </c>
      <c r="G32" s="568"/>
      <c r="H32" s="66">
        <f>H29-J30</f>
        <v>0</v>
      </c>
      <c r="I32" s="67">
        <f>H32*3.3%</f>
        <v>0</v>
      </c>
      <c r="J32" s="68">
        <f>SUM(J29)</f>
        <v>0</v>
      </c>
      <c r="K32" s="69">
        <v>5428700</v>
      </c>
      <c r="L32" s="70">
        <f>L29</f>
        <v>0</v>
      </c>
      <c r="M32" s="570">
        <f>K32</f>
        <v>5428700</v>
      </c>
      <c r="N32" s="571"/>
      <c r="O32" s="1"/>
      <c r="P32" s="3"/>
      <c r="Q32" s="1"/>
      <c r="R32" s="1"/>
      <c r="S32" s="1"/>
      <c r="T32" s="1"/>
      <c r="U32" s="4"/>
    </row>
    <row r="33" spans="1:21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3"/>
      <c r="Q33" s="1"/>
      <c r="R33" s="1"/>
      <c r="S33" s="1"/>
      <c r="T33" s="1"/>
      <c r="U33" s="4"/>
    </row>
    <row r="34" spans="1:21" ht="18.75" customHeight="1">
      <c r="A34" s="6" t="s">
        <v>54</v>
      </c>
      <c r="B34" s="7" t="s">
        <v>615</v>
      </c>
      <c r="C34" s="8" t="s">
        <v>1</v>
      </c>
      <c r="D34" s="9">
        <f>COUNTIF($C36:$C55,"계약")+(COUNTIF($C36:$C55,"계약2")*2)</f>
        <v>4</v>
      </c>
      <c r="E34" s="3">
        <f>COUNTIF(C36:C55,"낙찰수수료")</f>
        <v>0</v>
      </c>
      <c r="F34" s="10"/>
      <c r="G34" s="1"/>
      <c r="H34" s="11">
        <v>0.5</v>
      </c>
      <c r="I34" s="12">
        <v>3.3000000000000002E-2</v>
      </c>
      <c r="J34" s="1"/>
      <c r="K34" s="1"/>
      <c r="L34" s="1"/>
      <c r="M34" s="1"/>
      <c r="N34" s="1"/>
      <c r="O34" s="1"/>
      <c r="P34" s="3"/>
      <c r="Q34" s="1"/>
      <c r="R34" s="1"/>
      <c r="S34" s="1"/>
      <c r="T34" s="1"/>
      <c r="U34" s="4"/>
    </row>
    <row r="35" spans="1:21" ht="18.75" customHeight="1">
      <c r="A35" s="13" t="s">
        <v>3</v>
      </c>
      <c r="B35" s="14" t="s">
        <v>4</v>
      </c>
      <c r="C35" s="14" t="s">
        <v>5</v>
      </c>
      <c r="D35" s="15" t="s">
        <v>6</v>
      </c>
      <c r="E35" s="16" t="s">
        <v>7</v>
      </c>
      <c r="F35" s="17" t="s">
        <v>8</v>
      </c>
      <c r="G35" s="14" t="s">
        <v>9</v>
      </c>
      <c r="H35" s="15" t="s">
        <v>10</v>
      </c>
      <c r="I35" s="14" t="s">
        <v>11</v>
      </c>
      <c r="J35" s="15" t="s">
        <v>12</v>
      </c>
      <c r="K35" s="14" t="s">
        <v>13</v>
      </c>
      <c r="L35" s="14" t="s">
        <v>14</v>
      </c>
      <c r="M35" s="579" t="s">
        <v>15</v>
      </c>
      <c r="N35" s="577"/>
      <c r="O35" s="1"/>
      <c r="P35" s="71"/>
      <c r="Q35" s="1"/>
      <c r="R35" s="1"/>
      <c r="S35" s="1"/>
      <c r="T35" s="1"/>
      <c r="U35" s="4"/>
    </row>
    <row r="36" spans="1:21" ht="18.75" customHeight="1">
      <c r="A36" s="28">
        <v>46029</v>
      </c>
      <c r="B36" s="29" t="s">
        <v>669</v>
      </c>
      <c r="C36" s="30" t="s">
        <v>671</v>
      </c>
      <c r="D36" s="21"/>
      <c r="E36" s="27">
        <v>2200000</v>
      </c>
      <c r="F36" s="31">
        <f t="shared" ref="F36:F44" si="14">IF(D36="no",E36,E36/1.1)</f>
        <v>1999999.9999999998</v>
      </c>
      <c r="G36" s="27">
        <f t="shared" ref="G36:G44" si="15">IF(D36="no",0,F36*0.1)</f>
        <v>200000</v>
      </c>
      <c r="H36" s="32">
        <f>IF(D36="no",0,F36*H34)</f>
        <v>999999.99999999988</v>
      </c>
      <c r="I36" s="33">
        <f t="shared" ref="I36:I44" si="16">IF(D36="no",0,H36*3.3%)</f>
        <v>33000</v>
      </c>
      <c r="J36" s="26"/>
      <c r="K36" s="27">
        <f t="shared" ref="K36:K44" si="17">IF(D36="no",0,H36-I36-J36)</f>
        <v>966999.99999999988</v>
      </c>
      <c r="L36" s="27">
        <f>IF(D36="no",F36*H34-J36,0)</f>
        <v>0</v>
      </c>
      <c r="M36" s="578"/>
      <c r="N36" s="564"/>
      <c r="O36" s="1"/>
      <c r="P36" s="72"/>
      <c r="Q36" s="1"/>
      <c r="R36" s="73"/>
      <c r="S36" s="1"/>
      <c r="T36" s="1"/>
      <c r="U36" s="4"/>
    </row>
    <row r="37" spans="1:21" ht="18.75" customHeight="1">
      <c r="A37" s="28">
        <v>46048</v>
      </c>
      <c r="B37" s="551" t="s">
        <v>670</v>
      </c>
      <c r="C37" s="30" t="s">
        <v>671</v>
      </c>
      <c r="D37" s="21"/>
      <c r="E37" s="27">
        <v>2200000</v>
      </c>
      <c r="F37" s="31">
        <f t="shared" si="14"/>
        <v>1999999.9999999998</v>
      </c>
      <c r="G37" s="27">
        <f t="shared" si="15"/>
        <v>200000</v>
      </c>
      <c r="H37" s="37">
        <f>IF(D37="no",0,F37*H482)</f>
        <v>999999.99999999988</v>
      </c>
      <c r="I37" s="33">
        <f t="shared" si="16"/>
        <v>33000</v>
      </c>
      <c r="J37" s="26"/>
      <c r="K37" s="27">
        <f t="shared" si="17"/>
        <v>966999.99999999988</v>
      </c>
      <c r="L37" s="27">
        <f>IF(D37="no",F37*H34-J37,0)</f>
        <v>0</v>
      </c>
      <c r="M37" s="578"/>
      <c r="N37" s="592"/>
      <c r="O37" s="1"/>
      <c r="P37" s="3"/>
      <c r="Q37" s="1"/>
      <c r="R37" s="1"/>
      <c r="S37" s="1"/>
      <c r="T37" s="1"/>
      <c r="U37" s="4"/>
    </row>
    <row r="38" spans="1:21" ht="18.75" hidden="1" customHeight="1">
      <c r="A38" s="28"/>
      <c r="B38" s="29"/>
      <c r="C38" s="30"/>
      <c r="D38" s="21"/>
      <c r="E38" s="27"/>
      <c r="F38" s="31">
        <f t="shared" si="14"/>
        <v>0</v>
      </c>
      <c r="G38" s="27">
        <f t="shared" si="15"/>
        <v>0</v>
      </c>
      <c r="H38" s="32">
        <f>IF(D38="no",0,F38*H34)</f>
        <v>0</v>
      </c>
      <c r="I38" s="33">
        <f t="shared" si="16"/>
        <v>0</v>
      </c>
      <c r="J38" s="26"/>
      <c r="K38" s="27">
        <f t="shared" si="17"/>
        <v>0</v>
      </c>
      <c r="L38" s="27">
        <f>IF(D38="no",F38*H34-J38,0)</f>
        <v>0</v>
      </c>
      <c r="M38" s="578"/>
      <c r="N38" s="564"/>
      <c r="O38" s="1"/>
      <c r="P38" s="3"/>
      <c r="Q38" s="1"/>
      <c r="R38" s="1"/>
      <c r="S38" s="1"/>
      <c r="T38" s="1"/>
      <c r="U38" s="4"/>
    </row>
    <row r="39" spans="1:21" ht="18.75" hidden="1" customHeight="1">
      <c r="A39" s="28"/>
      <c r="B39" s="29"/>
      <c r="C39" s="30"/>
      <c r="D39" s="21"/>
      <c r="E39" s="27"/>
      <c r="F39" s="31">
        <f t="shared" si="14"/>
        <v>0</v>
      </c>
      <c r="G39" s="27">
        <f t="shared" si="15"/>
        <v>0</v>
      </c>
      <c r="H39" s="32">
        <f>IF(D39="no",0,F39*H34)</f>
        <v>0</v>
      </c>
      <c r="I39" s="33">
        <f t="shared" si="16"/>
        <v>0</v>
      </c>
      <c r="J39" s="26"/>
      <c r="K39" s="27">
        <f t="shared" si="17"/>
        <v>0</v>
      </c>
      <c r="L39" s="27">
        <f>IF(D39="no",F39*H34-J39,0)</f>
        <v>0</v>
      </c>
      <c r="M39" s="565"/>
      <c r="N39" s="564"/>
      <c r="O39" s="74"/>
      <c r="P39" s="3"/>
      <c r="Q39" s="1"/>
      <c r="R39" s="1"/>
      <c r="S39" s="1"/>
      <c r="T39" s="1"/>
      <c r="U39" s="4"/>
    </row>
    <row r="40" spans="1:21" ht="18.75" hidden="1" customHeight="1">
      <c r="A40" s="28"/>
      <c r="B40" s="29"/>
      <c r="C40" s="30"/>
      <c r="D40" s="21"/>
      <c r="E40" s="27"/>
      <c r="F40" s="31">
        <f t="shared" si="14"/>
        <v>0</v>
      </c>
      <c r="G40" s="27">
        <f t="shared" si="15"/>
        <v>0</v>
      </c>
      <c r="H40" s="32">
        <f>IF(D40="no",0,F40*H34)</f>
        <v>0</v>
      </c>
      <c r="I40" s="33">
        <f t="shared" si="16"/>
        <v>0</v>
      </c>
      <c r="J40" s="26"/>
      <c r="K40" s="27">
        <f t="shared" si="17"/>
        <v>0</v>
      </c>
      <c r="L40" s="27">
        <f t="shared" ref="L40:L41" si="18">IF(D40="no",F40*H33-J40,0)</f>
        <v>0</v>
      </c>
      <c r="M40" s="578"/>
      <c r="N40" s="564"/>
      <c r="O40" s="1"/>
      <c r="P40" s="3"/>
      <c r="Q40" s="1"/>
      <c r="R40" s="1"/>
      <c r="S40" s="1"/>
      <c r="T40" s="1"/>
      <c r="U40" s="4"/>
    </row>
    <row r="41" spans="1:21" ht="18.75" hidden="1" customHeight="1">
      <c r="A41" s="28"/>
      <c r="B41" s="29"/>
      <c r="C41" s="30"/>
      <c r="D41" s="21"/>
      <c r="E41" s="27"/>
      <c r="F41" s="31">
        <f t="shared" si="14"/>
        <v>0</v>
      </c>
      <c r="G41" s="27">
        <f t="shared" si="15"/>
        <v>0</v>
      </c>
      <c r="H41" s="32">
        <f>IF(D41="no",0,F41*H34)</f>
        <v>0</v>
      </c>
      <c r="I41" s="33">
        <f t="shared" si="16"/>
        <v>0</v>
      </c>
      <c r="J41" s="26"/>
      <c r="K41" s="27">
        <f t="shared" si="17"/>
        <v>0</v>
      </c>
      <c r="L41" s="27">
        <f t="shared" si="18"/>
        <v>0</v>
      </c>
      <c r="M41" s="572"/>
      <c r="N41" s="564"/>
      <c r="O41" s="1"/>
      <c r="P41" s="3">
        <f>SUM(P36:P40)</f>
        <v>0</v>
      </c>
      <c r="Q41" s="1"/>
      <c r="R41" s="1"/>
      <c r="S41" s="1"/>
      <c r="T41" s="1"/>
      <c r="U41" s="4"/>
    </row>
    <row r="42" spans="1:21" ht="18.75" hidden="1" customHeight="1">
      <c r="A42" s="28"/>
      <c r="B42" s="29"/>
      <c r="C42" s="30"/>
      <c r="D42" s="21"/>
      <c r="E42" s="27"/>
      <c r="F42" s="31">
        <f t="shared" si="14"/>
        <v>0</v>
      </c>
      <c r="G42" s="27">
        <f t="shared" si="15"/>
        <v>0</v>
      </c>
      <c r="H42" s="32">
        <f>IF(D42="no",0,F42*H34)</f>
        <v>0</v>
      </c>
      <c r="I42" s="33">
        <f t="shared" si="16"/>
        <v>0</v>
      </c>
      <c r="J42" s="26"/>
      <c r="K42" s="27">
        <f t="shared" si="17"/>
        <v>0</v>
      </c>
      <c r="L42" s="27">
        <f>IF(D42="no",F42*H34-J42,0)</f>
        <v>0</v>
      </c>
      <c r="M42" s="563"/>
      <c r="N42" s="564"/>
      <c r="O42" s="1"/>
      <c r="P42" s="3"/>
      <c r="Q42" s="1"/>
      <c r="R42" s="1"/>
      <c r="S42" s="1"/>
      <c r="T42" s="1"/>
      <c r="U42" s="4"/>
    </row>
    <row r="43" spans="1:21" ht="18.75" hidden="1" customHeight="1">
      <c r="A43" s="28"/>
      <c r="B43" s="29"/>
      <c r="C43" s="30"/>
      <c r="D43" s="21"/>
      <c r="E43" s="27"/>
      <c r="F43" s="31">
        <f t="shared" si="14"/>
        <v>0</v>
      </c>
      <c r="G43" s="27">
        <f t="shared" si="15"/>
        <v>0</v>
      </c>
      <c r="H43" s="32">
        <f>IF(D43="no",0,F43*H34)</f>
        <v>0</v>
      </c>
      <c r="I43" s="33">
        <f t="shared" si="16"/>
        <v>0</v>
      </c>
      <c r="J43" s="26"/>
      <c r="K43" s="27">
        <f t="shared" si="17"/>
        <v>0</v>
      </c>
      <c r="L43" s="27">
        <f t="shared" ref="L43:L44" si="19">IF(D43="no",F43*H34-J43,0)</f>
        <v>0</v>
      </c>
      <c r="M43" s="578"/>
      <c r="N43" s="564"/>
      <c r="O43" s="1"/>
      <c r="P43" s="3"/>
      <c r="Q43" s="1"/>
      <c r="R43" s="1"/>
      <c r="S43" s="1"/>
      <c r="T43" s="1"/>
      <c r="U43" s="4"/>
    </row>
    <row r="44" spans="1:21" ht="18.75" hidden="1" customHeight="1">
      <c r="A44" s="28"/>
      <c r="B44" s="29"/>
      <c r="C44" s="30"/>
      <c r="D44" s="21"/>
      <c r="E44" s="27"/>
      <c r="F44" s="31">
        <f t="shared" si="14"/>
        <v>0</v>
      </c>
      <c r="G44" s="27">
        <f t="shared" si="15"/>
        <v>0</v>
      </c>
      <c r="H44" s="32">
        <f>IF(D44="no",0,F44*H34)</f>
        <v>0</v>
      </c>
      <c r="I44" s="33">
        <f t="shared" si="16"/>
        <v>0</v>
      </c>
      <c r="J44" s="26"/>
      <c r="K44" s="27">
        <f t="shared" si="17"/>
        <v>0</v>
      </c>
      <c r="L44" s="27">
        <f t="shared" si="19"/>
        <v>0</v>
      </c>
      <c r="M44" s="572"/>
      <c r="N44" s="564"/>
      <c r="O44" s="1"/>
      <c r="P44" s="3"/>
      <c r="Q44" s="1"/>
      <c r="R44" s="1"/>
      <c r="S44" s="1"/>
      <c r="T44" s="1"/>
      <c r="U44" s="4"/>
    </row>
    <row r="45" spans="1:21" ht="18.75" hidden="1" customHeight="1">
      <c r="A45" s="28"/>
      <c r="B45" s="29"/>
      <c r="C45" s="30"/>
      <c r="D45" s="21"/>
      <c r="E45" s="27"/>
      <c r="F45" s="31"/>
      <c r="G45" s="27"/>
      <c r="H45" s="32"/>
      <c r="I45" s="33"/>
      <c r="J45" s="26"/>
      <c r="K45" s="27"/>
      <c r="L45" s="27"/>
      <c r="M45" s="563"/>
      <c r="N45" s="564"/>
      <c r="O45" s="1"/>
      <c r="P45" s="3"/>
      <c r="Q45" s="1"/>
      <c r="R45" s="1"/>
      <c r="S45" s="1"/>
      <c r="T45" s="1"/>
      <c r="U45" s="4"/>
    </row>
    <row r="46" spans="1:21" ht="18.75" hidden="1" customHeight="1">
      <c r="A46" s="28"/>
      <c r="B46" s="29"/>
      <c r="C46" s="30"/>
      <c r="D46" s="21"/>
      <c r="E46" s="27"/>
      <c r="F46" s="31">
        <f>IF(D46="no",E46,E46/1.1)</f>
        <v>0</v>
      </c>
      <c r="G46" s="27">
        <f>IF(D46="no",0,F46*0.1)</f>
        <v>0</v>
      </c>
      <c r="H46" s="32">
        <f>IF(D46="no",0,F46*H34)</f>
        <v>0</v>
      </c>
      <c r="I46" s="33">
        <f>IF(D46="no",0,H46*3.3%)</f>
        <v>0</v>
      </c>
      <c r="J46" s="26"/>
      <c r="K46" s="27">
        <f>IF(D46="no",0,H46-I46-J46)</f>
        <v>0</v>
      </c>
      <c r="L46" s="27">
        <f>IF(D46="no",F46*H34-J46,0)</f>
        <v>0</v>
      </c>
      <c r="M46" s="572"/>
      <c r="N46" s="564"/>
      <c r="O46" s="1"/>
      <c r="P46" s="3"/>
      <c r="Q46" s="1"/>
      <c r="R46" s="1"/>
      <c r="S46" s="1"/>
      <c r="T46" s="1"/>
      <c r="U46" s="4"/>
    </row>
    <row r="47" spans="1:21" ht="18.75" hidden="1" customHeight="1">
      <c r="A47" s="28"/>
      <c r="B47" s="29"/>
      <c r="C47" s="30"/>
      <c r="D47" s="21"/>
      <c r="E47" s="27"/>
      <c r="F47" s="31"/>
      <c r="G47" s="27"/>
      <c r="H47" s="32"/>
      <c r="I47" s="33"/>
      <c r="J47" s="26"/>
      <c r="K47" s="27"/>
      <c r="L47" s="27"/>
      <c r="M47" s="563"/>
      <c r="N47" s="564"/>
      <c r="O47" s="1"/>
      <c r="P47" s="3"/>
      <c r="Q47" s="1"/>
      <c r="R47" s="1"/>
      <c r="S47" s="1"/>
      <c r="T47" s="1"/>
      <c r="U47" s="4"/>
    </row>
    <row r="48" spans="1:21" ht="18.75" hidden="1" customHeight="1">
      <c r="A48" s="28"/>
      <c r="B48" s="29"/>
      <c r="C48" s="30"/>
      <c r="D48" s="21"/>
      <c r="E48" s="27"/>
      <c r="F48" s="31">
        <f t="shared" ref="F48:F55" si="20">IF(D48="no",E48,E48/1.1)</f>
        <v>0</v>
      </c>
      <c r="G48" s="27">
        <f t="shared" ref="G48:G55" si="21">IF(D48="no",0,F48*0.1)</f>
        <v>0</v>
      </c>
      <c r="H48" s="32">
        <f>IF(D48="no",0,F48*H36)</f>
        <v>0</v>
      </c>
      <c r="I48" s="33">
        <f t="shared" ref="I48:I51" si="22">IF(D48="no",0,H48*3.3%)</f>
        <v>0</v>
      </c>
      <c r="J48" s="26"/>
      <c r="K48" s="27">
        <f t="shared" ref="K48:K55" si="23">IF(D48="no",0,H48-I48-J48)</f>
        <v>0</v>
      </c>
      <c r="L48" s="27">
        <f>IF(D48="no",F48*H36-J48,0)</f>
        <v>0</v>
      </c>
      <c r="M48" s="563"/>
      <c r="N48" s="564"/>
      <c r="O48" s="1"/>
      <c r="P48" s="3"/>
      <c r="Q48" s="1"/>
      <c r="R48" s="1"/>
      <c r="S48" s="1"/>
      <c r="T48" s="1"/>
      <c r="U48" s="4"/>
    </row>
    <row r="49" spans="1:21" ht="18.75" hidden="1" customHeight="1">
      <c r="A49" s="28"/>
      <c r="B49" s="29"/>
      <c r="C49" s="30"/>
      <c r="D49" s="21"/>
      <c r="E49" s="27"/>
      <c r="F49" s="31">
        <f t="shared" si="20"/>
        <v>0</v>
      </c>
      <c r="G49" s="27">
        <f t="shared" si="21"/>
        <v>0</v>
      </c>
      <c r="H49" s="32">
        <f>IF(D49="no",0,F49*H34)</f>
        <v>0</v>
      </c>
      <c r="I49" s="33">
        <f t="shared" si="22"/>
        <v>0</v>
      </c>
      <c r="J49" s="26"/>
      <c r="K49" s="27">
        <f t="shared" si="23"/>
        <v>0</v>
      </c>
      <c r="L49" s="27">
        <f>IF(D49="no",F49*H34-J49,0)</f>
        <v>0</v>
      </c>
      <c r="M49" s="572"/>
      <c r="N49" s="564"/>
      <c r="O49" s="1"/>
      <c r="P49" s="3"/>
      <c r="Q49" s="1"/>
      <c r="R49" s="1"/>
      <c r="S49" s="1"/>
      <c r="T49" s="1"/>
      <c r="U49" s="4"/>
    </row>
    <row r="50" spans="1:21" ht="18.75" customHeight="1">
      <c r="A50" s="28"/>
      <c r="B50" s="29"/>
      <c r="C50" s="30"/>
      <c r="D50" s="21"/>
      <c r="E50" s="27"/>
      <c r="F50" s="31">
        <f t="shared" si="20"/>
        <v>0</v>
      </c>
      <c r="G50" s="27">
        <f t="shared" si="21"/>
        <v>0</v>
      </c>
      <c r="H50" s="32">
        <f>IF(D50="no",0,F50*H34)</f>
        <v>0</v>
      </c>
      <c r="I50" s="33">
        <f t="shared" si="22"/>
        <v>0</v>
      </c>
      <c r="J50" s="26"/>
      <c r="K50" s="27">
        <f t="shared" si="23"/>
        <v>0</v>
      </c>
      <c r="L50" s="27">
        <f>IF(D50="no",F50*H34-J50,0)</f>
        <v>0</v>
      </c>
      <c r="M50" s="608"/>
      <c r="N50" s="564"/>
      <c r="O50" s="1"/>
      <c r="P50" s="3"/>
      <c r="Q50" s="1"/>
      <c r="R50" s="1"/>
      <c r="S50" s="1"/>
      <c r="T50" s="1"/>
      <c r="U50" s="4"/>
    </row>
    <row r="51" spans="1:21" ht="18.75" customHeight="1">
      <c r="A51" s="39" t="s">
        <v>616</v>
      </c>
      <c r="B51" s="29" t="s">
        <v>432</v>
      </c>
      <c r="C51" s="30"/>
      <c r="D51" s="21"/>
      <c r="E51" s="27"/>
      <c r="F51" s="31">
        <f t="shared" si="20"/>
        <v>0</v>
      </c>
      <c r="G51" s="27">
        <f t="shared" si="21"/>
        <v>0</v>
      </c>
      <c r="H51" s="32">
        <v>0</v>
      </c>
      <c r="I51" s="33">
        <f t="shared" si="22"/>
        <v>0</v>
      </c>
      <c r="J51" s="26">
        <v>0</v>
      </c>
      <c r="K51" s="22">
        <f t="shared" si="23"/>
        <v>0</v>
      </c>
      <c r="L51" s="27">
        <f>IF(D51="no",F51*H34-J51,0)</f>
        <v>0</v>
      </c>
      <c r="M51" s="608"/>
      <c r="N51" s="564"/>
      <c r="O51" s="1"/>
      <c r="P51" s="3"/>
      <c r="Q51" s="32"/>
      <c r="R51" s="1"/>
      <c r="S51" s="1"/>
      <c r="T51" s="1"/>
      <c r="U51" s="4"/>
    </row>
    <row r="52" spans="1:21" ht="18.75" customHeight="1">
      <c r="A52" s="39" t="s">
        <v>616</v>
      </c>
      <c r="B52" s="29" t="s">
        <v>57</v>
      </c>
      <c r="C52" s="30"/>
      <c r="D52" s="21"/>
      <c r="E52" s="27"/>
      <c r="F52" s="31">
        <f t="shared" si="20"/>
        <v>0</v>
      </c>
      <c r="G52" s="27">
        <f t="shared" si="21"/>
        <v>0</v>
      </c>
      <c r="H52" s="37">
        <v>0</v>
      </c>
      <c r="I52" s="33">
        <f>IF(D53="no",0,H52*3.3%)</f>
        <v>0</v>
      </c>
      <c r="J52" s="26"/>
      <c r="K52" s="27">
        <f>IF(D53="no",0,H52-I52-J53)</f>
        <v>0</v>
      </c>
      <c r="L52" s="40">
        <f>IF(D52="no",F52*H34-J52,0)</f>
        <v>0</v>
      </c>
      <c r="M52" s="578"/>
      <c r="N52" s="564"/>
      <c r="O52" s="1"/>
      <c r="P52" s="3"/>
      <c r="Q52" s="1"/>
      <c r="R52" s="1"/>
      <c r="S52" s="1"/>
      <c r="T52" s="1"/>
      <c r="U52" s="4"/>
    </row>
    <row r="53" spans="1:21" ht="18.75" customHeight="1">
      <c r="A53" s="39" t="s">
        <v>616</v>
      </c>
      <c r="B53" s="29" t="s">
        <v>494</v>
      </c>
      <c r="C53" s="30"/>
      <c r="D53" s="21"/>
      <c r="E53" s="27"/>
      <c r="F53" s="31">
        <f t="shared" si="20"/>
        <v>0</v>
      </c>
      <c r="G53" s="27">
        <f t="shared" si="21"/>
        <v>0</v>
      </c>
      <c r="H53" s="37">
        <v>0</v>
      </c>
      <c r="I53" s="33">
        <f>IF(D54="no",0,H53*3.3%)</f>
        <v>0</v>
      </c>
      <c r="J53" s="26"/>
      <c r="K53" s="27">
        <f>IF(D54="no",0,H53-I53-J54)</f>
        <v>0</v>
      </c>
      <c r="L53" s="40">
        <f>IF(D53="no",F53*H35-J53,0)</f>
        <v>0</v>
      </c>
      <c r="M53" s="578"/>
      <c r="N53" s="564"/>
      <c r="O53" s="1"/>
      <c r="P53" s="3"/>
      <c r="Q53" s="1"/>
      <c r="R53" s="1"/>
      <c r="S53" s="1"/>
      <c r="T53" s="1"/>
      <c r="U53" s="4"/>
    </row>
    <row r="54" spans="1:21" ht="18.75" customHeight="1">
      <c r="A54" s="39" t="s">
        <v>616</v>
      </c>
      <c r="B54" s="29" t="s">
        <v>37</v>
      </c>
      <c r="C54" s="30"/>
      <c r="D54" s="21"/>
      <c r="E54" s="27"/>
      <c r="F54" s="31">
        <f t="shared" si="20"/>
        <v>0</v>
      </c>
      <c r="G54" s="27">
        <f t="shared" si="21"/>
        <v>0</v>
      </c>
      <c r="H54" s="37"/>
      <c r="I54" s="33">
        <f>IF(D55="no",0,H54*3.3%)</f>
        <v>0</v>
      </c>
      <c r="J54" s="26"/>
      <c r="K54" s="27">
        <f t="shared" si="23"/>
        <v>0</v>
      </c>
      <c r="L54" s="40">
        <f>IF(D54="no",F54*H36-J54,0)</f>
        <v>0</v>
      </c>
      <c r="M54" s="578"/>
      <c r="N54" s="564"/>
      <c r="O54" s="1"/>
      <c r="P54" s="3"/>
      <c r="Q54" s="1"/>
      <c r="R54" s="1"/>
      <c r="S54" s="1"/>
      <c r="T54" s="1"/>
      <c r="U54" s="4"/>
    </row>
    <row r="55" spans="1:21" ht="18.75" customHeight="1">
      <c r="A55" s="39" t="s">
        <v>616</v>
      </c>
      <c r="B55" s="29" t="s">
        <v>39</v>
      </c>
      <c r="C55" s="30"/>
      <c r="D55" s="38"/>
      <c r="E55" s="27"/>
      <c r="F55" s="31">
        <f t="shared" si="20"/>
        <v>0</v>
      </c>
      <c r="G55" s="27">
        <f t="shared" si="21"/>
        <v>0</v>
      </c>
      <c r="H55" s="32">
        <v>2000000</v>
      </c>
      <c r="I55" s="33">
        <f t="shared" ref="I55" si="24">IF(D55="no",0,H55*3.3%)</f>
        <v>66000</v>
      </c>
      <c r="J55" s="26"/>
      <c r="K55" s="27">
        <f t="shared" si="23"/>
        <v>1934000</v>
      </c>
      <c r="L55" s="27">
        <f>IF(D55="no",F55*H34-J55,0)</f>
        <v>0</v>
      </c>
      <c r="M55" s="625"/>
      <c r="N55" s="665"/>
      <c r="O55" s="1"/>
      <c r="P55" s="3"/>
      <c r="Q55" s="1"/>
      <c r="R55" s="1"/>
      <c r="S55" s="1"/>
      <c r="T55" s="1"/>
      <c r="U55" s="4"/>
    </row>
    <row r="56" spans="1:21" ht="18.75" customHeight="1">
      <c r="A56" s="575" t="s">
        <v>42</v>
      </c>
      <c r="B56" s="576"/>
      <c r="C56" s="576"/>
      <c r="D56" s="577"/>
      <c r="E56" s="42">
        <f t="shared" ref="E56:L56" si="25">SUM(E36:E55)</f>
        <v>4400000</v>
      </c>
      <c r="F56" s="17">
        <f t="shared" si="25"/>
        <v>3999999.9999999995</v>
      </c>
      <c r="G56" s="42">
        <f t="shared" si="25"/>
        <v>400000</v>
      </c>
      <c r="H56" s="43">
        <f t="shared" si="25"/>
        <v>4000000</v>
      </c>
      <c r="I56" s="42">
        <f t="shared" si="25"/>
        <v>132000</v>
      </c>
      <c r="J56" s="43">
        <f t="shared" si="25"/>
        <v>0</v>
      </c>
      <c r="K56" s="42">
        <f t="shared" si="25"/>
        <v>3868000</v>
      </c>
      <c r="L56" s="42">
        <f t="shared" si="25"/>
        <v>0</v>
      </c>
      <c r="M56" s="44"/>
      <c r="N56" s="45"/>
      <c r="O56" s="74"/>
      <c r="P56" s="3"/>
      <c r="Q56" s="1"/>
      <c r="R56" s="1"/>
      <c r="S56" s="1"/>
      <c r="T56" s="1"/>
      <c r="U56" s="4"/>
    </row>
    <row r="57" spans="1:21" ht="18.75" customHeight="1">
      <c r="A57" s="46" t="s">
        <v>37</v>
      </c>
      <c r="B57" s="47" t="s">
        <v>43</v>
      </c>
      <c r="C57" s="48">
        <f>D34</f>
        <v>4</v>
      </c>
      <c r="D57" s="47" t="s">
        <v>44</v>
      </c>
      <c r="E57" s="49"/>
      <c r="F57" s="50"/>
      <c r="G57" s="51"/>
      <c r="H57" s="52"/>
      <c r="I57" s="53" t="s">
        <v>46</v>
      </c>
      <c r="J57" s="54"/>
      <c r="K57" s="50"/>
      <c r="L57" s="55"/>
      <c r="M57" s="63"/>
      <c r="N57" s="64"/>
      <c r="O57" s="1"/>
      <c r="P57" s="3"/>
      <c r="Q57" s="1"/>
      <c r="R57" s="1"/>
      <c r="S57" s="1"/>
      <c r="T57" s="1"/>
      <c r="U57" s="4"/>
    </row>
    <row r="58" spans="1:21" ht="18.75" hidden="1" customHeight="1">
      <c r="A58" s="75"/>
      <c r="B58" s="57"/>
      <c r="C58" s="76"/>
      <c r="D58" s="57"/>
      <c r="E58" s="52"/>
      <c r="F58" s="59"/>
      <c r="G58" s="60"/>
      <c r="H58" s="52"/>
      <c r="I58" s="63"/>
      <c r="J58" s="77"/>
      <c r="K58" s="59"/>
      <c r="L58" s="62"/>
      <c r="M58" s="78"/>
      <c r="N58" s="79"/>
      <c r="O58" s="1"/>
      <c r="P58" s="3"/>
      <c r="Q58" s="1"/>
      <c r="R58" s="1"/>
      <c r="S58" s="1"/>
      <c r="T58" s="1"/>
      <c r="U58" s="4"/>
    </row>
    <row r="59" spans="1:21" ht="18.75" customHeight="1" thickBot="1">
      <c r="A59" s="56" t="s">
        <v>48</v>
      </c>
      <c r="B59" s="57" t="s">
        <v>49</v>
      </c>
      <c r="C59" s="58">
        <f>ROUND(F56/10000,0)</f>
        <v>400</v>
      </c>
      <c r="D59" s="57" t="s">
        <v>50</v>
      </c>
      <c r="E59" s="52"/>
      <c r="F59" s="59"/>
      <c r="G59" s="80"/>
      <c r="H59" s="52"/>
      <c r="I59" s="59"/>
      <c r="J59" s="61"/>
      <c r="K59" s="59"/>
      <c r="L59" s="81"/>
      <c r="M59" s="664" t="s">
        <v>58</v>
      </c>
      <c r="N59" s="611"/>
      <c r="O59" s="1"/>
      <c r="P59" s="3"/>
      <c r="Q59" s="1"/>
      <c r="R59" s="1"/>
      <c r="S59" s="1"/>
      <c r="T59" s="1"/>
      <c r="U59" s="4"/>
    </row>
    <row r="60" spans="1:21" ht="18.75" customHeight="1" thickBot="1">
      <c r="A60" s="566" t="s">
        <v>52</v>
      </c>
      <c r="B60" s="567"/>
      <c r="C60" s="567"/>
      <c r="D60" s="568"/>
      <c r="E60" s="65"/>
      <c r="F60" s="569" t="s">
        <v>53</v>
      </c>
      <c r="G60" s="568"/>
      <c r="H60" s="66">
        <f>H56-J57</f>
        <v>4000000</v>
      </c>
      <c r="I60" s="67">
        <f>H60*3.3%</f>
        <v>132000</v>
      </c>
      <c r="J60" s="68">
        <f>SUM(J57)</f>
        <v>0</v>
      </c>
      <c r="K60" s="69">
        <f>H60-I60-J60</f>
        <v>3868000</v>
      </c>
      <c r="L60" s="70"/>
      <c r="M60" s="570">
        <f>K60+L60</f>
        <v>3868000</v>
      </c>
      <c r="N60" s="571"/>
      <c r="O60" s="1"/>
      <c r="P60" s="3"/>
      <c r="Q60" s="1"/>
      <c r="R60" s="1"/>
      <c r="S60" s="1"/>
      <c r="T60" s="1"/>
      <c r="U60" s="4"/>
    </row>
    <row r="61" spans="1:21" ht="15.75" customHeight="1">
      <c r="A61" s="1"/>
      <c r="B61" s="1"/>
      <c r="C61" s="1"/>
      <c r="D61" s="1"/>
      <c r="E61" s="1"/>
      <c r="F61" s="1"/>
      <c r="G61" s="1"/>
      <c r="H61" s="82">
        <v>1</v>
      </c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4"/>
    </row>
    <row r="62" spans="1:21" ht="18.75" customHeight="1">
      <c r="A62" s="6" t="s">
        <v>59</v>
      </c>
      <c r="B62" s="7" t="str">
        <f>$B$34</f>
        <v>1월</v>
      </c>
      <c r="C62" s="8" t="s">
        <v>1</v>
      </c>
      <c r="D62" s="9">
        <f>COUNTIF($C64:$C76,"계약")+(COUNTIF($C64:$C76,"계약2")*2)</f>
        <v>0</v>
      </c>
      <c r="E62" s="3">
        <f>COUNTIF(C64:C76,"낙찰수수료")</f>
        <v>0</v>
      </c>
      <c r="F62" s="3"/>
      <c r="G62" s="1" t="s">
        <v>60</v>
      </c>
      <c r="H62" s="11">
        <v>0.5</v>
      </c>
      <c r="I62" s="12">
        <v>3.3000000000000002E-2</v>
      </c>
      <c r="J62" s="1"/>
      <c r="K62" s="1"/>
      <c r="L62" s="1"/>
      <c r="M62" s="1"/>
      <c r="N62" s="1"/>
      <c r="O62" s="1"/>
      <c r="P62" s="3"/>
      <c r="Q62" s="1"/>
      <c r="R62" s="1"/>
      <c r="S62" s="1"/>
      <c r="T62" s="1"/>
      <c r="U62" s="4"/>
    </row>
    <row r="63" spans="1:21" ht="18.75" customHeight="1">
      <c r="A63" s="13" t="s">
        <v>3</v>
      </c>
      <c r="B63" s="14" t="s">
        <v>4</v>
      </c>
      <c r="C63" s="14" t="s">
        <v>5</v>
      </c>
      <c r="D63" s="15" t="s">
        <v>6</v>
      </c>
      <c r="E63" s="16" t="s">
        <v>7</v>
      </c>
      <c r="F63" s="17" t="s">
        <v>8</v>
      </c>
      <c r="G63" s="14" t="s">
        <v>9</v>
      </c>
      <c r="H63" s="15" t="s">
        <v>10</v>
      </c>
      <c r="I63" s="14" t="s">
        <v>11</v>
      </c>
      <c r="J63" s="15" t="s">
        <v>12</v>
      </c>
      <c r="K63" s="14" t="s">
        <v>13</v>
      </c>
      <c r="L63" s="14" t="s">
        <v>14</v>
      </c>
      <c r="M63" s="579" t="s">
        <v>15</v>
      </c>
      <c r="N63" s="577"/>
      <c r="O63" s="1"/>
      <c r="P63" s="3"/>
      <c r="Q63" s="1"/>
      <c r="R63" s="1"/>
      <c r="S63" s="1"/>
      <c r="T63" s="1"/>
      <c r="U63" s="4"/>
    </row>
    <row r="64" spans="1:21" ht="18.75" hidden="1" customHeight="1">
      <c r="A64" s="28"/>
      <c r="B64" s="29"/>
      <c r="C64" s="30"/>
      <c r="D64" s="21"/>
      <c r="E64" s="27"/>
      <c r="F64" s="31">
        <f t="shared" ref="F64:F72" si="26">IF(D64="no",E64,E64/1.1)</f>
        <v>0</v>
      </c>
      <c r="G64" s="27">
        <f t="shared" ref="G64:G72" si="27">IF(D64="no",0,F64*0.1)</f>
        <v>0</v>
      </c>
      <c r="H64" s="32">
        <f>IF(D64="no",0,F64*H62)</f>
        <v>0</v>
      </c>
      <c r="I64" s="33">
        <f t="shared" ref="I64:I76" si="28">IF(D64="no",0,H64*3.3%)</f>
        <v>0</v>
      </c>
      <c r="J64" s="26"/>
      <c r="K64" s="27">
        <f t="shared" ref="K64:K76" si="29">IF(D64="no",0,H64-I64-J64)</f>
        <v>0</v>
      </c>
      <c r="L64" s="27">
        <f>IF(D64="no",F64*H62-J64,0)</f>
        <v>0</v>
      </c>
      <c r="M64" s="580"/>
      <c r="N64" s="581"/>
      <c r="O64" s="1"/>
      <c r="P64" s="3"/>
      <c r="Q64" s="1"/>
      <c r="R64" s="1"/>
      <c r="S64" s="1"/>
      <c r="T64" s="1"/>
      <c r="U64" s="4"/>
    </row>
    <row r="65" spans="1:22" ht="18.75" hidden="1" customHeight="1">
      <c r="A65" s="28"/>
      <c r="B65" s="29"/>
      <c r="C65" s="30"/>
      <c r="D65" s="21"/>
      <c r="E65" s="27"/>
      <c r="F65" s="31">
        <f t="shared" si="26"/>
        <v>0</v>
      </c>
      <c r="G65" s="27">
        <f t="shared" si="27"/>
        <v>0</v>
      </c>
      <c r="H65" s="32">
        <f>IF(D65="no",0,F65*H62)</f>
        <v>0</v>
      </c>
      <c r="I65" s="33">
        <f t="shared" si="28"/>
        <v>0</v>
      </c>
      <c r="J65" s="26"/>
      <c r="K65" s="27">
        <f t="shared" si="29"/>
        <v>0</v>
      </c>
      <c r="L65" s="27">
        <f>IF(D65="no",F65*H62-J65,0)</f>
        <v>0</v>
      </c>
      <c r="M65" s="572"/>
      <c r="N65" s="564"/>
      <c r="O65" s="1"/>
      <c r="P65" s="3"/>
      <c r="Q65" s="1"/>
      <c r="R65" s="1"/>
      <c r="S65" s="1"/>
      <c r="T65" s="1"/>
      <c r="U65" s="4"/>
    </row>
    <row r="66" spans="1:22" ht="18.75" hidden="1" customHeight="1">
      <c r="A66" s="28"/>
      <c r="B66" s="29"/>
      <c r="C66" s="30"/>
      <c r="D66" s="21"/>
      <c r="E66" s="27"/>
      <c r="F66" s="31">
        <f t="shared" si="26"/>
        <v>0</v>
      </c>
      <c r="G66" s="27">
        <f t="shared" si="27"/>
        <v>0</v>
      </c>
      <c r="H66" s="32">
        <f>IF(D66="no",0,F66*H62)</f>
        <v>0</v>
      </c>
      <c r="I66" s="33">
        <f t="shared" si="28"/>
        <v>0</v>
      </c>
      <c r="J66" s="26"/>
      <c r="K66" s="27">
        <f t="shared" si="29"/>
        <v>0</v>
      </c>
      <c r="L66" s="27">
        <f>IF(D66="no",F66*H62-J66,0)</f>
        <v>0</v>
      </c>
      <c r="M66" s="572"/>
      <c r="N66" s="564"/>
      <c r="O66" s="1"/>
      <c r="P66" s="3"/>
      <c r="Q66" s="1"/>
      <c r="R66" s="1"/>
      <c r="S66" s="1"/>
      <c r="T66" s="1"/>
      <c r="U66" s="4"/>
    </row>
    <row r="67" spans="1:22" ht="18.75" hidden="1" customHeight="1">
      <c r="A67" s="28"/>
      <c r="B67" s="83"/>
      <c r="C67" s="30"/>
      <c r="D67" s="21"/>
      <c r="E67" s="27"/>
      <c r="F67" s="31">
        <f t="shared" si="26"/>
        <v>0</v>
      </c>
      <c r="G67" s="27">
        <f t="shared" si="27"/>
        <v>0</v>
      </c>
      <c r="H67" s="32">
        <f>IF(D67="no",0,F67*H62)</f>
        <v>0</v>
      </c>
      <c r="I67" s="33">
        <f t="shared" si="28"/>
        <v>0</v>
      </c>
      <c r="J67" s="26"/>
      <c r="K67" s="27">
        <f t="shared" si="29"/>
        <v>0</v>
      </c>
      <c r="L67" s="27">
        <f>IF(D67="no",F67*H62-J67,0)</f>
        <v>0</v>
      </c>
      <c r="M67" s="572"/>
      <c r="N67" s="564"/>
      <c r="O67" s="1"/>
      <c r="P67" s="3"/>
      <c r="Q67" s="1"/>
      <c r="R67" s="1"/>
      <c r="S67" s="1"/>
      <c r="T67" s="1"/>
      <c r="U67" s="4"/>
    </row>
    <row r="68" spans="1:22" ht="18.75" hidden="1" customHeight="1">
      <c r="A68" s="28"/>
      <c r="B68" s="29"/>
      <c r="C68" s="30"/>
      <c r="D68" s="21"/>
      <c r="E68" s="27"/>
      <c r="F68" s="31">
        <f t="shared" si="26"/>
        <v>0</v>
      </c>
      <c r="G68" s="27">
        <f t="shared" si="27"/>
        <v>0</v>
      </c>
      <c r="H68" s="32">
        <f>IF(D68="no",0,F68*H62)</f>
        <v>0</v>
      </c>
      <c r="I68" s="33">
        <f t="shared" si="28"/>
        <v>0</v>
      </c>
      <c r="J68" s="26"/>
      <c r="K68" s="27">
        <f t="shared" si="29"/>
        <v>0</v>
      </c>
      <c r="L68" s="27">
        <f>IF(D68="no",F68*H62-J68,0)</f>
        <v>0</v>
      </c>
      <c r="M68" s="572"/>
      <c r="N68" s="564"/>
      <c r="O68" s="1"/>
      <c r="P68" s="3"/>
      <c r="Q68" s="1"/>
      <c r="R68" s="1"/>
      <c r="S68" s="1"/>
      <c r="T68" s="1"/>
      <c r="U68" s="4"/>
    </row>
    <row r="69" spans="1:22" ht="18.75" hidden="1" customHeight="1">
      <c r="A69" s="28"/>
      <c r="B69" s="29"/>
      <c r="C69" s="30"/>
      <c r="D69" s="21"/>
      <c r="E69" s="27"/>
      <c r="F69" s="31">
        <f t="shared" si="26"/>
        <v>0</v>
      </c>
      <c r="G69" s="27">
        <f t="shared" si="27"/>
        <v>0</v>
      </c>
      <c r="H69" s="32">
        <f>IF(D69="no",0,F69*H62)</f>
        <v>0</v>
      </c>
      <c r="I69" s="33">
        <f t="shared" si="28"/>
        <v>0</v>
      </c>
      <c r="J69" s="26"/>
      <c r="K69" s="27">
        <f t="shared" si="29"/>
        <v>0</v>
      </c>
      <c r="L69" s="27">
        <f t="shared" ref="L69:L70" si="30">IF(D69="no",F69*H62-J69,0)</f>
        <v>0</v>
      </c>
      <c r="M69" s="572"/>
      <c r="N69" s="564"/>
      <c r="O69" s="1"/>
      <c r="P69" s="3"/>
      <c r="Q69" s="1"/>
      <c r="R69" s="1"/>
      <c r="S69" s="1"/>
      <c r="T69" s="1"/>
      <c r="U69" s="4"/>
    </row>
    <row r="70" spans="1:22" ht="18.75" hidden="1" customHeight="1">
      <c r="A70" s="28"/>
      <c r="B70" s="29"/>
      <c r="C70" s="30"/>
      <c r="D70" s="21"/>
      <c r="E70" s="27"/>
      <c r="F70" s="31">
        <f t="shared" si="26"/>
        <v>0</v>
      </c>
      <c r="G70" s="27">
        <f t="shared" si="27"/>
        <v>0</v>
      </c>
      <c r="H70" s="32">
        <f>IF(D70="no",0,F70*H62)</f>
        <v>0</v>
      </c>
      <c r="I70" s="33">
        <f t="shared" si="28"/>
        <v>0</v>
      </c>
      <c r="J70" s="26"/>
      <c r="K70" s="27">
        <f t="shared" si="29"/>
        <v>0</v>
      </c>
      <c r="L70" s="27">
        <f t="shared" si="30"/>
        <v>0</v>
      </c>
      <c r="M70" s="572"/>
      <c r="N70" s="564"/>
      <c r="O70" s="1"/>
      <c r="P70" s="3"/>
      <c r="Q70" s="1"/>
      <c r="R70" s="1"/>
      <c r="S70" s="1"/>
      <c r="T70" s="1"/>
      <c r="U70" s="4"/>
    </row>
    <row r="71" spans="1:22" ht="18.75" hidden="1" customHeight="1">
      <c r="A71" s="28"/>
      <c r="B71" s="29"/>
      <c r="C71" s="30"/>
      <c r="D71" s="21"/>
      <c r="E71" s="27"/>
      <c r="F71" s="31">
        <f t="shared" si="26"/>
        <v>0</v>
      </c>
      <c r="G71" s="27">
        <f t="shared" si="27"/>
        <v>0</v>
      </c>
      <c r="H71" s="32">
        <f>IF(D71="no",0,F71*H62)</f>
        <v>0</v>
      </c>
      <c r="I71" s="33">
        <f t="shared" si="28"/>
        <v>0</v>
      </c>
      <c r="J71" s="26"/>
      <c r="K71" s="27">
        <f t="shared" si="29"/>
        <v>0</v>
      </c>
      <c r="L71" s="27">
        <f>IF(D71="no",F71*H62-J71,0)</f>
        <v>0</v>
      </c>
      <c r="M71" s="572"/>
      <c r="N71" s="564"/>
      <c r="O71" s="1"/>
      <c r="P71" s="3"/>
      <c r="Q71" s="1"/>
      <c r="R71" s="1"/>
      <c r="S71" s="1"/>
      <c r="T71" s="1"/>
      <c r="U71" s="4"/>
    </row>
    <row r="72" spans="1:22" ht="18.75" hidden="1" customHeight="1">
      <c r="A72" s="28"/>
      <c r="B72" s="29"/>
      <c r="C72" s="30"/>
      <c r="D72" s="21"/>
      <c r="E72" s="27"/>
      <c r="F72" s="31">
        <f t="shared" si="26"/>
        <v>0</v>
      </c>
      <c r="G72" s="27">
        <f t="shared" si="27"/>
        <v>0</v>
      </c>
      <c r="H72" s="32">
        <f>IF(D72="no",0,F72*H62)</f>
        <v>0</v>
      </c>
      <c r="I72" s="33">
        <f t="shared" si="28"/>
        <v>0</v>
      </c>
      <c r="J72" s="26"/>
      <c r="K72" s="27">
        <f t="shared" si="29"/>
        <v>0</v>
      </c>
      <c r="L72" s="27">
        <f>IF(D72="no",F72*H62-J72,0)</f>
        <v>0</v>
      </c>
      <c r="M72" s="572"/>
      <c r="N72" s="564"/>
      <c r="O72" s="1"/>
      <c r="P72" s="3"/>
      <c r="Q72" s="1"/>
      <c r="R72" s="1"/>
      <c r="S72" s="1"/>
      <c r="T72" s="1"/>
      <c r="U72" s="4"/>
    </row>
    <row r="73" spans="1:22" ht="18.75" customHeight="1">
      <c r="A73" s="39"/>
      <c r="B73" s="29"/>
      <c r="C73" s="30"/>
      <c r="D73" s="38"/>
      <c r="E73" s="27"/>
      <c r="F73" s="31"/>
      <c r="G73" s="27"/>
      <c r="H73" s="32">
        <f>IF(D73="no",0,F73*H62)</f>
        <v>0</v>
      </c>
      <c r="I73" s="33">
        <f t="shared" si="28"/>
        <v>0</v>
      </c>
      <c r="J73" s="26"/>
      <c r="K73" s="27">
        <f t="shared" si="29"/>
        <v>0</v>
      </c>
      <c r="L73" s="27">
        <f>IF(D73="no",F73*H62-J73,0)</f>
        <v>0</v>
      </c>
      <c r="M73" s="578"/>
      <c r="N73" s="564"/>
      <c r="O73" s="1"/>
      <c r="P73" s="3"/>
      <c r="Q73" s="1"/>
      <c r="R73" s="1"/>
      <c r="S73" s="1"/>
      <c r="T73" s="1"/>
      <c r="U73" s="4"/>
    </row>
    <row r="74" spans="1:22" ht="18.75" customHeight="1">
      <c r="A74" s="39" t="s">
        <v>616</v>
      </c>
      <c r="B74" s="29" t="s">
        <v>61</v>
      </c>
      <c r="C74" s="30"/>
      <c r="D74" s="21"/>
      <c r="E74" s="27"/>
      <c r="F74" s="31">
        <f t="shared" ref="F74:F76" si="31">IF(D74="no",E74,E74/1.1)</f>
        <v>0</v>
      </c>
      <c r="G74" s="27">
        <f t="shared" ref="G74:G76" si="32">IF(D74="no",0,F74*0.1)</f>
        <v>0</v>
      </c>
      <c r="H74" s="32">
        <v>0</v>
      </c>
      <c r="I74" s="33">
        <f t="shared" si="28"/>
        <v>0</v>
      </c>
      <c r="J74" s="26"/>
      <c r="K74" s="27">
        <f t="shared" si="29"/>
        <v>0</v>
      </c>
      <c r="L74" s="27">
        <f>IF(D74="no",F74*H62-J74,0)</f>
        <v>0</v>
      </c>
      <c r="M74" s="578"/>
      <c r="N74" s="564"/>
      <c r="O74" s="1"/>
      <c r="P74" s="3"/>
      <c r="Q74" s="1"/>
      <c r="R74" s="1"/>
      <c r="S74" s="1"/>
      <c r="T74" s="1"/>
      <c r="U74" s="4"/>
    </row>
    <row r="75" spans="1:22" ht="18.75" customHeight="1">
      <c r="A75" s="39" t="s">
        <v>616</v>
      </c>
      <c r="B75" s="29" t="s">
        <v>35</v>
      </c>
      <c r="C75" s="30"/>
      <c r="D75" s="21"/>
      <c r="E75" s="27"/>
      <c r="F75" s="31">
        <f t="shared" si="31"/>
        <v>0</v>
      </c>
      <c r="G75" s="27">
        <f t="shared" si="32"/>
        <v>0</v>
      </c>
      <c r="H75" s="37">
        <f>(E78+E79+N78)/0.967</f>
        <v>0</v>
      </c>
      <c r="I75" s="33">
        <f t="shared" si="28"/>
        <v>0</v>
      </c>
      <c r="J75" s="26"/>
      <c r="K75" s="27">
        <f t="shared" si="29"/>
        <v>0</v>
      </c>
      <c r="L75" s="27"/>
      <c r="M75" s="572"/>
      <c r="N75" s="564"/>
      <c r="O75" s="1"/>
      <c r="P75" s="3"/>
      <c r="Q75" s="1"/>
      <c r="R75" s="1"/>
      <c r="S75" s="1"/>
      <c r="T75" s="1"/>
      <c r="U75" s="4"/>
      <c r="V75" s="561"/>
    </row>
    <row r="76" spans="1:22" ht="18.75" customHeight="1">
      <c r="A76" s="39" t="s">
        <v>616</v>
      </c>
      <c r="B76" s="29" t="s">
        <v>37</v>
      </c>
      <c r="C76" s="30"/>
      <c r="D76" s="38"/>
      <c r="E76" s="27"/>
      <c r="F76" s="31">
        <f t="shared" si="31"/>
        <v>0</v>
      </c>
      <c r="G76" s="27">
        <f t="shared" si="32"/>
        <v>0</v>
      </c>
      <c r="H76" s="37"/>
      <c r="I76" s="33">
        <f t="shared" si="28"/>
        <v>0</v>
      </c>
      <c r="J76" s="26"/>
      <c r="K76" s="27">
        <f t="shared" si="29"/>
        <v>0</v>
      </c>
      <c r="L76" s="27">
        <f>IF(D76="no",F76*H64-J76,0)</f>
        <v>0</v>
      </c>
      <c r="M76" s="572"/>
      <c r="N76" s="564"/>
      <c r="O76" s="1"/>
      <c r="P76" s="3"/>
      <c r="Q76" s="1"/>
      <c r="R76" s="1"/>
      <c r="S76" s="1"/>
      <c r="T76" s="1"/>
      <c r="U76" s="4"/>
    </row>
    <row r="77" spans="1:22" ht="18.75" customHeight="1">
      <c r="A77" s="575" t="s">
        <v>42</v>
      </c>
      <c r="B77" s="576"/>
      <c r="C77" s="576"/>
      <c r="D77" s="577"/>
      <c r="E77" s="42">
        <f t="shared" ref="E77:K77" si="33">SUM(E64:E76)</f>
        <v>0</v>
      </c>
      <c r="F77" s="17">
        <f t="shared" si="33"/>
        <v>0</v>
      </c>
      <c r="G77" s="42">
        <f t="shared" si="33"/>
        <v>0</v>
      </c>
      <c r="H77" s="43">
        <f>SUM(H64:H76)</f>
        <v>0</v>
      </c>
      <c r="I77" s="42">
        <f t="shared" si="33"/>
        <v>0</v>
      </c>
      <c r="J77" s="43">
        <f t="shared" si="33"/>
        <v>0</v>
      </c>
      <c r="K77" s="42">
        <f t="shared" si="33"/>
        <v>0</v>
      </c>
      <c r="L77" s="42"/>
      <c r="M77" s="44"/>
      <c r="N77" s="45"/>
      <c r="O77" s="1"/>
      <c r="P77" s="3"/>
      <c r="Q77" s="1"/>
      <c r="R77" s="1"/>
      <c r="S77" s="1"/>
      <c r="T77" s="1"/>
      <c r="U77" s="4"/>
    </row>
    <row r="78" spans="1:22" ht="18.75" customHeight="1">
      <c r="A78" s="46" t="s">
        <v>37</v>
      </c>
      <c r="B78" s="47" t="s">
        <v>43</v>
      </c>
      <c r="C78" s="48">
        <f>D62</f>
        <v>0</v>
      </c>
      <c r="D78" s="47" t="s">
        <v>44</v>
      </c>
      <c r="E78" s="49"/>
      <c r="F78" s="84"/>
      <c r="G78" s="85"/>
      <c r="H78" s="49"/>
      <c r="I78" s="53" t="s">
        <v>46</v>
      </c>
      <c r="J78" s="54"/>
      <c r="K78" s="50"/>
      <c r="L78" s="55"/>
      <c r="M78" s="63"/>
      <c r="N78" s="64"/>
      <c r="O78" s="1"/>
      <c r="P78" s="3"/>
      <c r="Q78" s="1"/>
      <c r="R78" s="1"/>
      <c r="S78" s="1"/>
      <c r="T78" s="1"/>
      <c r="U78" s="4"/>
    </row>
    <row r="79" spans="1:22" ht="18.75" customHeight="1" thickBot="1">
      <c r="A79" s="56" t="s">
        <v>48</v>
      </c>
      <c r="B79" s="57" t="s">
        <v>49</v>
      </c>
      <c r="C79" s="58">
        <f>ROUND(F77/10000,0)</f>
        <v>0</v>
      </c>
      <c r="D79" s="57" t="s">
        <v>50</v>
      </c>
      <c r="E79" s="52"/>
      <c r="F79" s="86"/>
      <c r="G79" s="87"/>
      <c r="H79" s="52"/>
      <c r="I79" s="59"/>
      <c r="J79" s="61"/>
      <c r="K79" s="59"/>
      <c r="L79" s="62"/>
      <c r="M79" s="63"/>
      <c r="N79" s="64"/>
      <c r="O79" s="1"/>
      <c r="P79" s="3"/>
      <c r="Q79" s="1"/>
      <c r="R79" s="1"/>
      <c r="S79" s="1"/>
      <c r="T79" s="1"/>
      <c r="U79" s="4"/>
    </row>
    <row r="80" spans="1:22" ht="18" customHeight="1" thickBot="1">
      <c r="A80" s="566" t="s">
        <v>52</v>
      </c>
      <c r="B80" s="567"/>
      <c r="C80" s="567"/>
      <c r="D80" s="568"/>
      <c r="E80" s="65"/>
      <c r="F80" s="569" t="s">
        <v>53</v>
      </c>
      <c r="G80" s="568"/>
      <c r="H80" s="66">
        <f>H77-J78</f>
        <v>0</v>
      </c>
      <c r="I80" s="67">
        <f>H80*3.3%</f>
        <v>0</v>
      </c>
      <c r="J80" s="68">
        <f>SUM(J77)</f>
        <v>0</v>
      </c>
      <c r="K80" s="69">
        <f>H80-I80-J80</f>
        <v>0</v>
      </c>
      <c r="L80" s="70"/>
      <c r="M80" s="570">
        <f>K80+L80</f>
        <v>0</v>
      </c>
      <c r="N80" s="571"/>
      <c r="O80" s="1"/>
      <c r="P80" s="3"/>
      <c r="Q80" s="1"/>
      <c r="R80" s="1"/>
      <c r="S80" s="1"/>
      <c r="T80" s="1"/>
      <c r="U80" s="4"/>
    </row>
    <row r="81" spans="1:21" ht="14.25" customHeight="1">
      <c r="A81" s="1"/>
      <c r="B81" s="1"/>
      <c r="C81" s="1"/>
      <c r="D81" s="1"/>
      <c r="E81" s="1"/>
      <c r="F81" s="1"/>
      <c r="G81" s="1"/>
      <c r="H81" s="141">
        <v>1</v>
      </c>
      <c r="I81" s="1"/>
      <c r="J81" s="1"/>
      <c r="K81" s="1"/>
      <c r="L81" s="1"/>
      <c r="M81" s="1"/>
      <c r="N81" s="1"/>
      <c r="O81" s="1"/>
      <c r="P81" s="72"/>
      <c r="Q81" s="88"/>
      <c r="R81" s="1"/>
      <c r="S81" s="1"/>
      <c r="T81" s="1"/>
      <c r="U81" s="4"/>
    </row>
    <row r="82" spans="1:21" ht="18.75" customHeight="1">
      <c r="A82" s="6" t="s">
        <v>62</v>
      </c>
      <c r="B82" s="7" t="str">
        <f>$B$34</f>
        <v>1월</v>
      </c>
      <c r="C82" s="8" t="s">
        <v>1</v>
      </c>
      <c r="D82" s="9">
        <f>COUNTIF($C84:$C96,"계약")+(COUNTIF($C84:$C96,"계약2")*2)</f>
        <v>0</v>
      </c>
      <c r="E82" s="3">
        <f>COUNTIF(C84:C106,"낙찰수수료")</f>
        <v>0</v>
      </c>
      <c r="F82" s="3"/>
      <c r="G82" s="89" t="s">
        <v>63</v>
      </c>
      <c r="H82" s="90">
        <v>0.5</v>
      </c>
      <c r="I82" s="12">
        <v>3.3000000000000002E-2</v>
      </c>
      <c r="J82" s="1"/>
      <c r="K82" s="1"/>
      <c r="L82" s="1"/>
      <c r="M82" s="1"/>
      <c r="N82" s="1"/>
      <c r="O82" s="1"/>
      <c r="P82" s="72"/>
      <c r="Q82" s="88"/>
      <c r="R82" s="1"/>
      <c r="S82" s="1"/>
      <c r="T82" s="1"/>
      <c r="U82" s="4"/>
    </row>
    <row r="83" spans="1:21" ht="18.75" customHeight="1">
      <c r="A83" s="13" t="s">
        <v>3</v>
      </c>
      <c r="B83" s="14" t="s">
        <v>4</v>
      </c>
      <c r="C83" s="14" t="s">
        <v>5</v>
      </c>
      <c r="D83" s="15" t="s">
        <v>6</v>
      </c>
      <c r="E83" s="16" t="s">
        <v>7</v>
      </c>
      <c r="F83" s="17" t="s">
        <v>8</v>
      </c>
      <c r="G83" s="14" t="s">
        <v>9</v>
      </c>
      <c r="H83" s="15" t="s">
        <v>10</v>
      </c>
      <c r="I83" s="14" t="s">
        <v>11</v>
      </c>
      <c r="J83" s="15" t="s">
        <v>12</v>
      </c>
      <c r="K83" s="14" t="s">
        <v>13</v>
      </c>
      <c r="L83" s="14" t="s">
        <v>14</v>
      </c>
      <c r="M83" s="579" t="s">
        <v>15</v>
      </c>
      <c r="N83" s="577"/>
      <c r="O83" s="1"/>
      <c r="P83" s="71"/>
      <c r="Q83" s="88"/>
      <c r="R83" s="1"/>
      <c r="S83" s="1"/>
      <c r="T83" s="1"/>
      <c r="U83" s="4"/>
    </row>
    <row r="84" spans="1:21" ht="18.75" customHeight="1">
      <c r="A84" s="28"/>
      <c r="B84" s="91"/>
      <c r="C84" s="30"/>
      <c r="D84" s="21"/>
      <c r="E84" s="27"/>
      <c r="F84" s="31">
        <f t="shared" ref="F84:F97" si="34">IF(D84="no",E84,E84/1.1)</f>
        <v>0</v>
      </c>
      <c r="G84" s="27">
        <f t="shared" ref="G84:G97" si="35">IF(D84="no",0,F84*0.1)</f>
        <v>0</v>
      </c>
      <c r="H84" s="32">
        <f>IF(D84="no",0,F84*H82)</f>
        <v>0</v>
      </c>
      <c r="I84" s="33">
        <f t="shared" ref="I84:I97" si="36">IF(D84="no",0,H84*3.3%)</f>
        <v>0</v>
      </c>
      <c r="J84" s="26"/>
      <c r="K84" s="27">
        <f t="shared" ref="K84:K98" si="37">IF(D84="no",0,H84-I84-J84)</f>
        <v>0</v>
      </c>
      <c r="L84" s="27">
        <f t="shared" ref="L84:L85" si="38">IF(D84="no",F84*H82-J84,0)</f>
        <v>0</v>
      </c>
      <c r="M84" s="582"/>
      <c r="N84" s="581"/>
      <c r="O84" s="1"/>
      <c r="P84" s="72"/>
      <c r="Q84" s="88"/>
      <c r="R84" s="1"/>
      <c r="S84" s="1"/>
      <c r="T84" s="1"/>
      <c r="U84" s="4"/>
    </row>
    <row r="85" spans="1:21" ht="18.75" hidden="1" customHeight="1">
      <c r="A85" s="28"/>
      <c r="B85" s="91"/>
      <c r="C85" s="30"/>
      <c r="D85" s="21"/>
      <c r="E85" s="27"/>
      <c r="F85" s="31">
        <f t="shared" si="34"/>
        <v>0</v>
      </c>
      <c r="G85" s="27">
        <f t="shared" si="35"/>
        <v>0</v>
      </c>
      <c r="H85" s="32">
        <f>IF(D85="no",0,F85*H82)</f>
        <v>0</v>
      </c>
      <c r="I85" s="33">
        <f t="shared" si="36"/>
        <v>0</v>
      </c>
      <c r="J85" s="26"/>
      <c r="K85" s="27">
        <f t="shared" si="37"/>
        <v>0</v>
      </c>
      <c r="L85" s="27">
        <f t="shared" si="38"/>
        <v>0</v>
      </c>
      <c r="M85" s="572"/>
      <c r="N85" s="564"/>
      <c r="O85" s="1"/>
      <c r="P85" s="72"/>
      <c r="Q85" s="88"/>
      <c r="R85" s="1"/>
      <c r="S85" s="1"/>
      <c r="T85" s="1"/>
      <c r="U85" s="4"/>
    </row>
    <row r="86" spans="1:21" ht="18.75" hidden="1" customHeight="1">
      <c r="A86" s="28"/>
      <c r="B86" s="91"/>
      <c r="C86" s="30"/>
      <c r="D86" s="21"/>
      <c r="E86" s="27"/>
      <c r="F86" s="31">
        <f t="shared" si="34"/>
        <v>0</v>
      </c>
      <c r="G86" s="27">
        <f t="shared" si="35"/>
        <v>0</v>
      </c>
      <c r="H86" s="32">
        <f>IF(D86="no",0,F86*H82)</f>
        <v>0</v>
      </c>
      <c r="I86" s="33">
        <f t="shared" si="36"/>
        <v>0</v>
      </c>
      <c r="J86" s="26"/>
      <c r="K86" s="27">
        <f t="shared" si="37"/>
        <v>0</v>
      </c>
      <c r="L86" s="27">
        <f>IF(D86="no",F86*H82-J86,0)</f>
        <v>0</v>
      </c>
      <c r="M86" s="572"/>
      <c r="N86" s="564"/>
      <c r="O86" s="1"/>
      <c r="P86" s="72" t="s">
        <v>506</v>
      </c>
      <c r="Q86" s="88"/>
      <c r="R86" s="1"/>
      <c r="S86" s="1"/>
      <c r="T86" s="1"/>
      <c r="U86" s="4"/>
    </row>
    <row r="87" spans="1:21" ht="18.75" hidden="1" customHeight="1">
      <c r="A87" s="28"/>
      <c r="B87" s="29"/>
      <c r="C87" s="30"/>
      <c r="D87" s="21"/>
      <c r="E87" s="27"/>
      <c r="F87" s="31">
        <f t="shared" si="34"/>
        <v>0</v>
      </c>
      <c r="G87" s="27">
        <f t="shared" si="35"/>
        <v>0</v>
      </c>
      <c r="H87" s="32">
        <f>IF(D87="no",0,F87*H82)</f>
        <v>0</v>
      </c>
      <c r="I87" s="33">
        <f t="shared" si="36"/>
        <v>0</v>
      </c>
      <c r="J87" s="26"/>
      <c r="K87" s="27">
        <f t="shared" si="37"/>
        <v>0</v>
      </c>
      <c r="L87" s="27">
        <f>IF(D87="no",F87*H82-J87,0)</f>
        <v>0</v>
      </c>
      <c r="M87" s="578"/>
      <c r="N87" s="564"/>
      <c r="O87" s="1"/>
      <c r="P87" s="72"/>
      <c r="Q87" s="88"/>
      <c r="R87" s="1"/>
      <c r="S87" s="1"/>
      <c r="T87" s="1"/>
      <c r="U87" s="4"/>
    </row>
    <row r="88" spans="1:21" ht="18.75" hidden="1" customHeight="1">
      <c r="A88" s="28"/>
      <c r="B88" s="91"/>
      <c r="C88" s="30"/>
      <c r="D88" s="21"/>
      <c r="E88" s="27"/>
      <c r="F88" s="31">
        <f t="shared" si="34"/>
        <v>0</v>
      </c>
      <c r="G88" s="27">
        <f t="shared" si="35"/>
        <v>0</v>
      </c>
      <c r="H88" s="32">
        <f>IF(D88="no",0,F88*H82)</f>
        <v>0</v>
      </c>
      <c r="I88" s="33">
        <f t="shared" si="36"/>
        <v>0</v>
      </c>
      <c r="J88" s="26"/>
      <c r="K88" s="27">
        <f t="shared" si="37"/>
        <v>0</v>
      </c>
      <c r="L88" s="27">
        <f t="shared" ref="L88" si="39">IF(D88="no",F88*H82-J88,0)</f>
        <v>0</v>
      </c>
      <c r="M88" s="572"/>
      <c r="N88" s="564"/>
      <c r="O88" s="1"/>
      <c r="P88" s="3"/>
      <c r="Q88" s="1"/>
      <c r="R88" s="1"/>
      <c r="S88" s="1"/>
      <c r="T88" s="1"/>
      <c r="U88" s="4"/>
    </row>
    <row r="89" spans="1:21" s="279" customFormat="1" ht="18.75" hidden="1" customHeight="1">
      <c r="A89" s="276"/>
      <c r="B89" s="277"/>
      <c r="C89" s="398"/>
      <c r="D89" s="278"/>
      <c r="E89" s="132"/>
      <c r="F89" s="133">
        <f t="shared" ref="F89" si="40">IF(D89="no",E89,E89/1.1)</f>
        <v>0</v>
      </c>
      <c r="G89" s="132">
        <f t="shared" ref="G89" si="41">IF(D89="no",0,F89*0.1)</f>
        <v>0</v>
      </c>
      <c r="H89" s="393">
        <f>IF(D89="no",0,F89*H82)</f>
        <v>0</v>
      </c>
      <c r="I89" s="134">
        <f t="shared" ref="I89" si="42">IF(D89="no",0,H89*3.3%)</f>
        <v>0</v>
      </c>
      <c r="J89" s="135"/>
      <c r="K89" s="132">
        <f t="shared" ref="K89" si="43">IF(D89="no",0,H89-I89-J89)</f>
        <v>0</v>
      </c>
      <c r="L89" s="22"/>
      <c r="M89" s="563"/>
      <c r="N89" s="627"/>
      <c r="O89" s="73"/>
      <c r="P89" s="24"/>
      <c r="Q89" s="73"/>
      <c r="R89" s="73"/>
      <c r="S89" s="73"/>
      <c r="T89" s="73"/>
      <c r="U89" s="92"/>
    </row>
    <row r="90" spans="1:21" ht="18.75" hidden="1" customHeight="1">
      <c r="A90" s="276"/>
      <c r="B90" s="277"/>
      <c r="C90" s="30"/>
      <c r="D90" s="278"/>
      <c r="E90" s="132"/>
      <c r="F90" s="31">
        <f t="shared" si="34"/>
        <v>0</v>
      </c>
      <c r="G90" s="27">
        <f t="shared" si="35"/>
        <v>0</v>
      </c>
      <c r="H90" s="32">
        <f>IF(D90="no",0,F90*H82)</f>
        <v>0</v>
      </c>
      <c r="I90" s="33">
        <f t="shared" si="36"/>
        <v>0</v>
      </c>
      <c r="J90" s="26"/>
      <c r="K90" s="27">
        <f t="shared" si="37"/>
        <v>0</v>
      </c>
      <c r="L90" s="27">
        <f t="shared" ref="L90:L94" si="44">IF(D90="no",F90*H82-J90,0)</f>
        <v>0</v>
      </c>
      <c r="M90" s="578"/>
      <c r="N90" s="564"/>
      <c r="O90" s="1"/>
      <c r="P90" s="3"/>
      <c r="Q90" s="1"/>
      <c r="R90" s="1"/>
      <c r="S90" s="1"/>
      <c r="T90" s="1"/>
      <c r="U90" s="4"/>
    </row>
    <row r="91" spans="1:21" ht="18.75" hidden="1" customHeight="1">
      <c r="A91" s="276"/>
      <c r="B91" s="277"/>
      <c r="C91" s="30"/>
      <c r="D91" s="278"/>
      <c r="E91" s="132"/>
      <c r="F91" s="133">
        <f t="shared" si="34"/>
        <v>0</v>
      </c>
      <c r="G91" s="132">
        <f t="shared" si="35"/>
        <v>0</v>
      </c>
      <c r="H91" s="32">
        <f>IF(D91="no",0,F91*H82)</f>
        <v>0</v>
      </c>
      <c r="I91" s="134">
        <f t="shared" si="36"/>
        <v>0</v>
      </c>
      <c r="J91" s="135"/>
      <c r="K91" s="132">
        <f t="shared" si="37"/>
        <v>0</v>
      </c>
      <c r="L91" s="22">
        <f t="shared" si="44"/>
        <v>0</v>
      </c>
      <c r="M91" s="572"/>
      <c r="N91" s="564"/>
      <c r="O91" s="73"/>
      <c r="P91" s="24"/>
      <c r="Q91" s="73"/>
      <c r="R91" s="73"/>
      <c r="S91" s="73"/>
      <c r="T91" s="73"/>
      <c r="U91" s="92"/>
    </row>
    <row r="92" spans="1:21" ht="18.75" hidden="1" customHeight="1">
      <c r="A92" s="28"/>
      <c r="B92" s="29"/>
      <c r="C92" s="30"/>
      <c r="D92" s="21"/>
      <c r="E92" s="27"/>
      <c r="F92" s="31">
        <f t="shared" si="34"/>
        <v>0</v>
      </c>
      <c r="G92" s="27">
        <f t="shared" si="35"/>
        <v>0</v>
      </c>
      <c r="H92" s="32">
        <f>IF(D92="no",0,F92*H82)</f>
        <v>0</v>
      </c>
      <c r="I92" s="33">
        <f t="shared" si="36"/>
        <v>0</v>
      </c>
      <c r="J92" s="26"/>
      <c r="K92" s="27">
        <f t="shared" si="37"/>
        <v>0</v>
      </c>
      <c r="L92" s="27">
        <f t="shared" si="44"/>
        <v>0</v>
      </c>
      <c r="M92" s="563"/>
      <c r="N92" s="564"/>
      <c r="O92" s="1"/>
      <c r="P92" s="3"/>
      <c r="Q92" s="1"/>
      <c r="R92" s="1"/>
      <c r="S92" s="1"/>
      <c r="T92" s="1"/>
      <c r="U92" s="4"/>
    </row>
    <row r="93" spans="1:21" ht="18.75" hidden="1" customHeight="1">
      <c r="A93" s="28"/>
      <c r="B93" s="29"/>
      <c r="C93" s="30"/>
      <c r="D93" s="21"/>
      <c r="E93" s="27"/>
      <c r="F93" s="31">
        <f t="shared" si="34"/>
        <v>0</v>
      </c>
      <c r="G93" s="27">
        <f t="shared" si="35"/>
        <v>0</v>
      </c>
      <c r="H93" s="32">
        <f>IF(D93="no",0,F93*H82)</f>
        <v>0</v>
      </c>
      <c r="I93" s="33">
        <f t="shared" si="36"/>
        <v>0</v>
      </c>
      <c r="J93" s="26"/>
      <c r="K93" s="27">
        <f t="shared" si="37"/>
        <v>0</v>
      </c>
      <c r="L93" s="27">
        <f t="shared" si="44"/>
        <v>0</v>
      </c>
      <c r="M93" s="572"/>
      <c r="N93" s="564"/>
      <c r="O93" s="1"/>
      <c r="P93" s="3"/>
      <c r="Q93" s="1"/>
      <c r="R93" s="1"/>
      <c r="S93" s="1"/>
      <c r="T93" s="1"/>
      <c r="U93" s="4"/>
    </row>
    <row r="94" spans="1:21" ht="18.75" hidden="1" customHeight="1">
      <c r="A94" s="28"/>
      <c r="B94" s="29"/>
      <c r="C94" s="30"/>
      <c r="D94" s="21"/>
      <c r="E94" s="27"/>
      <c r="F94" s="31">
        <f t="shared" si="34"/>
        <v>0</v>
      </c>
      <c r="G94" s="27">
        <f t="shared" si="35"/>
        <v>0</v>
      </c>
      <c r="H94" s="32">
        <f>IF(D94="no",0,F94*H82)</f>
        <v>0</v>
      </c>
      <c r="I94" s="33">
        <f t="shared" si="36"/>
        <v>0</v>
      </c>
      <c r="J94" s="26"/>
      <c r="K94" s="27">
        <f t="shared" si="37"/>
        <v>0</v>
      </c>
      <c r="L94" s="27">
        <f t="shared" si="44"/>
        <v>0</v>
      </c>
      <c r="M94" s="563"/>
      <c r="N94" s="564"/>
      <c r="O94" s="1"/>
      <c r="P94" s="3"/>
      <c r="Q94" s="1"/>
      <c r="R94" s="1"/>
      <c r="S94" s="1"/>
      <c r="T94" s="1"/>
      <c r="U94" s="4"/>
    </row>
    <row r="95" spans="1:21" ht="18.75" hidden="1" customHeight="1">
      <c r="A95" s="28"/>
      <c r="B95" s="29"/>
      <c r="C95" s="30"/>
      <c r="D95" s="21"/>
      <c r="E95" s="27"/>
      <c r="F95" s="31">
        <f t="shared" si="34"/>
        <v>0</v>
      </c>
      <c r="G95" s="27">
        <f t="shared" si="35"/>
        <v>0</v>
      </c>
      <c r="H95" s="32">
        <f>IF(D95="no",0,F95*H82)</f>
        <v>0</v>
      </c>
      <c r="I95" s="33">
        <f t="shared" si="36"/>
        <v>0</v>
      </c>
      <c r="J95" s="26"/>
      <c r="K95" s="27">
        <f t="shared" si="37"/>
        <v>0</v>
      </c>
      <c r="L95" s="27">
        <f>IF(D95="no",F95*H82-J95,0)</f>
        <v>0</v>
      </c>
      <c r="M95" s="563"/>
      <c r="N95" s="564"/>
      <c r="O95" s="1"/>
      <c r="P95" s="3"/>
      <c r="Q95" s="1"/>
      <c r="R95" s="1"/>
      <c r="S95" s="1"/>
      <c r="T95" s="1"/>
      <c r="U95" s="4"/>
    </row>
    <row r="96" spans="1:21" ht="18.75" hidden="1" customHeight="1">
      <c r="A96" s="28"/>
      <c r="B96" s="29"/>
      <c r="C96" s="30"/>
      <c r="D96" s="21"/>
      <c r="E96" s="27"/>
      <c r="F96" s="31">
        <f t="shared" si="34"/>
        <v>0</v>
      </c>
      <c r="G96" s="27">
        <f t="shared" si="35"/>
        <v>0</v>
      </c>
      <c r="H96" s="32">
        <f>IF(D96="no",0,F96*H82)</f>
        <v>0</v>
      </c>
      <c r="I96" s="33">
        <f t="shared" si="36"/>
        <v>0</v>
      </c>
      <c r="J96" s="26"/>
      <c r="K96" s="27">
        <f t="shared" si="37"/>
        <v>0</v>
      </c>
      <c r="L96" s="27"/>
      <c r="M96" s="572"/>
      <c r="N96" s="564"/>
      <c r="O96" s="1"/>
      <c r="P96" s="3"/>
      <c r="Q96" s="1"/>
      <c r="R96" s="1"/>
      <c r="S96" s="1"/>
      <c r="T96" s="1"/>
      <c r="U96" s="4"/>
    </row>
    <row r="97" spans="1:21" ht="18.75" hidden="1" customHeight="1">
      <c r="A97" s="28"/>
      <c r="B97" s="29"/>
      <c r="C97" s="30"/>
      <c r="D97" s="21"/>
      <c r="E97" s="27"/>
      <c r="F97" s="31">
        <f t="shared" si="34"/>
        <v>0</v>
      </c>
      <c r="G97" s="27">
        <f t="shared" si="35"/>
        <v>0</v>
      </c>
      <c r="H97" s="32">
        <f>IF(D97="no",0,F97*H82)</f>
        <v>0</v>
      </c>
      <c r="I97" s="33">
        <f t="shared" si="36"/>
        <v>0</v>
      </c>
      <c r="J97" s="26"/>
      <c r="K97" s="27">
        <f t="shared" si="37"/>
        <v>0</v>
      </c>
      <c r="L97" s="27"/>
      <c r="M97" s="608"/>
      <c r="N97" s="564"/>
      <c r="O97" s="1"/>
      <c r="P97" s="3"/>
      <c r="Q97" s="1"/>
      <c r="R97" s="1"/>
      <c r="S97" s="1"/>
      <c r="T97" s="1"/>
      <c r="U97" s="4"/>
    </row>
    <row r="98" spans="1:21" ht="18.75" hidden="1" customHeight="1">
      <c r="A98" s="28"/>
      <c r="B98" s="29"/>
      <c r="C98" s="30"/>
      <c r="D98" s="21"/>
      <c r="E98" s="27"/>
      <c r="F98" s="31"/>
      <c r="G98" s="27"/>
      <c r="H98" s="32"/>
      <c r="I98" s="33"/>
      <c r="J98" s="26"/>
      <c r="K98" s="27">
        <f t="shared" si="37"/>
        <v>0</v>
      </c>
      <c r="L98" s="27"/>
      <c r="M98" s="572"/>
      <c r="N98" s="564"/>
      <c r="O98" s="1"/>
      <c r="P98" s="3"/>
      <c r="Q98" s="1"/>
      <c r="R98" s="1"/>
      <c r="S98" s="1"/>
      <c r="T98" s="1"/>
      <c r="U98" s="4"/>
    </row>
    <row r="99" spans="1:21" ht="18.75" hidden="1" customHeight="1">
      <c r="A99" s="28"/>
      <c r="B99" s="29"/>
      <c r="C99" s="30"/>
      <c r="D99" s="21"/>
      <c r="E99" s="27"/>
      <c r="F99" s="31"/>
      <c r="G99" s="27"/>
      <c r="H99" s="32"/>
      <c r="I99" s="33"/>
      <c r="J99" s="26"/>
      <c r="K99" s="27"/>
      <c r="L99" s="27"/>
      <c r="M99" s="572"/>
      <c r="N99" s="564"/>
      <c r="O99" s="1"/>
      <c r="P99" s="3"/>
      <c r="Q99" s="1"/>
      <c r="R99" s="1"/>
      <c r="S99" s="1"/>
      <c r="T99" s="1"/>
      <c r="U99" s="4"/>
    </row>
    <row r="100" spans="1:21" ht="18.75" customHeight="1">
      <c r="A100" s="39" t="s">
        <v>616</v>
      </c>
      <c r="B100" s="91" t="s">
        <v>395</v>
      </c>
      <c r="C100" s="30"/>
      <c r="D100" s="21"/>
      <c r="E100" s="27"/>
      <c r="F100" s="31">
        <f t="shared" ref="F100" si="45">IF(D100="no",E100,E100/1.1)</f>
        <v>0</v>
      </c>
      <c r="G100" s="27">
        <f t="shared" ref="G100" si="46">IF(D100="no",0,F100*0.1)</f>
        <v>0</v>
      </c>
      <c r="H100" s="32">
        <f>IF(D100="no",0,F100*H81)</f>
        <v>0</v>
      </c>
      <c r="I100" s="33">
        <f t="shared" ref="I100" si="47">IF(D100="no",0,H100*3.3%)</f>
        <v>0</v>
      </c>
      <c r="J100" s="26"/>
      <c r="K100" s="27">
        <f t="shared" ref="K100" si="48">IF(D100="no",0,H100-I100-J100)</f>
        <v>0</v>
      </c>
      <c r="L100" s="27">
        <f>IF(D100="no",F100*#REF!-J100,0)</f>
        <v>0</v>
      </c>
      <c r="M100" s="572"/>
      <c r="N100" s="564"/>
      <c r="O100" s="1"/>
      <c r="P100" s="3"/>
      <c r="Q100" s="1"/>
      <c r="R100" s="1"/>
      <c r="S100" s="1"/>
      <c r="T100" s="1"/>
      <c r="U100" s="4"/>
    </row>
    <row r="101" spans="1:21" ht="18.75" customHeight="1">
      <c r="A101" s="39" t="s">
        <v>616</v>
      </c>
      <c r="B101" s="29" t="s">
        <v>33</v>
      </c>
      <c r="C101" s="30"/>
      <c r="D101" s="21"/>
      <c r="E101" s="27"/>
      <c r="F101" s="31">
        <f t="shared" ref="F101:F103" si="49">IF(D101="no",E101,E101/1.1)</f>
        <v>0</v>
      </c>
      <c r="G101" s="27">
        <f t="shared" ref="G101:G103" si="50">IF(D101="no",0,F101*0.1)</f>
        <v>0</v>
      </c>
      <c r="H101" s="32"/>
      <c r="I101" s="33">
        <f t="shared" ref="I101:I106" si="51">IF(D101="no",0,H101*3.3%)</f>
        <v>0</v>
      </c>
      <c r="J101" s="26">
        <v>0</v>
      </c>
      <c r="K101" s="27">
        <f t="shared" ref="K101:K106" si="52">IF(D101="no",0,H101-I101-J101)</f>
        <v>0</v>
      </c>
      <c r="L101" s="27">
        <f>IF(D101="no",F101*H82-J101,0)</f>
        <v>0</v>
      </c>
      <c r="M101" s="572"/>
      <c r="N101" s="564"/>
      <c r="O101" s="1"/>
      <c r="P101" s="3"/>
      <c r="Q101" s="1"/>
      <c r="R101" s="1"/>
      <c r="S101" s="1"/>
      <c r="T101" s="1"/>
      <c r="U101" s="4"/>
    </row>
    <row r="102" spans="1:21" ht="18.75" customHeight="1">
      <c r="A102" s="39" t="s">
        <v>616</v>
      </c>
      <c r="B102" s="29" t="s">
        <v>35</v>
      </c>
      <c r="C102" s="30"/>
      <c r="D102" s="21"/>
      <c r="E102" s="27"/>
      <c r="F102" s="31">
        <f t="shared" si="49"/>
        <v>0</v>
      </c>
      <c r="G102" s="27">
        <f t="shared" si="50"/>
        <v>0</v>
      </c>
      <c r="H102" s="32"/>
      <c r="I102" s="33">
        <f t="shared" si="51"/>
        <v>0</v>
      </c>
      <c r="J102" s="93"/>
      <c r="K102" s="27">
        <f t="shared" si="52"/>
        <v>0</v>
      </c>
      <c r="L102" s="40">
        <f>IF(D102="no",F102*H82-J102,0)</f>
        <v>0</v>
      </c>
      <c r="M102" s="663"/>
      <c r="N102" s="564"/>
      <c r="O102" s="1"/>
      <c r="P102" s="3"/>
      <c r="Q102" s="1"/>
      <c r="R102" s="32"/>
      <c r="S102" s="1"/>
      <c r="T102" s="1"/>
      <c r="U102" s="4"/>
    </row>
    <row r="103" spans="1:21" ht="18.75" customHeight="1">
      <c r="A103" s="39" t="s">
        <v>616</v>
      </c>
      <c r="B103" s="29" t="s">
        <v>64</v>
      </c>
      <c r="C103" s="30"/>
      <c r="D103" s="21"/>
      <c r="E103" s="27"/>
      <c r="F103" s="31">
        <f t="shared" si="49"/>
        <v>0</v>
      </c>
      <c r="G103" s="27">
        <f t="shared" si="50"/>
        <v>0</v>
      </c>
      <c r="H103" s="37">
        <v>0</v>
      </c>
      <c r="I103" s="33">
        <f t="shared" si="51"/>
        <v>0</v>
      </c>
      <c r="J103" s="26"/>
      <c r="K103" s="27">
        <f t="shared" si="52"/>
        <v>0</v>
      </c>
      <c r="L103" s="27"/>
      <c r="M103" s="572"/>
      <c r="N103" s="564"/>
      <c r="O103" s="1"/>
      <c r="P103" s="3"/>
      <c r="Q103" s="1"/>
      <c r="R103" s="1"/>
      <c r="S103" s="1"/>
      <c r="T103" s="1"/>
      <c r="U103" s="4"/>
    </row>
    <row r="104" spans="1:21" ht="18.75" customHeight="1">
      <c r="A104" s="39" t="s">
        <v>616</v>
      </c>
      <c r="B104" s="29" t="s">
        <v>492</v>
      </c>
      <c r="C104" s="30"/>
      <c r="D104" s="21"/>
      <c r="E104" s="27"/>
      <c r="F104" s="31"/>
      <c r="G104" s="27"/>
      <c r="H104" s="37">
        <v>0</v>
      </c>
      <c r="I104" s="33">
        <f t="shared" si="51"/>
        <v>0</v>
      </c>
      <c r="J104" s="26"/>
      <c r="K104" s="27">
        <f t="shared" si="52"/>
        <v>0</v>
      </c>
      <c r="L104" s="27"/>
      <c r="M104" s="572"/>
      <c r="N104" s="564"/>
      <c r="O104" s="1"/>
      <c r="P104" s="3"/>
      <c r="Q104" s="1"/>
      <c r="R104" s="1"/>
      <c r="S104" s="1"/>
      <c r="T104" s="1"/>
      <c r="U104" s="4"/>
    </row>
    <row r="105" spans="1:21" ht="18.75" customHeight="1">
      <c r="A105" s="39" t="s">
        <v>616</v>
      </c>
      <c r="B105" s="29" t="s">
        <v>65</v>
      </c>
      <c r="C105" s="30"/>
      <c r="D105" s="21"/>
      <c r="E105" s="27"/>
      <c r="F105" s="31">
        <f t="shared" ref="F105:F106" si="53">IF(D105="no",E105,E105/1.1)</f>
        <v>0</v>
      </c>
      <c r="G105" s="27">
        <f t="shared" ref="G105:G106" si="54">IF(D105="no",0,F105*0.1)</f>
        <v>0</v>
      </c>
      <c r="H105" s="37"/>
      <c r="I105" s="33">
        <f t="shared" si="51"/>
        <v>0</v>
      </c>
      <c r="J105" s="26"/>
      <c r="K105" s="27">
        <f t="shared" si="52"/>
        <v>0</v>
      </c>
      <c r="L105" s="27"/>
      <c r="M105" s="578"/>
      <c r="N105" s="564"/>
      <c r="O105" s="1"/>
      <c r="P105" s="3"/>
      <c r="Q105" s="1"/>
      <c r="R105" s="1"/>
      <c r="S105" s="1"/>
      <c r="T105" s="1"/>
      <c r="U105" s="4"/>
    </row>
    <row r="106" spans="1:21" ht="18.75" customHeight="1">
      <c r="A106" s="39" t="s">
        <v>616</v>
      </c>
      <c r="B106" s="29" t="s">
        <v>39</v>
      </c>
      <c r="C106" s="30"/>
      <c r="D106" s="38"/>
      <c r="E106" s="27"/>
      <c r="F106" s="31">
        <f t="shared" si="53"/>
        <v>0</v>
      </c>
      <c r="G106" s="27">
        <f t="shared" si="54"/>
        <v>0</v>
      </c>
      <c r="H106" s="37">
        <v>0</v>
      </c>
      <c r="I106" s="33">
        <f t="shared" si="51"/>
        <v>0</v>
      </c>
      <c r="J106" s="26"/>
      <c r="K106" s="27">
        <f t="shared" si="52"/>
        <v>0</v>
      </c>
      <c r="L106" s="27">
        <f>IF(D106="no",F106*H84-J106,0)</f>
        <v>0</v>
      </c>
      <c r="M106" s="588"/>
      <c r="N106" s="564"/>
      <c r="O106" s="1"/>
      <c r="P106" s="3"/>
      <c r="Q106" s="1"/>
      <c r="R106" s="1"/>
      <c r="S106" s="1"/>
      <c r="T106" s="1"/>
      <c r="U106" s="4"/>
    </row>
    <row r="107" spans="1:21" ht="18.75" customHeight="1">
      <c r="A107" s="575" t="s">
        <v>42</v>
      </c>
      <c r="B107" s="576"/>
      <c r="C107" s="576"/>
      <c r="D107" s="577"/>
      <c r="E107" s="42">
        <f t="shared" ref="E107:L107" si="55">SUM(E84:E106)</f>
        <v>0</v>
      </c>
      <c r="F107" s="17">
        <f t="shared" si="55"/>
        <v>0</v>
      </c>
      <c r="G107" s="42">
        <f t="shared" si="55"/>
        <v>0</v>
      </c>
      <c r="H107" s="43">
        <f t="shared" si="55"/>
        <v>0</v>
      </c>
      <c r="I107" s="42">
        <f t="shared" si="55"/>
        <v>0</v>
      </c>
      <c r="J107" s="43">
        <f t="shared" si="55"/>
        <v>0</v>
      </c>
      <c r="K107" s="42">
        <f t="shared" si="55"/>
        <v>0</v>
      </c>
      <c r="L107" s="42">
        <f t="shared" si="55"/>
        <v>0</v>
      </c>
      <c r="M107" s="44"/>
      <c r="N107" s="45"/>
      <c r="O107" s="1"/>
      <c r="P107" s="3"/>
      <c r="Q107" s="1"/>
      <c r="R107" s="1"/>
      <c r="S107" s="1"/>
      <c r="T107" s="1"/>
      <c r="U107" s="4"/>
    </row>
    <row r="108" spans="1:21" ht="18.75" customHeight="1">
      <c r="A108" s="46" t="s">
        <v>37</v>
      </c>
      <c r="B108" s="47" t="s">
        <v>43</v>
      </c>
      <c r="C108" s="48">
        <f>D82</f>
        <v>0</v>
      </c>
      <c r="D108" s="47" t="s">
        <v>44</v>
      </c>
      <c r="E108" s="49"/>
      <c r="F108" s="50" t="s">
        <v>66</v>
      </c>
      <c r="G108" s="51">
        <f>C108+C136+C163</f>
        <v>3</v>
      </c>
      <c r="H108" s="49"/>
      <c r="I108" s="53" t="s">
        <v>46</v>
      </c>
      <c r="J108" s="54">
        <v>0</v>
      </c>
      <c r="K108" s="50"/>
      <c r="L108" s="62"/>
      <c r="M108" s="654"/>
      <c r="N108" s="581"/>
      <c r="O108" s="1"/>
      <c r="P108" s="3"/>
      <c r="Q108" s="1"/>
      <c r="R108" s="1"/>
      <c r="S108" s="1"/>
      <c r="T108" s="1"/>
      <c r="U108" s="4"/>
    </row>
    <row r="109" spans="1:21" ht="13.5" customHeight="1" thickBot="1">
      <c r="A109" s="56" t="s">
        <v>48</v>
      </c>
      <c r="B109" s="57" t="s">
        <v>49</v>
      </c>
      <c r="C109" s="58">
        <f>ROUND(F107/10000,0)</f>
        <v>0</v>
      </c>
      <c r="D109" s="57" t="s">
        <v>50</v>
      </c>
      <c r="E109" s="52"/>
      <c r="F109" s="59" t="s">
        <v>67</v>
      </c>
      <c r="G109" s="60">
        <f>C109+C137+C164</f>
        <v>208</v>
      </c>
      <c r="H109" s="52"/>
      <c r="I109" s="59"/>
      <c r="J109" s="61"/>
      <c r="K109" s="59"/>
      <c r="L109" s="62"/>
      <c r="M109" s="610"/>
      <c r="N109" s="611"/>
      <c r="O109" s="1"/>
      <c r="P109" s="3"/>
      <c r="Q109" s="1"/>
      <c r="R109" s="1"/>
      <c r="S109" s="1"/>
      <c r="T109" s="1"/>
      <c r="U109" s="4"/>
    </row>
    <row r="110" spans="1:21" ht="18.75" customHeight="1" thickBot="1">
      <c r="A110" s="566" t="s">
        <v>52</v>
      </c>
      <c r="B110" s="567"/>
      <c r="C110" s="567"/>
      <c r="D110" s="568"/>
      <c r="E110" s="65"/>
      <c r="F110" s="569" t="s">
        <v>53</v>
      </c>
      <c r="G110" s="568"/>
      <c r="H110" s="66">
        <f>H107-J108</f>
        <v>0</v>
      </c>
      <c r="I110" s="67">
        <f>H110*3.3%</f>
        <v>0</v>
      </c>
      <c r="J110" s="68">
        <f>SUM(J107)</f>
        <v>0</v>
      </c>
      <c r="K110" s="69">
        <f>H110-I110-J110</f>
        <v>0</v>
      </c>
      <c r="L110" s="70"/>
      <c r="M110" s="570">
        <f>K110+L110</f>
        <v>0</v>
      </c>
      <c r="N110" s="571"/>
      <c r="O110" s="1"/>
      <c r="P110" s="3"/>
      <c r="Q110" s="1"/>
      <c r="R110" s="1"/>
      <c r="S110" s="1"/>
      <c r="T110" s="1"/>
      <c r="U110" s="4"/>
    </row>
    <row r="111" spans="1:21" ht="15" customHeight="1">
      <c r="A111" s="1"/>
      <c r="B111" s="1"/>
      <c r="C111" s="1"/>
      <c r="D111" s="1"/>
      <c r="E111" s="1"/>
      <c r="F111" s="1"/>
      <c r="G111" s="1"/>
      <c r="H111" s="141">
        <v>1</v>
      </c>
      <c r="I111" s="1"/>
      <c r="J111" s="1"/>
      <c r="K111" s="2"/>
      <c r="L111" s="2"/>
      <c r="M111" s="1"/>
      <c r="N111" s="1"/>
      <c r="O111" s="1"/>
      <c r="P111" s="72"/>
      <c r="Q111" s="1"/>
      <c r="R111" s="1"/>
      <c r="S111" s="1"/>
      <c r="T111" s="1"/>
      <c r="U111" s="4"/>
    </row>
    <row r="112" spans="1:21" ht="18.75" customHeight="1">
      <c r="A112" s="6" t="s">
        <v>69</v>
      </c>
      <c r="B112" s="7" t="str">
        <f>$B$34</f>
        <v>1월</v>
      </c>
      <c r="C112" s="8" t="s">
        <v>1</v>
      </c>
      <c r="D112" s="9">
        <f>COUNTIF($C114:$C128,"계약")+(COUNTIF($C114:$C128,"계약2")*2)</f>
        <v>1</v>
      </c>
      <c r="E112" s="3">
        <f>COUNTIF(C115:C132,"낙찰수수료")</f>
        <v>0</v>
      </c>
      <c r="F112" s="10"/>
      <c r="G112" s="89" t="s">
        <v>70</v>
      </c>
      <c r="H112" s="11">
        <v>0.5</v>
      </c>
      <c r="I112" s="12">
        <v>3.3000000000000002E-2</v>
      </c>
      <c r="J112" s="1"/>
      <c r="K112" s="1"/>
      <c r="L112" s="1"/>
      <c r="M112" s="1"/>
      <c r="N112" s="1"/>
      <c r="O112" s="1"/>
      <c r="P112" s="72"/>
      <c r="Q112" s="1"/>
      <c r="R112" s="1"/>
      <c r="S112" s="1"/>
      <c r="T112" s="1"/>
      <c r="U112" s="4"/>
    </row>
    <row r="113" spans="1:21" ht="18.75" customHeight="1">
      <c r="A113" s="13" t="s">
        <v>3</v>
      </c>
      <c r="B113" s="14" t="s">
        <v>4</v>
      </c>
      <c r="C113" s="14" t="s">
        <v>5</v>
      </c>
      <c r="D113" s="15" t="s">
        <v>6</v>
      </c>
      <c r="E113" s="16" t="s">
        <v>7</v>
      </c>
      <c r="F113" s="17" t="s">
        <v>8</v>
      </c>
      <c r="G113" s="14" t="s">
        <v>9</v>
      </c>
      <c r="H113" s="15" t="s">
        <v>10</v>
      </c>
      <c r="I113" s="14" t="s">
        <v>11</v>
      </c>
      <c r="J113" s="15" t="s">
        <v>12</v>
      </c>
      <c r="K113" s="14" t="s">
        <v>13</v>
      </c>
      <c r="L113" s="14" t="s">
        <v>14</v>
      </c>
      <c r="M113" s="579" t="s">
        <v>15</v>
      </c>
      <c r="N113" s="577"/>
      <c r="O113" s="1"/>
      <c r="P113" s="71"/>
      <c r="Q113" s="1"/>
      <c r="R113" s="1"/>
      <c r="S113" s="1"/>
      <c r="T113" s="1"/>
      <c r="U113" s="4"/>
    </row>
    <row r="114" spans="1:21" ht="18.75" customHeight="1">
      <c r="A114" s="28">
        <v>46045</v>
      </c>
      <c r="B114" s="29" t="s">
        <v>673</v>
      </c>
      <c r="C114" s="30" t="s">
        <v>672</v>
      </c>
      <c r="D114" s="21"/>
      <c r="E114" s="98">
        <v>412500</v>
      </c>
      <c r="F114" s="31">
        <f t="shared" ref="F114:F125" si="56">IF(D114="no",E114,E114/1.1)</f>
        <v>374999.99999999994</v>
      </c>
      <c r="G114" s="27">
        <f t="shared" ref="G114:G125" si="57">IF(D114="no",0,F114*0.1)</f>
        <v>37499.999999999993</v>
      </c>
      <c r="H114" s="112">
        <f>IF(D114="no",0,F114*H112)</f>
        <v>187499.99999999997</v>
      </c>
      <c r="I114" s="33">
        <f t="shared" ref="I114:I125" si="58">IF(D114="no",0,H114*3.3%)</f>
        <v>6187.4999999999991</v>
      </c>
      <c r="J114" s="26"/>
      <c r="K114" s="27">
        <f t="shared" ref="K114:K126" si="59">IF(D114="no",0,H114-I114-J114)</f>
        <v>181312.49999999997</v>
      </c>
      <c r="L114" s="27">
        <f t="shared" ref="L114:L116" si="60">IF(D114="no",F114*H111-J114,0)</f>
        <v>0</v>
      </c>
      <c r="M114" s="582"/>
      <c r="N114" s="581"/>
      <c r="O114" s="1"/>
      <c r="P114" s="72"/>
      <c r="Q114" s="1"/>
      <c r="R114" s="1"/>
      <c r="S114" s="1"/>
      <c r="T114" s="1"/>
      <c r="U114" s="4"/>
    </row>
    <row r="115" spans="1:21" ht="18.75" customHeight="1">
      <c r="A115" s="28">
        <v>46048</v>
      </c>
      <c r="B115" s="29" t="s">
        <v>576</v>
      </c>
      <c r="C115" s="30" t="s">
        <v>55</v>
      </c>
      <c r="D115" s="21"/>
      <c r="E115" s="99">
        <v>110000</v>
      </c>
      <c r="F115" s="31">
        <f t="shared" si="56"/>
        <v>99999.999999999985</v>
      </c>
      <c r="G115" s="27">
        <f t="shared" si="57"/>
        <v>10000</v>
      </c>
      <c r="H115" s="112">
        <f>IF(D115="no",0,F115*H112)</f>
        <v>49999.999999999993</v>
      </c>
      <c r="I115" s="33">
        <f t="shared" si="58"/>
        <v>1649.9999999999998</v>
      </c>
      <c r="J115" s="26"/>
      <c r="K115" s="27">
        <f t="shared" si="59"/>
        <v>48349.999999999993</v>
      </c>
      <c r="L115" s="27">
        <f t="shared" si="60"/>
        <v>0</v>
      </c>
      <c r="M115" s="572"/>
      <c r="N115" s="564"/>
      <c r="O115" s="1"/>
      <c r="P115" s="3"/>
      <c r="Q115" s="1"/>
      <c r="R115" s="1"/>
      <c r="S115" s="1"/>
      <c r="T115" s="1"/>
      <c r="U115" s="4"/>
    </row>
    <row r="116" spans="1:21" ht="18.75" customHeight="1">
      <c r="A116" s="28">
        <v>46051</v>
      </c>
      <c r="B116" s="108" t="s">
        <v>813</v>
      </c>
      <c r="C116" s="109" t="s">
        <v>814</v>
      </c>
      <c r="D116" s="110"/>
      <c r="E116" s="461">
        <v>550000</v>
      </c>
      <c r="F116" s="31">
        <f t="shared" si="56"/>
        <v>499999.99999999994</v>
      </c>
      <c r="G116" s="27">
        <f t="shared" si="57"/>
        <v>50000</v>
      </c>
      <c r="H116" s="112">
        <f>IF(D116="no",0,F116*H112)</f>
        <v>249999.99999999997</v>
      </c>
      <c r="I116" s="33">
        <f t="shared" si="58"/>
        <v>8250</v>
      </c>
      <c r="J116" s="26"/>
      <c r="K116" s="27">
        <f t="shared" si="59"/>
        <v>241749.99999999997</v>
      </c>
      <c r="L116" s="27">
        <f t="shared" si="60"/>
        <v>0</v>
      </c>
      <c r="M116" s="572"/>
      <c r="N116" s="564"/>
      <c r="O116" s="1"/>
      <c r="P116" s="3"/>
      <c r="Q116" s="1"/>
      <c r="R116" s="1"/>
      <c r="S116" s="1"/>
      <c r="T116" s="1"/>
      <c r="U116" s="4"/>
    </row>
    <row r="117" spans="1:21" ht="18.75" hidden="1" customHeight="1">
      <c r="A117" s="28"/>
      <c r="B117" s="29"/>
      <c r="C117" s="109"/>
      <c r="D117" s="21"/>
      <c r="E117" s="99"/>
      <c r="F117" s="31">
        <f t="shared" si="56"/>
        <v>0</v>
      </c>
      <c r="G117" s="27">
        <f t="shared" si="57"/>
        <v>0</v>
      </c>
      <c r="H117" s="112">
        <f>IF(D117="no",0,F117*H112)</f>
        <v>0</v>
      </c>
      <c r="I117" s="33">
        <f t="shared" si="58"/>
        <v>0</v>
      </c>
      <c r="J117" s="26"/>
      <c r="K117" s="27">
        <f t="shared" si="59"/>
        <v>0</v>
      </c>
      <c r="L117" s="27">
        <f t="shared" ref="L117" si="61">IF(D117="no",F117*H113-J117,0)</f>
        <v>0</v>
      </c>
      <c r="M117" s="572"/>
      <c r="N117" s="564"/>
      <c r="O117" s="1"/>
      <c r="P117" s="3"/>
      <c r="Q117" s="1"/>
      <c r="R117" s="1"/>
      <c r="S117" s="1"/>
      <c r="T117" s="1"/>
      <c r="U117" s="4"/>
    </row>
    <row r="118" spans="1:21" ht="18.75" hidden="1" customHeight="1">
      <c r="A118" s="28"/>
      <c r="B118" s="29"/>
      <c r="C118" s="109"/>
      <c r="D118" s="21"/>
      <c r="E118" s="99"/>
      <c r="F118" s="31">
        <f t="shared" si="56"/>
        <v>0</v>
      </c>
      <c r="G118" s="27">
        <f t="shared" si="57"/>
        <v>0</v>
      </c>
      <c r="H118" s="112">
        <f>IF(D118="no",0,F118*H112)</f>
        <v>0</v>
      </c>
      <c r="I118" s="33">
        <f t="shared" si="58"/>
        <v>0</v>
      </c>
      <c r="J118" s="26"/>
      <c r="K118" s="27">
        <f t="shared" si="59"/>
        <v>0</v>
      </c>
      <c r="L118" s="27">
        <f>IF(D118="no",F118*H114-J118,0)</f>
        <v>0</v>
      </c>
      <c r="M118" s="572"/>
      <c r="N118" s="564"/>
      <c r="O118" s="1"/>
      <c r="P118" s="3"/>
      <c r="Q118" s="1"/>
      <c r="R118" s="1"/>
      <c r="S118" s="1"/>
      <c r="T118" s="1"/>
      <c r="U118" s="4"/>
    </row>
    <row r="119" spans="1:21" ht="18.75" hidden="1" customHeight="1">
      <c r="A119" s="28"/>
      <c r="B119" s="29"/>
      <c r="C119" s="30"/>
      <c r="D119" s="386"/>
      <c r="E119" s="99"/>
      <c r="F119" s="31">
        <f t="shared" si="56"/>
        <v>0</v>
      </c>
      <c r="G119" s="27">
        <f t="shared" si="57"/>
        <v>0</v>
      </c>
      <c r="H119" s="112">
        <f>IF(D119="no",0,F119*H112)</f>
        <v>0</v>
      </c>
      <c r="I119" s="33">
        <f t="shared" si="58"/>
        <v>0</v>
      </c>
      <c r="J119" s="26"/>
      <c r="K119" s="27">
        <f t="shared" si="59"/>
        <v>0</v>
      </c>
      <c r="L119" s="27">
        <f>IF(D119="no",F119*H112-J119,0)</f>
        <v>0</v>
      </c>
      <c r="M119" s="563"/>
      <c r="N119" s="644"/>
      <c r="O119" s="1"/>
      <c r="P119" s="3"/>
      <c r="Q119" s="1"/>
      <c r="R119" s="1"/>
      <c r="S119" s="1"/>
      <c r="T119" s="1"/>
      <c r="U119" s="4"/>
    </row>
    <row r="120" spans="1:21" ht="18.75" hidden="1" customHeight="1">
      <c r="A120" s="28"/>
      <c r="B120" s="29"/>
      <c r="C120" s="30"/>
      <c r="D120" s="386"/>
      <c r="E120" s="99"/>
      <c r="F120" s="31">
        <f t="shared" si="56"/>
        <v>0</v>
      </c>
      <c r="G120" s="27">
        <f t="shared" si="57"/>
        <v>0</v>
      </c>
      <c r="H120" s="112">
        <f>IF(D120="no",0,F120*H112)</f>
        <v>0</v>
      </c>
      <c r="I120" s="33">
        <f t="shared" si="58"/>
        <v>0</v>
      </c>
      <c r="J120" s="26"/>
      <c r="K120" s="27">
        <f t="shared" si="59"/>
        <v>0</v>
      </c>
      <c r="L120" s="27">
        <f>IF(D120="no",F120*H112-J120,0)</f>
        <v>0</v>
      </c>
      <c r="M120" s="578"/>
      <c r="N120" s="564"/>
      <c r="O120" s="1"/>
      <c r="P120" s="3"/>
      <c r="Q120" s="1"/>
      <c r="R120" s="1"/>
      <c r="S120" s="1"/>
      <c r="T120" s="1"/>
      <c r="U120" s="4"/>
    </row>
    <row r="121" spans="1:21" ht="18.75" hidden="1" customHeight="1">
      <c r="A121" s="28"/>
      <c r="B121" s="29"/>
      <c r="C121" s="30"/>
      <c r="D121" s="21"/>
      <c r="E121" s="99"/>
      <c r="F121" s="31">
        <f t="shared" si="56"/>
        <v>0</v>
      </c>
      <c r="G121" s="27">
        <f t="shared" si="57"/>
        <v>0</v>
      </c>
      <c r="H121" s="112">
        <f>IF(D121="no",0,F121*H112)</f>
        <v>0</v>
      </c>
      <c r="I121" s="33">
        <f t="shared" si="58"/>
        <v>0</v>
      </c>
      <c r="J121" s="26"/>
      <c r="K121" s="27">
        <f t="shared" si="59"/>
        <v>0</v>
      </c>
      <c r="L121" s="27">
        <f>IF(D121="no",F121*H112-J121,0)</f>
        <v>0</v>
      </c>
      <c r="M121" s="572"/>
      <c r="N121" s="564"/>
      <c r="O121" s="1"/>
      <c r="P121" s="3"/>
      <c r="Q121" s="1"/>
      <c r="R121" s="1"/>
      <c r="S121" s="1"/>
      <c r="T121" s="1"/>
      <c r="U121" s="4"/>
    </row>
    <row r="122" spans="1:21" ht="18.75" hidden="1" customHeight="1">
      <c r="A122" s="28"/>
      <c r="B122" s="29"/>
      <c r="C122" s="30"/>
      <c r="D122" s="21"/>
      <c r="E122" s="99"/>
      <c r="F122" s="31">
        <f t="shared" si="56"/>
        <v>0</v>
      </c>
      <c r="G122" s="27">
        <f t="shared" si="57"/>
        <v>0</v>
      </c>
      <c r="H122" s="32">
        <f>IF(D122="no",0,F122*H112)</f>
        <v>0</v>
      </c>
      <c r="I122" s="33">
        <f t="shared" si="58"/>
        <v>0</v>
      </c>
      <c r="J122" s="26"/>
      <c r="K122" s="27">
        <f t="shared" si="59"/>
        <v>0</v>
      </c>
      <c r="L122" s="27">
        <f>IF(D122="no",F122*H112-J122,0)</f>
        <v>0</v>
      </c>
      <c r="M122" s="563"/>
      <c r="N122" s="564"/>
      <c r="O122" s="1"/>
      <c r="P122" s="3"/>
      <c r="Q122" s="1"/>
      <c r="R122" s="1"/>
      <c r="S122" s="1"/>
      <c r="T122" s="1"/>
      <c r="U122" s="4"/>
    </row>
    <row r="123" spans="1:21" ht="18.75" hidden="1" customHeight="1">
      <c r="A123" s="28"/>
      <c r="B123" s="29"/>
      <c r="C123" s="30"/>
      <c r="D123" s="21"/>
      <c r="E123" s="99"/>
      <c r="F123" s="31">
        <f t="shared" si="56"/>
        <v>0</v>
      </c>
      <c r="G123" s="27">
        <f t="shared" si="57"/>
        <v>0</v>
      </c>
      <c r="H123" s="32">
        <f>IF(D123="no",0,F123*H112)</f>
        <v>0</v>
      </c>
      <c r="I123" s="33">
        <f t="shared" si="58"/>
        <v>0</v>
      </c>
      <c r="J123" s="26"/>
      <c r="K123" s="27">
        <f t="shared" si="59"/>
        <v>0</v>
      </c>
      <c r="L123" s="27">
        <f>IF(D123="no",F123*H112-J123,0)</f>
        <v>0</v>
      </c>
      <c r="M123" s="572"/>
      <c r="N123" s="564"/>
      <c r="O123" s="1"/>
      <c r="P123" s="3"/>
      <c r="Q123" s="1"/>
      <c r="R123" s="1"/>
      <c r="S123" s="1"/>
      <c r="T123" s="1"/>
      <c r="U123" s="4"/>
    </row>
    <row r="124" spans="1:21" ht="18.75" hidden="1" customHeight="1">
      <c r="A124" s="28"/>
      <c r="B124" s="29"/>
      <c r="C124" s="30"/>
      <c r="D124" s="21"/>
      <c r="E124" s="27"/>
      <c r="F124" s="31">
        <f t="shared" si="56"/>
        <v>0</v>
      </c>
      <c r="G124" s="27">
        <f t="shared" si="57"/>
        <v>0</v>
      </c>
      <c r="H124" s="32">
        <f>IF(D124="no",0,F124*H112)</f>
        <v>0</v>
      </c>
      <c r="I124" s="33">
        <f t="shared" si="58"/>
        <v>0</v>
      </c>
      <c r="J124" s="26"/>
      <c r="K124" s="27">
        <f t="shared" si="59"/>
        <v>0</v>
      </c>
      <c r="L124" s="27">
        <f>IF(D124="no",F124*H117-J124,0)</f>
        <v>0</v>
      </c>
      <c r="M124" s="563"/>
      <c r="N124" s="564"/>
      <c r="O124" s="1"/>
      <c r="P124" s="3"/>
      <c r="Q124" s="1"/>
      <c r="R124" s="1"/>
      <c r="S124" s="1"/>
      <c r="T124" s="1"/>
      <c r="U124" s="4"/>
    </row>
    <row r="125" spans="1:21" ht="18.75" hidden="1" customHeight="1">
      <c r="A125" s="28"/>
      <c r="B125" s="29"/>
      <c r="C125" s="30"/>
      <c r="D125" s="21"/>
      <c r="E125" s="27"/>
      <c r="F125" s="31">
        <f t="shared" si="56"/>
        <v>0</v>
      </c>
      <c r="G125" s="27">
        <f t="shared" si="57"/>
        <v>0</v>
      </c>
      <c r="H125" s="32">
        <f>IF(D125="no",0,F125*H112)</f>
        <v>0</v>
      </c>
      <c r="I125" s="33">
        <f t="shared" si="58"/>
        <v>0</v>
      </c>
      <c r="J125" s="26"/>
      <c r="K125" s="27">
        <f t="shared" si="59"/>
        <v>0</v>
      </c>
      <c r="L125" s="27">
        <f>IF(D125="no",F125*H117-J125,0)</f>
        <v>0</v>
      </c>
      <c r="M125" s="563"/>
      <c r="N125" s="564"/>
      <c r="O125" s="1"/>
      <c r="P125" s="3"/>
      <c r="Q125" s="1"/>
      <c r="R125" s="1"/>
      <c r="S125" s="1"/>
      <c r="T125" s="1"/>
      <c r="U125" s="4"/>
    </row>
    <row r="126" spans="1:21" ht="18.75" hidden="1" customHeight="1">
      <c r="A126" s="28"/>
      <c r="B126" s="29"/>
      <c r="C126" s="30"/>
      <c r="D126" s="21"/>
      <c r="E126" s="27"/>
      <c r="F126" s="31"/>
      <c r="G126" s="27"/>
      <c r="H126" s="32"/>
      <c r="I126" s="33"/>
      <c r="J126" s="26"/>
      <c r="K126" s="27">
        <f t="shared" si="59"/>
        <v>0</v>
      </c>
      <c r="L126" s="27"/>
      <c r="M126" s="572"/>
      <c r="N126" s="564"/>
      <c r="O126" s="1"/>
      <c r="P126" s="3"/>
      <c r="Q126" s="1"/>
      <c r="R126" s="1"/>
      <c r="S126" s="1"/>
      <c r="T126" s="1"/>
      <c r="U126" s="4"/>
    </row>
    <row r="127" spans="1:21" ht="18.75" customHeight="1">
      <c r="A127" s="28"/>
      <c r="B127" s="29"/>
      <c r="C127" s="30"/>
      <c r="D127" s="21"/>
      <c r="E127" s="27"/>
      <c r="F127" s="31"/>
      <c r="G127" s="27"/>
      <c r="H127" s="32"/>
      <c r="I127" s="33"/>
      <c r="J127" s="26"/>
      <c r="K127" s="27"/>
      <c r="L127" s="27"/>
      <c r="M127" s="572"/>
      <c r="N127" s="564"/>
      <c r="O127" s="1"/>
      <c r="P127" s="3"/>
      <c r="Q127" s="1"/>
      <c r="R127" s="1"/>
      <c r="S127" s="1"/>
      <c r="T127" s="1"/>
      <c r="U127" s="4"/>
    </row>
    <row r="128" spans="1:21" ht="18.75" customHeight="1">
      <c r="A128" s="39" t="s">
        <v>616</v>
      </c>
      <c r="B128" s="29" t="s">
        <v>33</v>
      </c>
      <c r="C128" s="30"/>
      <c r="D128" s="21"/>
      <c r="E128" s="27"/>
      <c r="F128" s="31"/>
      <c r="G128" s="27"/>
      <c r="H128" s="37">
        <v>0</v>
      </c>
      <c r="I128" s="33">
        <f t="shared" ref="I128:I134" si="62">IF(D128="no",0,H128*3.3%)</f>
        <v>0</v>
      </c>
      <c r="J128" s="26">
        <v>0</v>
      </c>
      <c r="K128" s="27">
        <f t="shared" ref="K128:K134" si="63">IF(D128="no",0,H128-I128-J128)</f>
        <v>0</v>
      </c>
      <c r="L128" s="27">
        <f>IF(D128="no",F128*H114-J128,0)</f>
        <v>0</v>
      </c>
      <c r="M128" s="608"/>
      <c r="N128" s="564"/>
      <c r="O128" s="1"/>
      <c r="P128" s="3"/>
      <c r="Q128" s="1"/>
      <c r="R128" s="1"/>
      <c r="S128" s="1"/>
      <c r="T128" s="1"/>
      <c r="U128" s="4"/>
    </row>
    <row r="129" spans="1:21" ht="18.75" customHeight="1">
      <c r="A129" s="39" t="s">
        <v>616</v>
      </c>
      <c r="B129" s="29" t="s">
        <v>35</v>
      </c>
      <c r="C129" s="30"/>
      <c r="D129" s="21"/>
      <c r="E129" s="27"/>
      <c r="F129" s="31"/>
      <c r="G129" s="27"/>
      <c r="H129" s="32"/>
      <c r="I129" s="33">
        <f t="shared" si="62"/>
        <v>0</v>
      </c>
      <c r="J129" s="97"/>
      <c r="K129" s="27">
        <f t="shared" si="63"/>
        <v>0</v>
      </c>
      <c r="L129" s="27">
        <f>IF(D129="no",F129*H111-J129,0)</f>
        <v>0</v>
      </c>
      <c r="M129" s="563"/>
      <c r="N129" s="564"/>
      <c r="O129" s="1"/>
      <c r="P129" s="3"/>
      <c r="Q129" s="1"/>
      <c r="R129" s="1"/>
      <c r="S129" s="1"/>
      <c r="T129" s="1"/>
      <c r="U129" s="4"/>
    </row>
    <row r="130" spans="1:21" ht="18.75" customHeight="1">
      <c r="A130" s="39" t="s">
        <v>616</v>
      </c>
      <c r="B130" s="29" t="s">
        <v>61</v>
      </c>
      <c r="C130" s="30"/>
      <c r="D130" s="21"/>
      <c r="E130" s="27"/>
      <c r="F130" s="31"/>
      <c r="G130" s="27"/>
      <c r="H130" s="32">
        <f>IF(D130="no",0,F130*H115)</f>
        <v>0</v>
      </c>
      <c r="I130" s="33">
        <f t="shared" si="62"/>
        <v>0</v>
      </c>
      <c r="J130" s="26"/>
      <c r="K130" s="27">
        <f t="shared" si="63"/>
        <v>0</v>
      </c>
      <c r="L130" s="27">
        <f>IF(D130="no",F130*H118-J130,0)</f>
        <v>0</v>
      </c>
      <c r="M130" s="572"/>
      <c r="N130" s="564"/>
      <c r="O130" s="1"/>
      <c r="P130" s="3"/>
      <c r="Q130" s="1"/>
      <c r="R130" s="1"/>
      <c r="S130" s="1"/>
      <c r="T130" s="1"/>
      <c r="U130" s="4"/>
    </row>
    <row r="131" spans="1:21" ht="18.75" customHeight="1">
      <c r="A131" s="39" t="s">
        <v>616</v>
      </c>
      <c r="B131" s="29" t="s">
        <v>71</v>
      </c>
      <c r="C131" s="30"/>
      <c r="D131" s="21"/>
      <c r="E131" s="27"/>
      <c r="F131" s="31">
        <f t="shared" ref="F131:F134" si="64">IF(D131="no",E131,E131/1.1)</f>
        <v>0</v>
      </c>
      <c r="G131" s="27">
        <f t="shared" ref="G131:G134" si="65">IF(D131="no",0,F131*0.1)</f>
        <v>0</v>
      </c>
      <c r="H131" s="32">
        <v>0</v>
      </c>
      <c r="I131" s="33">
        <f t="shared" si="62"/>
        <v>0</v>
      </c>
      <c r="J131" s="26"/>
      <c r="K131" s="27">
        <f t="shared" si="63"/>
        <v>0</v>
      </c>
      <c r="L131" s="40">
        <f>IF(D131="no",F131*#REF!-J131,0)</f>
        <v>0</v>
      </c>
      <c r="M131" s="572"/>
      <c r="N131" s="564"/>
      <c r="O131" s="1"/>
      <c r="P131" s="3"/>
      <c r="Q131" s="1"/>
      <c r="R131" s="1"/>
      <c r="S131" s="1"/>
      <c r="T131" s="1"/>
      <c r="U131" s="4"/>
    </row>
    <row r="132" spans="1:21" ht="18.75" customHeight="1">
      <c r="A132" s="39" t="s">
        <v>616</v>
      </c>
      <c r="B132" s="29" t="s">
        <v>64</v>
      </c>
      <c r="C132" s="30"/>
      <c r="D132" s="21"/>
      <c r="E132" s="27"/>
      <c r="F132" s="31">
        <f t="shared" si="64"/>
        <v>0</v>
      </c>
      <c r="G132" s="27">
        <f t="shared" si="65"/>
        <v>0</v>
      </c>
      <c r="H132" s="37"/>
      <c r="I132" s="33"/>
      <c r="J132" s="26"/>
      <c r="K132" s="27"/>
      <c r="L132" s="27"/>
      <c r="M132" s="572"/>
      <c r="N132" s="564"/>
      <c r="O132" s="1"/>
      <c r="P132" s="3"/>
      <c r="Q132" s="1"/>
      <c r="R132" s="1"/>
      <c r="S132" s="1"/>
      <c r="T132" s="1"/>
      <c r="U132" s="4"/>
    </row>
    <row r="133" spans="1:21" s="479" customFormat="1" ht="18.75" customHeight="1">
      <c r="A133" s="39" t="s">
        <v>616</v>
      </c>
      <c r="B133" s="29" t="s">
        <v>512</v>
      </c>
      <c r="C133" s="30"/>
      <c r="D133" s="480"/>
      <c r="E133" s="27"/>
      <c r="F133" s="31"/>
      <c r="G133" s="27"/>
      <c r="H133" s="37"/>
      <c r="I133" s="33"/>
      <c r="J133" s="26"/>
      <c r="K133" s="27"/>
      <c r="L133" s="27"/>
      <c r="M133" s="477"/>
      <c r="N133" s="478"/>
      <c r="O133" s="1"/>
      <c r="P133" s="3"/>
      <c r="Q133" s="1"/>
      <c r="R133" s="1"/>
      <c r="S133" s="1"/>
      <c r="T133" s="1"/>
      <c r="U133" s="4"/>
    </row>
    <row r="134" spans="1:21" ht="18.75" customHeight="1">
      <c r="A134" s="39" t="s">
        <v>616</v>
      </c>
      <c r="B134" s="29" t="s">
        <v>513</v>
      </c>
      <c r="C134" s="30"/>
      <c r="D134" s="38"/>
      <c r="E134" s="100"/>
      <c r="F134" s="31">
        <f t="shared" si="64"/>
        <v>0</v>
      </c>
      <c r="G134" s="27">
        <f t="shared" si="65"/>
        <v>0</v>
      </c>
      <c r="H134" s="37">
        <v>0</v>
      </c>
      <c r="I134" s="33">
        <f t="shared" si="62"/>
        <v>0</v>
      </c>
      <c r="J134" s="26"/>
      <c r="K134" s="27">
        <f t="shared" si="63"/>
        <v>0</v>
      </c>
      <c r="L134" s="27">
        <f>IF(D134="no",F134*H595-J134,0)</f>
        <v>0</v>
      </c>
      <c r="M134" s="661"/>
      <c r="N134" s="662"/>
      <c r="O134" s="1"/>
      <c r="P134" s="3"/>
      <c r="Q134" s="1"/>
      <c r="R134" s="1"/>
      <c r="S134" s="1"/>
      <c r="T134" s="1"/>
      <c r="U134" s="4"/>
    </row>
    <row r="135" spans="1:21" ht="18.75" customHeight="1">
      <c r="A135" s="575" t="s">
        <v>42</v>
      </c>
      <c r="B135" s="576"/>
      <c r="C135" s="576"/>
      <c r="D135" s="577"/>
      <c r="E135" s="42">
        <f t="shared" ref="E135:K135" si="66">SUM(E114:E134)</f>
        <v>1072500</v>
      </c>
      <c r="F135" s="17">
        <f t="shared" si="66"/>
        <v>974999.99999999988</v>
      </c>
      <c r="G135" s="42">
        <f t="shared" si="66"/>
        <v>97500</v>
      </c>
      <c r="H135" s="42">
        <f t="shared" si="66"/>
        <v>487499.99999999994</v>
      </c>
      <c r="I135" s="42">
        <f t="shared" si="66"/>
        <v>16087.5</v>
      </c>
      <c r="J135" s="42">
        <f t="shared" si="66"/>
        <v>0</v>
      </c>
      <c r="K135" s="42">
        <f t="shared" si="66"/>
        <v>471412.49999999994</v>
      </c>
      <c r="L135" s="42">
        <f>SUM(L115:L132)</f>
        <v>0</v>
      </c>
      <c r="M135" s="44"/>
      <c r="N135" s="45"/>
      <c r="O135" s="1"/>
      <c r="P135" s="3"/>
      <c r="Q135" s="1"/>
      <c r="R135" s="1"/>
      <c r="S135" s="1"/>
      <c r="T135" s="1"/>
      <c r="U135" s="4"/>
    </row>
    <row r="136" spans="1:21" ht="18" customHeight="1">
      <c r="A136" s="46" t="s">
        <v>37</v>
      </c>
      <c r="B136" s="47" t="s">
        <v>43</v>
      </c>
      <c r="C136" s="48">
        <f>D112</f>
        <v>1</v>
      </c>
      <c r="D136" s="47" t="s">
        <v>44</v>
      </c>
      <c r="E136" s="49"/>
      <c r="F136" s="84"/>
      <c r="G136" s="85"/>
      <c r="H136" s="60"/>
      <c r="I136" s="53" t="s">
        <v>46</v>
      </c>
      <c r="J136" s="54">
        <v>19900</v>
      </c>
      <c r="K136" s="59"/>
      <c r="L136" s="62"/>
      <c r="M136" s="63"/>
      <c r="N136" s="64"/>
      <c r="O136" s="1"/>
      <c r="P136" s="3"/>
      <c r="Q136" s="1"/>
      <c r="R136" s="1"/>
      <c r="S136" s="1"/>
      <c r="T136" s="1"/>
      <c r="U136" s="4"/>
    </row>
    <row r="137" spans="1:21" ht="18" customHeight="1" thickBot="1">
      <c r="A137" s="56" t="s">
        <v>48</v>
      </c>
      <c r="B137" s="57" t="s">
        <v>49</v>
      </c>
      <c r="C137" s="58">
        <f>ROUND(F135/10000,0)</f>
        <v>98</v>
      </c>
      <c r="D137" s="57" t="s">
        <v>50</v>
      </c>
      <c r="E137" s="52"/>
      <c r="F137" s="86"/>
      <c r="G137" s="87"/>
      <c r="H137" s="60"/>
      <c r="I137" s="59"/>
      <c r="J137" s="61"/>
      <c r="K137" s="59"/>
      <c r="L137" s="62"/>
      <c r="M137" s="63"/>
      <c r="N137" s="64"/>
      <c r="O137" s="1"/>
      <c r="P137" s="3"/>
      <c r="Q137" s="1"/>
      <c r="R137" s="1"/>
      <c r="S137" s="1"/>
      <c r="T137" s="1"/>
      <c r="U137" s="4"/>
    </row>
    <row r="138" spans="1:21" ht="18" customHeight="1" thickBot="1">
      <c r="A138" s="566" t="s">
        <v>52</v>
      </c>
      <c r="B138" s="567"/>
      <c r="C138" s="567"/>
      <c r="D138" s="568"/>
      <c r="E138" s="65"/>
      <c r="F138" s="569" t="s">
        <v>53</v>
      </c>
      <c r="G138" s="568"/>
      <c r="H138" s="66">
        <f>H135-J136</f>
        <v>467599.99999999994</v>
      </c>
      <c r="I138" s="67">
        <f>H138*3.3%</f>
        <v>15430.8</v>
      </c>
      <c r="J138" s="68">
        <f>SUM(J135)</f>
        <v>0</v>
      </c>
      <c r="K138" s="69">
        <f>H138-I138-J138</f>
        <v>452169.19999999995</v>
      </c>
      <c r="L138" s="70"/>
      <c r="M138" s="570">
        <f>K138+L138</f>
        <v>452169.19999999995</v>
      </c>
      <c r="N138" s="571"/>
      <c r="O138" s="1"/>
      <c r="P138" s="3"/>
      <c r="Q138" s="1"/>
      <c r="R138" s="1"/>
      <c r="S138" s="1"/>
      <c r="T138" s="1"/>
      <c r="U138" s="4"/>
    </row>
    <row r="139" spans="1:21" ht="13.5" customHeight="1">
      <c r="A139" s="1"/>
      <c r="B139" s="1"/>
      <c r="C139" s="1"/>
      <c r="D139" s="1"/>
      <c r="E139" s="1"/>
      <c r="F139" s="1"/>
      <c r="G139" s="1"/>
      <c r="H139" s="141">
        <v>1</v>
      </c>
      <c r="I139" s="1"/>
      <c r="J139" s="1"/>
      <c r="K139" s="1"/>
      <c r="L139" s="1"/>
      <c r="M139" s="1"/>
      <c r="N139" s="1"/>
      <c r="O139" s="1"/>
      <c r="P139" s="3"/>
      <c r="Q139" s="1"/>
      <c r="R139" s="1"/>
      <c r="S139" s="1"/>
      <c r="T139" s="1"/>
      <c r="U139" s="4"/>
    </row>
    <row r="140" spans="1:21" ht="18.75" customHeight="1">
      <c r="A140" s="6" t="s">
        <v>72</v>
      </c>
      <c r="B140" s="7" t="str">
        <f>$B$34</f>
        <v>1월</v>
      </c>
      <c r="C140" s="8" t="s">
        <v>1</v>
      </c>
      <c r="D140" s="9">
        <f>COUNTIF($C142:$C161,"계약")+(COUNTIF($C142:$C161,"계약2")*2)</f>
        <v>2</v>
      </c>
      <c r="E140" s="3">
        <f>COUNTIF(C142:C161,"낙찰수수료")</f>
        <v>0</v>
      </c>
      <c r="F140" s="3"/>
      <c r="G140" s="89" t="s">
        <v>73</v>
      </c>
      <c r="H140" s="11">
        <v>0.5</v>
      </c>
      <c r="I140" s="12">
        <v>3.3000000000000002E-2</v>
      </c>
      <c r="J140" s="1"/>
      <c r="K140" s="1"/>
      <c r="L140" s="1"/>
      <c r="M140" s="1"/>
      <c r="N140" s="1"/>
      <c r="O140" s="1"/>
      <c r="P140" s="3"/>
      <c r="Q140" s="1"/>
      <c r="R140" s="1"/>
      <c r="S140" s="1"/>
      <c r="T140" s="1"/>
      <c r="U140" s="4"/>
    </row>
    <row r="141" spans="1:21" ht="18.75" customHeight="1">
      <c r="A141" s="13" t="s">
        <v>3</v>
      </c>
      <c r="B141" s="14" t="s">
        <v>4</v>
      </c>
      <c r="C141" s="14" t="s">
        <v>5</v>
      </c>
      <c r="D141" s="101" t="s">
        <v>6</v>
      </c>
      <c r="E141" s="16" t="s">
        <v>7</v>
      </c>
      <c r="F141" s="17" t="s">
        <v>8</v>
      </c>
      <c r="G141" s="14" t="s">
        <v>9</v>
      </c>
      <c r="H141" s="15" t="s">
        <v>10</v>
      </c>
      <c r="I141" s="14" t="s">
        <v>11</v>
      </c>
      <c r="J141" s="15" t="s">
        <v>12</v>
      </c>
      <c r="K141" s="14" t="s">
        <v>13</v>
      </c>
      <c r="L141" s="14" t="s">
        <v>14</v>
      </c>
      <c r="M141" s="579" t="s">
        <v>15</v>
      </c>
      <c r="N141" s="577"/>
      <c r="O141" s="1"/>
      <c r="P141" s="3"/>
      <c r="Q141" s="1"/>
      <c r="R141" s="1"/>
      <c r="S141" s="1"/>
      <c r="T141" s="1"/>
      <c r="U141" s="4"/>
    </row>
    <row r="142" spans="1:21" ht="18.75" customHeight="1">
      <c r="A142" s="28">
        <v>46034</v>
      </c>
      <c r="B142" s="29" t="s">
        <v>674</v>
      </c>
      <c r="C142" s="30" t="s">
        <v>677</v>
      </c>
      <c r="D142" s="95"/>
      <c r="E142" s="102">
        <v>550000</v>
      </c>
      <c r="F142" s="31">
        <f t="shared" ref="F142:F154" si="67">IF(D142="no",E142,E142/1.1)</f>
        <v>499999.99999999994</v>
      </c>
      <c r="G142" s="27">
        <f t="shared" ref="G142:G154" si="68">IF(D142="no",0,F142*0.1)</f>
        <v>50000</v>
      </c>
      <c r="H142" s="32">
        <f>IF(D142="no",0,F142*H140)</f>
        <v>249999.99999999997</v>
      </c>
      <c r="I142" s="33">
        <f t="shared" ref="I142:I161" si="69">IF(D142="no",0,H142*3.3%)</f>
        <v>8250</v>
      </c>
      <c r="J142" s="26"/>
      <c r="K142" s="27">
        <f t="shared" ref="K142:K161" si="70">IF(D142="no",0,H142-I142-J142)</f>
        <v>241749.99999999997</v>
      </c>
      <c r="L142" s="27">
        <f>IF(D142="no",F142*H140-J142,0)</f>
        <v>0</v>
      </c>
      <c r="M142" s="572"/>
      <c r="N142" s="564"/>
      <c r="O142" s="1"/>
      <c r="P142" s="3"/>
      <c r="Q142" s="1"/>
      <c r="R142" s="1"/>
      <c r="S142" s="1"/>
      <c r="T142" s="1"/>
      <c r="U142" s="4"/>
    </row>
    <row r="143" spans="1:21" ht="18.75" customHeight="1">
      <c r="A143" s="28">
        <v>46048</v>
      </c>
      <c r="B143" s="29" t="s">
        <v>675</v>
      </c>
      <c r="C143" s="30" t="s">
        <v>678</v>
      </c>
      <c r="D143" s="95"/>
      <c r="E143" s="102">
        <v>110000</v>
      </c>
      <c r="F143" s="31">
        <f t="shared" si="67"/>
        <v>99999.999999999985</v>
      </c>
      <c r="G143" s="27">
        <f t="shared" si="68"/>
        <v>10000</v>
      </c>
      <c r="H143" s="32">
        <f>IF(D143="no",0,F143*H140)</f>
        <v>49999.999999999993</v>
      </c>
      <c r="I143" s="33">
        <f t="shared" si="69"/>
        <v>1649.9999999999998</v>
      </c>
      <c r="J143" s="26"/>
      <c r="K143" s="27">
        <f t="shared" si="70"/>
        <v>48349.999999999993</v>
      </c>
      <c r="L143" s="27">
        <f>IF(D143="no",F143*H140-J143,0)</f>
        <v>0</v>
      </c>
      <c r="M143" s="572"/>
      <c r="N143" s="564"/>
      <c r="O143" s="1"/>
      <c r="P143" s="3"/>
      <c r="Q143" s="1"/>
      <c r="R143" s="1"/>
      <c r="S143" s="1"/>
      <c r="T143" s="1"/>
      <c r="U143" s="4"/>
    </row>
    <row r="144" spans="1:21" ht="18.75" customHeight="1">
      <c r="A144" s="39">
        <v>46051</v>
      </c>
      <c r="B144" s="29" t="s">
        <v>676</v>
      </c>
      <c r="C144" s="30" t="s">
        <v>679</v>
      </c>
      <c r="D144" s="38"/>
      <c r="E144" s="102">
        <v>550000</v>
      </c>
      <c r="F144" s="31">
        <f t="shared" si="67"/>
        <v>499999.99999999994</v>
      </c>
      <c r="G144" s="27">
        <f t="shared" si="68"/>
        <v>50000</v>
      </c>
      <c r="H144" s="32">
        <f>IF(D144="no",0,F144*H140)</f>
        <v>249999.99999999997</v>
      </c>
      <c r="I144" s="33">
        <f t="shared" si="69"/>
        <v>8250</v>
      </c>
      <c r="J144" s="26"/>
      <c r="K144" s="27">
        <f t="shared" si="70"/>
        <v>241749.99999999997</v>
      </c>
      <c r="L144" s="27">
        <f>IF(D144="no",F144*H140-J144,0)</f>
        <v>0</v>
      </c>
      <c r="M144" s="563"/>
      <c r="N144" s="564"/>
      <c r="O144" s="1"/>
      <c r="P144" s="3"/>
      <c r="Q144" s="1"/>
      <c r="R144" s="1"/>
      <c r="S144" s="1"/>
      <c r="T144" s="1"/>
      <c r="U144" s="4"/>
    </row>
    <row r="145" spans="1:21" ht="18.75" hidden="1" customHeight="1">
      <c r="A145" s="39"/>
      <c r="B145" s="29"/>
      <c r="C145" s="30"/>
      <c r="D145" s="537"/>
      <c r="E145" s="102"/>
      <c r="F145" s="31">
        <f t="shared" si="67"/>
        <v>0</v>
      </c>
      <c r="G145" s="27">
        <f t="shared" si="68"/>
        <v>0</v>
      </c>
      <c r="H145" s="32">
        <f>IF(D145="no",0,F145*H140)</f>
        <v>0</v>
      </c>
      <c r="I145" s="33">
        <f t="shared" si="69"/>
        <v>0</v>
      </c>
      <c r="J145" s="26"/>
      <c r="K145" s="27">
        <f t="shared" si="70"/>
        <v>0</v>
      </c>
      <c r="L145" s="27">
        <f>IF(D145="no",F145*H140-J145,0)</f>
        <v>0</v>
      </c>
      <c r="M145" s="572"/>
      <c r="N145" s="564"/>
      <c r="O145" s="1"/>
      <c r="P145" s="3"/>
      <c r="Q145" s="1"/>
      <c r="R145" s="1"/>
      <c r="S145" s="1"/>
      <c r="T145" s="1"/>
      <c r="U145" s="4"/>
    </row>
    <row r="146" spans="1:21" ht="18.75" hidden="1" customHeight="1">
      <c r="A146" s="39"/>
      <c r="B146" s="29"/>
      <c r="C146" s="30"/>
      <c r="D146" s="38"/>
      <c r="E146" s="102"/>
      <c r="F146" s="31">
        <f t="shared" si="67"/>
        <v>0</v>
      </c>
      <c r="G146" s="27">
        <f t="shared" si="68"/>
        <v>0</v>
      </c>
      <c r="H146" s="32">
        <f>IF(D146="no",0,F146*H140)</f>
        <v>0</v>
      </c>
      <c r="I146" s="33">
        <f t="shared" si="69"/>
        <v>0</v>
      </c>
      <c r="J146" s="26"/>
      <c r="K146" s="27">
        <f t="shared" si="70"/>
        <v>0</v>
      </c>
      <c r="L146" s="27">
        <f>IF(D146="no",F146*H140-J146,0)</f>
        <v>0</v>
      </c>
      <c r="M146" s="572"/>
      <c r="N146" s="564"/>
      <c r="O146" s="1"/>
      <c r="P146" s="3"/>
      <c r="Q146" s="1"/>
      <c r="R146" s="1"/>
      <c r="S146" s="1"/>
      <c r="T146" s="1"/>
      <c r="U146" s="4"/>
    </row>
    <row r="147" spans="1:21" ht="18.75" hidden="1" customHeight="1">
      <c r="A147" s="28"/>
      <c r="B147" s="29"/>
      <c r="C147" s="30"/>
      <c r="D147" s="38"/>
      <c r="E147" s="102"/>
      <c r="F147" s="31">
        <f t="shared" si="67"/>
        <v>0</v>
      </c>
      <c r="G147" s="27">
        <f t="shared" si="68"/>
        <v>0</v>
      </c>
      <c r="H147" s="32">
        <f>IF(D147="no",0,F147*H140)</f>
        <v>0</v>
      </c>
      <c r="I147" s="33">
        <f t="shared" si="69"/>
        <v>0</v>
      </c>
      <c r="J147" s="26"/>
      <c r="K147" s="27">
        <f t="shared" si="70"/>
        <v>0</v>
      </c>
      <c r="L147" s="27">
        <f>IF(D147="no",F147*H143-J147,0)</f>
        <v>0</v>
      </c>
      <c r="M147" s="572"/>
      <c r="N147" s="564"/>
      <c r="O147" s="1"/>
      <c r="P147" s="3"/>
      <c r="Q147" s="1"/>
      <c r="R147" s="1"/>
      <c r="S147" s="1"/>
      <c r="T147" s="1"/>
      <c r="U147" s="4"/>
    </row>
    <row r="148" spans="1:21" ht="18.75" hidden="1" customHeight="1">
      <c r="A148" s="28"/>
      <c r="B148" s="29"/>
      <c r="C148" s="30"/>
      <c r="D148" s="38"/>
      <c r="E148" s="27"/>
      <c r="F148" s="31">
        <f t="shared" si="67"/>
        <v>0</v>
      </c>
      <c r="G148" s="27">
        <f t="shared" si="68"/>
        <v>0</v>
      </c>
      <c r="H148" s="32">
        <f>IF(D148="no",0,F148*H140)</f>
        <v>0</v>
      </c>
      <c r="I148" s="33">
        <f t="shared" si="69"/>
        <v>0</v>
      </c>
      <c r="J148" s="26"/>
      <c r="K148" s="27">
        <f t="shared" si="70"/>
        <v>0</v>
      </c>
      <c r="L148" s="27">
        <f>IF(D148="no",F148*H143-J148,0)</f>
        <v>0</v>
      </c>
      <c r="M148" s="563"/>
      <c r="N148" s="564"/>
      <c r="O148" s="1"/>
      <c r="P148" s="3"/>
      <c r="Q148" s="1"/>
      <c r="R148" s="1"/>
      <c r="S148" s="1"/>
      <c r="T148" s="1"/>
      <c r="U148" s="4"/>
    </row>
    <row r="149" spans="1:21" ht="18.75" hidden="1" customHeight="1">
      <c r="A149" s="28"/>
      <c r="B149" s="29"/>
      <c r="C149" s="30"/>
      <c r="D149" s="38"/>
      <c r="E149" s="102"/>
      <c r="F149" s="31">
        <f t="shared" si="67"/>
        <v>0</v>
      </c>
      <c r="G149" s="27">
        <f t="shared" si="68"/>
        <v>0</v>
      </c>
      <c r="H149" s="32">
        <f>IF(D149="no",0,F149*H140)</f>
        <v>0</v>
      </c>
      <c r="I149" s="33">
        <f t="shared" si="69"/>
        <v>0</v>
      </c>
      <c r="J149" s="26"/>
      <c r="K149" s="27">
        <f t="shared" si="70"/>
        <v>0</v>
      </c>
      <c r="L149" s="27">
        <f>IF(D149="no",F149*#REF!-J149,0)</f>
        <v>0</v>
      </c>
      <c r="M149" s="572"/>
      <c r="N149" s="564"/>
      <c r="O149" s="1"/>
      <c r="P149" s="3"/>
      <c r="Q149" s="1"/>
      <c r="R149" s="1"/>
      <c r="S149" s="1"/>
      <c r="T149" s="1"/>
      <c r="U149" s="4"/>
    </row>
    <row r="150" spans="1:21" ht="16.5" hidden="1" customHeight="1">
      <c r="A150" s="28"/>
      <c r="B150" s="29"/>
      <c r="C150" s="30"/>
      <c r="D150" s="38"/>
      <c r="E150" s="27"/>
      <c r="F150" s="31">
        <f t="shared" si="67"/>
        <v>0</v>
      </c>
      <c r="G150" s="27">
        <f t="shared" si="68"/>
        <v>0</v>
      </c>
      <c r="H150" s="32">
        <f>IF(D150="no",0,F150*H140)</f>
        <v>0</v>
      </c>
      <c r="I150" s="33">
        <f t="shared" si="69"/>
        <v>0</v>
      </c>
      <c r="J150" s="26"/>
      <c r="K150" s="27">
        <f t="shared" si="70"/>
        <v>0</v>
      </c>
      <c r="L150" s="27">
        <f>IF(D150="no",F150*H143-J150,0)</f>
        <v>0</v>
      </c>
      <c r="M150" s="572"/>
      <c r="N150" s="564"/>
      <c r="O150" s="1"/>
      <c r="P150" s="3"/>
      <c r="Q150" s="1"/>
      <c r="R150" s="1"/>
      <c r="S150" s="1"/>
      <c r="T150" s="1"/>
      <c r="U150" s="4"/>
    </row>
    <row r="151" spans="1:21" ht="16.5" hidden="1" customHeight="1">
      <c r="A151" s="28"/>
      <c r="B151" s="29"/>
      <c r="C151" s="30"/>
      <c r="D151" s="103"/>
      <c r="E151" s="27"/>
      <c r="F151" s="31">
        <f t="shared" si="67"/>
        <v>0</v>
      </c>
      <c r="G151" s="27">
        <f t="shared" si="68"/>
        <v>0</v>
      </c>
      <c r="H151" s="32">
        <f>IF(D151="no",0,F151*H140)</f>
        <v>0</v>
      </c>
      <c r="I151" s="33">
        <f t="shared" si="69"/>
        <v>0</v>
      </c>
      <c r="J151" s="26"/>
      <c r="K151" s="27">
        <f t="shared" si="70"/>
        <v>0</v>
      </c>
      <c r="L151" s="104"/>
      <c r="M151" s="94"/>
      <c r="N151" s="105"/>
      <c r="O151" s="1"/>
      <c r="P151" s="3"/>
      <c r="Q151" s="1"/>
      <c r="R151" s="1"/>
      <c r="S151" s="1"/>
      <c r="T151" s="1"/>
      <c r="U151" s="4"/>
    </row>
    <row r="152" spans="1:21" ht="18.75" hidden="1" customHeight="1">
      <c r="A152" s="28"/>
      <c r="B152" s="29"/>
      <c r="C152" s="30"/>
      <c r="D152" s="21"/>
      <c r="E152" s="27"/>
      <c r="F152" s="31">
        <f t="shared" si="67"/>
        <v>0</v>
      </c>
      <c r="G152" s="27">
        <f t="shared" si="68"/>
        <v>0</v>
      </c>
      <c r="H152" s="32">
        <f>IF(D152="no",0,F152*H140)</f>
        <v>0</v>
      </c>
      <c r="I152" s="33">
        <f t="shared" ref="I152" si="71">IF(D152="no",0,H152*3.3%)</f>
        <v>0</v>
      </c>
      <c r="J152" s="26"/>
      <c r="K152" s="27">
        <f t="shared" ref="K152" si="72">IF(D152="no",0,H152-I152-J152)</f>
        <v>0</v>
      </c>
      <c r="L152" s="1"/>
      <c r="M152" s="573"/>
      <c r="N152" s="564"/>
      <c r="O152" s="1"/>
      <c r="P152" s="3"/>
      <c r="Q152" s="1"/>
      <c r="R152" s="1"/>
      <c r="S152" s="1"/>
      <c r="T152" s="1"/>
      <c r="U152" s="4"/>
    </row>
    <row r="153" spans="1:21" s="292" customFormat="1" ht="18.75" hidden="1" customHeight="1">
      <c r="A153" s="28"/>
      <c r="B153" s="29"/>
      <c r="C153" s="30"/>
      <c r="D153" s="291"/>
      <c r="E153" s="27"/>
      <c r="F153" s="31">
        <f t="shared" si="67"/>
        <v>0</v>
      </c>
      <c r="G153" s="27">
        <f t="shared" si="68"/>
        <v>0</v>
      </c>
      <c r="H153" s="32">
        <f>IF(D153="no",0,F153*H140)</f>
        <v>0</v>
      </c>
      <c r="I153" s="33">
        <f t="shared" ref="I153" si="73">IF(D153="no",0,H153*3.3%)</f>
        <v>0</v>
      </c>
      <c r="J153" s="26"/>
      <c r="K153" s="27">
        <f t="shared" ref="K153" si="74">IF(D153="no",0,H153-I153-J153)</f>
        <v>0</v>
      </c>
      <c r="L153" s="1"/>
      <c r="M153" s="290"/>
      <c r="N153" s="289"/>
      <c r="O153" s="1"/>
      <c r="P153" s="3"/>
      <c r="Q153" s="1"/>
      <c r="R153" s="1"/>
      <c r="S153" s="1"/>
      <c r="T153" s="1"/>
      <c r="U153" s="4"/>
    </row>
    <row r="154" spans="1:21" s="292" customFormat="1" ht="18.75" hidden="1" customHeight="1">
      <c r="A154" s="28"/>
      <c r="B154" s="29"/>
      <c r="C154" s="30"/>
      <c r="D154" s="291"/>
      <c r="E154" s="27"/>
      <c r="F154" s="31">
        <f t="shared" si="67"/>
        <v>0</v>
      </c>
      <c r="G154" s="27">
        <f t="shared" si="68"/>
        <v>0</v>
      </c>
      <c r="H154" s="32">
        <f>IF(D154="no",0,F154*H140)</f>
        <v>0</v>
      </c>
      <c r="I154" s="33">
        <f t="shared" ref="I154" si="75">IF(D154="no",0,H154*3.3%)</f>
        <v>0</v>
      </c>
      <c r="J154" s="26"/>
      <c r="K154" s="27">
        <f t="shared" ref="K154" si="76">IF(D154="no",0,H154-I154-J154)</f>
        <v>0</v>
      </c>
      <c r="L154" s="1"/>
      <c r="M154" s="290"/>
      <c r="N154" s="289"/>
      <c r="O154" s="1"/>
      <c r="P154" s="3"/>
      <c r="Q154" s="1"/>
      <c r="R154" s="1"/>
      <c r="S154" s="1"/>
      <c r="T154" s="1"/>
      <c r="U154" s="4"/>
    </row>
    <row r="155" spans="1:21" s="292" customFormat="1" ht="18.75" hidden="1" customHeight="1">
      <c r="A155" s="28"/>
      <c r="B155" s="29"/>
      <c r="C155" s="30"/>
      <c r="D155" s="291"/>
      <c r="E155" s="27"/>
      <c r="F155" s="31"/>
      <c r="G155" s="27"/>
      <c r="H155" s="32"/>
      <c r="I155" s="33"/>
      <c r="J155" s="26"/>
      <c r="K155" s="27"/>
      <c r="L155" s="1"/>
      <c r="M155" s="290"/>
      <c r="N155" s="289"/>
      <c r="O155" s="1"/>
      <c r="P155" s="3"/>
      <c r="Q155" s="1"/>
      <c r="R155" s="1"/>
      <c r="S155" s="1"/>
      <c r="T155" s="1"/>
      <c r="U155" s="4"/>
    </row>
    <row r="156" spans="1:21" s="270" customFormat="1" ht="18.75" customHeight="1">
      <c r="A156" s="28"/>
      <c r="B156" s="29"/>
      <c r="C156" s="30"/>
      <c r="D156" s="273"/>
      <c r="E156" s="27"/>
      <c r="F156" s="31"/>
      <c r="G156" s="27"/>
      <c r="H156" s="32"/>
      <c r="I156" s="33"/>
      <c r="J156" s="26"/>
      <c r="K156" s="27">
        <f t="shared" si="70"/>
        <v>0</v>
      </c>
      <c r="L156" s="1"/>
      <c r="M156" s="574"/>
      <c r="N156" s="659"/>
      <c r="O156" s="1"/>
      <c r="P156" s="3"/>
      <c r="Q156" s="1"/>
      <c r="R156" s="1"/>
      <c r="S156" s="1"/>
      <c r="T156" s="1"/>
      <c r="U156" s="4"/>
    </row>
    <row r="157" spans="1:21" s="324" customFormat="1" ht="18.75" customHeight="1">
      <c r="A157" s="39" t="s">
        <v>616</v>
      </c>
      <c r="B157" s="29" t="s">
        <v>360</v>
      </c>
      <c r="C157" s="30"/>
      <c r="D157" s="323"/>
      <c r="E157" s="27"/>
      <c r="F157" s="31"/>
      <c r="G157" s="27"/>
      <c r="H157" s="32"/>
      <c r="I157" s="33"/>
      <c r="J157" s="26"/>
      <c r="K157" s="27">
        <f t="shared" si="70"/>
        <v>0</v>
      </c>
      <c r="L157" s="1"/>
      <c r="M157" s="574"/>
      <c r="N157" s="659"/>
      <c r="O157" s="1"/>
      <c r="P157" s="3"/>
      <c r="Q157" s="1"/>
      <c r="R157" s="1"/>
      <c r="S157" s="1"/>
      <c r="T157" s="1"/>
      <c r="U157" s="4"/>
    </row>
    <row r="158" spans="1:21" ht="18.75" customHeight="1">
      <c r="A158" s="39" t="s">
        <v>616</v>
      </c>
      <c r="B158" s="29" t="s">
        <v>61</v>
      </c>
      <c r="C158" s="30"/>
      <c r="D158" s="38"/>
      <c r="E158" s="27"/>
      <c r="F158" s="31"/>
      <c r="G158" s="27"/>
      <c r="H158" s="37">
        <v>0</v>
      </c>
      <c r="I158" s="33">
        <f t="shared" si="69"/>
        <v>0</v>
      </c>
      <c r="J158" s="26"/>
      <c r="K158" s="27">
        <f t="shared" si="70"/>
        <v>0</v>
      </c>
      <c r="L158" s="27">
        <f>IF(D158="no",F158*#REF!-J158,0)</f>
        <v>0</v>
      </c>
      <c r="M158" s="572"/>
      <c r="N158" s="564"/>
      <c r="O158" s="1"/>
      <c r="P158" s="3"/>
      <c r="Q158" s="1"/>
      <c r="R158" s="1"/>
      <c r="S158" s="1"/>
      <c r="T158" s="1"/>
      <c r="U158" s="4"/>
    </row>
    <row r="159" spans="1:21" ht="18.75" customHeight="1">
      <c r="A159" s="39" t="s">
        <v>616</v>
      </c>
      <c r="B159" s="29" t="s">
        <v>35</v>
      </c>
      <c r="C159" s="30"/>
      <c r="D159" s="21"/>
      <c r="E159" s="27"/>
      <c r="F159" s="31">
        <f>IF(D159="no",E159,E159/1.1)</f>
        <v>0</v>
      </c>
      <c r="G159" s="27">
        <f>IF(D159="no",0,F159*0.1)</f>
        <v>0</v>
      </c>
      <c r="H159" s="32">
        <v>0</v>
      </c>
      <c r="I159" s="33">
        <f t="shared" si="69"/>
        <v>0</v>
      </c>
      <c r="J159" s="26"/>
      <c r="K159" s="27">
        <f t="shared" si="70"/>
        <v>0</v>
      </c>
      <c r="L159" s="1"/>
      <c r="M159" s="574"/>
      <c r="N159" s="564"/>
      <c r="O159" s="1"/>
      <c r="P159" s="3"/>
      <c r="Q159" s="1"/>
      <c r="R159" s="1"/>
      <c r="S159" s="1"/>
      <c r="T159" s="1"/>
      <c r="U159" s="4"/>
    </row>
    <row r="160" spans="1:21" ht="18.75" customHeight="1">
      <c r="A160" s="39" t="s">
        <v>616</v>
      </c>
      <c r="B160" s="29" t="s">
        <v>37</v>
      </c>
      <c r="C160" s="30"/>
      <c r="D160" s="21"/>
      <c r="E160" s="27"/>
      <c r="F160" s="31"/>
      <c r="G160" s="27"/>
      <c r="H160" s="37"/>
      <c r="I160" s="33">
        <f t="shared" si="69"/>
        <v>0</v>
      </c>
      <c r="J160" s="26"/>
      <c r="K160" s="27">
        <f t="shared" si="70"/>
        <v>0</v>
      </c>
      <c r="L160" s="1"/>
      <c r="M160" s="574"/>
      <c r="N160" s="659"/>
      <c r="O160" s="1"/>
      <c r="P160" s="3"/>
      <c r="Q160" s="1"/>
      <c r="R160" s="1"/>
      <c r="S160" s="1"/>
      <c r="T160" s="1"/>
      <c r="U160" s="4"/>
    </row>
    <row r="161" spans="1:21" ht="18.75" customHeight="1">
      <c r="A161" s="39" t="s">
        <v>616</v>
      </c>
      <c r="B161" s="29" t="s">
        <v>74</v>
      </c>
      <c r="C161" s="30"/>
      <c r="D161" s="21"/>
      <c r="E161" s="27"/>
      <c r="F161" s="31">
        <f>IF(D161="no",E161,E161/1.1)</f>
        <v>0</v>
      </c>
      <c r="G161" s="27">
        <f>IF(D161="no",0,F161*0.1)</f>
        <v>0</v>
      </c>
      <c r="H161" s="37">
        <v>0</v>
      </c>
      <c r="I161" s="33">
        <f t="shared" si="69"/>
        <v>0</v>
      </c>
      <c r="J161" s="26"/>
      <c r="K161" s="27">
        <f t="shared" si="70"/>
        <v>0</v>
      </c>
      <c r="L161" s="27"/>
      <c r="M161" s="572"/>
      <c r="N161" s="564"/>
      <c r="O161" s="1"/>
      <c r="P161" s="3"/>
      <c r="Q161" s="1"/>
      <c r="R161" s="1"/>
      <c r="S161" s="1"/>
      <c r="T161" s="1"/>
      <c r="U161" s="4"/>
    </row>
    <row r="162" spans="1:21" ht="18.75" customHeight="1">
      <c r="A162" s="575" t="s">
        <v>42</v>
      </c>
      <c r="B162" s="576"/>
      <c r="C162" s="576"/>
      <c r="D162" s="577"/>
      <c r="E162" s="42">
        <f t="shared" ref="E162:L162" si="77">SUM(E142:E161)</f>
        <v>1210000</v>
      </c>
      <c r="F162" s="17">
        <f t="shared" si="77"/>
        <v>1099999.9999999998</v>
      </c>
      <c r="G162" s="42">
        <f t="shared" si="77"/>
        <v>110000</v>
      </c>
      <c r="H162" s="43">
        <f t="shared" si="77"/>
        <v>549999.99999999988</v>
      </c>
      <c r="I162" s="42">
        <f t="shared" si="77"/>
        <v>18150</v>
      </c>
      <c r="J162" s="43">
        <f t="shared" si="77"/>
        <v>0</v>
      </c>
      <c r="K162" s="42">
        <f t="shared" si="77"/>
        <v>531849.99999999988</v>
      </c>
      <c r="L162" s="42">
        <f t="shared" si="77"/>
        <v>0</v>
      </c>
      <c r="M162" s="44"/>
      <c r="N162" s="45"/>
      <c r="O162" s="1"/>
      <c r="P162" s="3"/>
      <c r="Q162" s="1"/>
      <c r="R162" s="1"/>
      <c r="S162" s="1"/>
      <c r="T162" s="1"/>
      <c r="U162" s="4"/>
    </row>
    <row r="163" spans="1:21" ht="18.75" customHeight="1">
      <c r="A163" s="46" t="s">
        <v>37</v>
      </c>
      <c r="B163" s="47" t="s">
        <v>43</v>
      </c>
      <c r="C163" s="48">
        <f>D140</f>
        <v>2</v>
      </c>
      <c r="D163" s="47" t="s">
        <v>44</v>
      </c>
      <c r="E163" s="49"/>
      <c r="F163" s="84"/>
      <c r="G163" s="85"/>
      <c r="H163" s="49"/>
      <c r="I163" s="53" t="s">
        <v>46</v>
      </c>
      <c r="J163" s="54">
        <v>29000</v>
      </c>
      <c r="K163" s="50"/>
      <c r="L163" s="55"/>
      <c r="M163" s="63"/>
      <c r="N163" s="64"/>
      <c r="O163" s="1"/>
      <c r="P163" s="3"/>
      <c r="Q163" s="1"/>
      <c r="R163" s="1"/>
      <c r="S163" s="1"/>
      <c r="T163" s="1"/>
      <c r="U163" s="4"/>
    </row>
    <row r="164" spans="1:21" ht="16.5" customHeight="1" thickBot="1">
      <c r="A164" s="56" t="s">
        <v>48</v>
      </c>
      <c r="B164" s="57" t="s">
        <v>49</v>
      </c>
      <c r="C164" s="58">
        <f>ROUND(F162/10000,0)</f>
        <v>110</v>
      </c>
      <c r="D164" s="57" t="s">
        <v>50</v>
      </c>
      <c r="E164" s="52"/>
      <c r="F164" s="86"/>
      <c r="G164" s="87"/>
      <c r="H164" s="52"/>
      <c r="I164" s="59"/>
      <c r="J164" s="61"/>
      <c r="K164" s="59"/>
      <c r="L164" s="62"/>
      <c r="M164" s="63"/>
      <c r="N164" s="64"/>
      <c r="O164" s="1"/>
      <c r="P164" s="3"/>
      <c r="Q164" s="1"/>
      <c r="R164" s="1"/>
      <c r="S164" s="1"/>
      <c r="T164" s="1"/>
      <c r="U164" s="4"/>
    </row>
    <row r="165" spans="1:21" ht="18.75" customHeight="1" thickBot="1">
      <c r="A165" s="566" t="s">
        <v>52</v>
      </c>
      <c r="B165" s="567"/>
      <c r="C165" s="567"/>
      <c r="D165" s="568"/>
      <c r="E165" s="65"/>
      <c r="F165" s="569" t="s">
        <v>53</v>
      </c>
      <c r="G165" s="568"/>
      <c r="H165" s="66">
        <f>H162-J163</f>
        <v>520999.99999999988</v>
      </c>
      <c r="I165" s="67">
        <f>H165*3.3%</f>
        <v>17192.999999999996</v>
      </c>
      <c r="J165" s="68">
        <f>SUM(J162)</f>
        <v>0</v>
      </c>
      <c r="K165" s="69">
        <f>H165-I165-J165</f>
        <v>503806.99999999988</v>
      </c>
      <c r="L165" s="70">
        <f>L162+SUM(H163:H164)+J164</f>
        <v>0</v>
      </c>
      <c r="M165" s="570">
        <f>K165+L165</f>
        <v>503806.99999999988</v>
      </c>
      <c r="N165" s="571"/>
      <c r="O165" s="1"/>
      <c r="P165" s="3"/>
      <c r="Q165" s="1"/>
      <c r="R165" s="1"/>
      <c r="S165" s="1"/>
      <c r="T165" s="1"/>
      <c r="U165" s="4"/>
    </row>
    <row r="166" spans="1:21" ht="17.25" hidden="1" customHeight="1">
      <c r="A166" s="1"/>
      <c r="B166" s="1"/>
      <c r="C166" s="1"/>
      <c r="D166" s="1"/>
      <c r="E166" s="1"/>
      <c r="F166" s="1"/>
      <c r="G166" s="1"/>
      <c r="H166" s="141"/>
      <c r="I166" s="1"/>
      <c r="J166" s="1"/>
      <c r="K166" s="1"/>
      <c r="L166" s="1"/>
      <c r="M166" s="1"/>
      <c r="N166" s="1"/>
      <c r="O166" s="1"/>
      <c r="P166" s="3"/>
      <c r="Q166" s="1"/>
      <c r="R166" s="1"/>
      <c r="S166" s="1"/>
      <c r="T166" s="1"/>
      <c r="U166" s="4"/>
    </row>
    <row r="167" spans="1:21" ht="18.75" hidden="1" customHeight="1">
      <c r="A167" s="6"/>
      <c r="B167" s="7" t="str">
        <f>$B$34</f>
        <v>1월</v>
      </c>
      <c r="C167" s="8" t="s">
        <v>1</v>
      </c>
      <c r="D167" s="9">
        <f>COUNTIF($C169:$C180,"계약")+(COUNTIF($C169:$C180,"계약2")*2)</f>
        <v>0</v>
      </c>
      <c r="E167" s="3">
        <f>COUNTIF(C169:C180,"낙찰수수료")</f>
        <v>0</v>
      </c>
      <c r="F167" s="3"/>
      <c r="G167" s="89"/>
      <c r="H167" s="90">
        <v>0.5</v>
      </c>
      <c r="I167" s="12">
        <v>3.3000000000000002E-2</v>
      </c>
      <c r="J167" s="1"/>
      <c r="K167" s="1"/>
      <c r="L167" s="1"/>
      <c r="M167" s="1"/>
      <c r="N167" s="1"/>
      <c r="O167" s="1"/>
      <c r="P167" s="3"/>
      <c r="Q167" s="1"/>
      <c r="R167" s="1"/>
      <c r="S167" s="1"/>
      <c r="T167" s="1"/>
      <c r="U167" s="4"/>
    </row>
    <row r="168" spans="1:21" ht="18.75" hidden="1" customHeight="1">
      <c r="A168" s="13" t="s">
        <v>3</v>
      </c>
      <c r="B168" s="14" t="s">
        <v>4</v>
      </c>
      <c r="C168" s="14" t="s">
        <v>5</v>
      </c>
      <c r="D168" s="101" t="s">
        <v>6</v>
      </c>
      <c r="E168" s="16" t="s">
        <v>7</v>
      </c>
      <c r="F168" s="17" t="s">
        <v>8</v>
      </c>
      <c r="G168" s="14" t="s">
        <v>9</v>
      </c>
      <c r="H168" s="15" t="s">
        <v>10</v>
      </c>
      <c r="I168" s="14" t="s">
        <v>11</v>
      </c>
      <c r="J168" s="15" t="s">
        <v>12</v>
      </c>
      <c r="K168" s="14" t="s">
        <v>13</v>
      </c>
      <c r="L168" s="14" t="s">
        <v>14</v>
      </c>
      <c r="M168" s="579" t="s">
        <v>15</v>
      </c>
      <c r="N168" s="577"/>
      <c r="O168" s="1"/>
      <c r="P168" s="3"/>
      <c r="Q168" s="1"/>
      <c r="R168" s="1"/>
      <c r="S168" s="1"/>
      <c r="T168" s="1"/>
      <c r="U168" s="4"/>
    </row>
    <row r="169" spans="1:21" ht="18.75" hidden="1" customHeight="1">
      <c r="A169" s="39"/>
      <c r="B169" s="29"/>
      <c r="C169" s="30"/>
      <c r="D169" s="38"/>
      <c r="E169" s="27"/>
      <c r="F169" s="31">
        <f t="shared" ref="F169:F176" si="78">IF(D169="no",E169,E169/1.1)</f>
        <v>0</v>
      </c>
      <c r="G169" s="27">
        <f t="shared" ref="G169:G176" si="79">IF(D169="no",0,F169*0.1)</f>
        <v>0</v>
      </c>
      <c r="H169" s="32">
        <f>IF(D169="no",0,F169*H167)</f>
        <v>0</v>
      </c>
      <c r="I169" s="33">
        <f t="shared" ref="I169:I180" si="80">IF(D169="no",0,H169*3.3%)</f>
        <v>0</v>
      </c>
      <c r="J169" s="26"/>
      <c r="K169" s="27">
        <f t="shared" ref="K169:K180" si="81">IF(D169="no",0,H169-I169-J169)</f>
        <v>0</v>
      </c>
      <c r="L169" s="27">
        <f>IF(D169="no",F169*H167-J169,0)</f>
        <v>0</v>
      </c>
      <c r="M169" s="580"/>
      <c r="N169" s="581"/>
      <c r="O169" s="1"/>
      <c r="P169" s="3"/>
      <c r="Q169" s="1"/>
      <c r="R169" s="1"/>
      <c r="S169" s="1"/>
      <c r="T169" s="1"/>
      <c r="U169" s="4"/>
    </row>
    <row r="170" spans="1:21" ht="18.75" hidden="1" customHeight="1">
      <c r="A170" s="28"/>
      <c r="B170" s="29"/>
      <c r="C170" s="30"/>
      <c r="D170" s="38"/>
      <c r="E170" s="27"/>
      <c r="F170" s="31">
        <f t="shared" si="78"/>
        <v>0</v>
      </c>
      <c r="G170" s="27">
        <f t="shared" si="79"/>
        <v>0</v>
      </c>
      <c r="H170" s="32">
        <f>IF(D170="no",0,F170*H167)</f>
        <v>0</v>
      </c>
      <c r="I170" s="33">
        <f t="shared" si="80"/>
        <v>0</v>
      </c>
      <c r="J170" s="26"/>
      <c r="K170" s="27">
        <f t="shared" si="81"/>
        <v>0</v>
      </c>
      <c r="L170" s="27">
        <f>IF(D170="no",F170*H167-J170,0)</f>
        <v>0</v>
      </c>
      <c r="M170" s="572"/>
      <c r="N170" s="564"/>
      <c r="O170" s="1"/>
      <c r="P170" s="3"/>
      <c r="Q170" s="1"/>
      <c r="R170" s="1"/>
      <c r="S170" s="1"/>
      <c r="T170" s="1"/>
      <c r="U170" s="4"/>
    </row>
    <row r="171" spans="1:21" ht="18.75" hidden="1" customHeight="1">
      <c r="A171" s="28"/>
      <c r="B171" s="29"/>
      <c r="C171" s="30"/>
      <c r="D171" s="95"/>
      <c r="E171" s="102"/>
      <c r="F171" s="31">
        <f t="shared" si="78"/>
        <v>0</v>
      </c>
      <c r="G171" s="27">
        <f t="shared" si="79"/>
        <v>0</v>
      </c>
      <c r="H171" s="32">
        <f>IF(D171="no",0,F171*H167)</f>
        <v>0</v>
      </c>
      <c r="I171" s="33">
        <f t="shared" si="80"/>
        <v>0</v>
      </c>
      <c r="J171" s="26"/>
      <c r="K171" s="27">
        <f t="shared" si="81"/>
        <v>0</v>
      </c>
      <c r="L171" s="27">
        <f>IF(D171="no",F171*H167-J171,0)</f>
        <v>0</v>
      </c>
      <c r="M171" s="572"/>
      <c r="N171" s="564"/>
      <c r="O171" s="1"/>
      <c r="P171" s="3"/>
      <c r="Q171" s="1"/>
      <c r="R171" s="1"/>
      <c r="S171" s="1"/>
      <c r="T171" s="1"/>
      <c r="U171" s="4"/>
    </row>
    <row r="172" spans="1:21" ht="18.75" hidden="1" customHeight="1">
      <c r="A172" s="39"/>
      <c r="B172" s="29"/>
      <c r="C172" s="30"/>
      <c r="D172" s="38"/>
      <c r="E172" s="102"/>
      <c r="F172" s="31">
        <f t="shared" si="78"/>
        <v>0</v>
      </c>
      <c r="G172" s="27">
        <f t="shared" si="79"/>
        <v>0</v>
      </c>
      <c r="H172" s="32">
        <f>IF(D172="no",0,F172*H167)</f>
        <v>0</v>
      </c>
      <c r="I172" s="33">
        <f t="shared" si="80"/>
        <v>0</v>
      </c>
      <c r="J172" s="26"/>
      <c r="K172" s="27">
        <f t="shared" si="81"/>
        <v>0</v>
      </c>
      <c r="L172" s="27">
        <f>IF(D172="no",F172*H167-J172,0)</f>
        <v>0</v>
      </c>
      <c r="M172" s="572"/>
      <c r="N172" s="564"/>
      <c r="O172" s="1"/>
      <c r="P172" s="3"/>
      <c r="Q172" s="1"/>
      <c r="R172" s="1"/>
      <c r="S172" s="1"/>
      <c r="T172" s="1"/>
      <c r="U172" s="4"/>
    </row>
    <row r="173" spans="1:21" ht="18.75" hidden="1" customHeight="1">
      <c r="A173" s="28"/>
      <c r="B173" s="29"/>
      <c r="C173" s="30"/>
      <c r="D173" s="38"/>
      <c r="E173" s="27"/>
      <c r="F173" s="31">
        <f t="shared" si="78"/>
        <v>0</v>
      </c>
      <c r="G173" s="27">
        <f t="shared" si="79"/>
        <v>0</v>
      </c>
      <c r="H173" s="32">
        <f>IF(D173="no",0,F173*H167)</f>
        <v>0</v>
      </c>
      <c r="I173" s="33">
        <f t="shared" si="80"/>
        <v>0</v>
      </c>
      <c r="J173" s="26"/>
      <c r="K173" s="27">
        <f t="shared" si="81"/>
        <v>0</v>
      </c>
      <c r="L173" s="27">
        <f t="shared" ref="L173:L174" si="82">IF(D173="no",F173*H167-J173,0)</f>
        <v>0</v>
      </c>
      <c r="M173" s="563"/>
      <c r="N173" s="564"/>
      <c r="O173" s="1"/>
      <c r="P173" s="3"/>
      <c r="Q173" s="1"/>
      <c r="R173" s="1"/>
      <c r="S173" s="1"/>
      <c r="T173" s="1"/>
      <c r="U173" s="4"/>
    </row>
    <row r="174" spans="1:21" ht="18.75" hidden="1" customHeight="1">
      <c r="A174" s="28"/>
      <c r="B174" s="29"/>
      <c r="C174" s="30"/>
      <c r="D174" s="21"/>
      <c r="E174" s="27"/>
      <c r="F174" s="31">
        <f t="shared" si="78"/>
        <v>0</v>
      </c>
      <c r="G174" s="27">
        <f t="shared" si="79"/>
        <v>0</v>
      </c>
      <c r="H174" s="32">
        <f>IF(D174="no",0,F174*H167)</f>
        <v>0</v>
      </c>
      <c r="I174" s="33">
        <f t="shared" si="80"/>
        <v>0</v>
      </c>
      <c r="J174" s="26"/>
      <c r="K174" s="27">
        <f t="shared" si="81"/>
        <v>0</v>
      </c>
      <c r="L174" s="27">
        <f t="shared" si="82"/>
        <v>0</v>
      </c>
      <c r="M174" s="572"/>
      <c r="N174" s="564"/>
      <c r="O174" s="1"/>
      <c r="P174" s="3"/>
      <c r="Q174" s="1"/>
      <c r="R174" s="1"/>
      <c r="S174" s="1"/>
      <c r="T174" s="1"/>
      <c r="U174" s="4"/>
    </row>
    <row r="175" spans="1:21" ht="18.75" hidden="1" customHeight="1">
      <c r="A175" s="28"/>
      <c r="B175" s="29"/>
      <c r="C175" s="30"/>
      <c r="D175" s="38"/>
      <c r="E175" s="27"/>
      <c r="F175" s="31">
        <f t="shared" si="78"/>
        <v>0</v>
      </c>
      <c r="G175" s="27">
        <f t="shared" si="79"/>
        <v>0</v>
      </c>
      <c r="H175" s="32">
        <f>IF(D175="no",0,F175*H167)</f>
        <v>0</v>
      </c>
      <c r="I175" s="33">
        <f t="shared" si="80"/>
        <v>0</v>
      </c>
      <c r="J175" s="26"/>
      <c r="K175" s="27">
        <f t="shared" si="81"/>
        <v>0</v>
      </c>
      <c r="L175" s="27">
        <f>IF(D175="no",F175*H167-J175,0)</f>
        <v>0</v>
      </c>
      <c r="M175" s="572"/>
      <c r="N175" s="564"/>
      <c r="O175" s="1"/>
      <c r="P175" s="3"/>
      <c r="Q175" s="1"/>
      <c r="R175" s="1"/>
      <c r="S175" s="1"/>
      <c r="T175" s="1"/>
      <c r="U175" s="4"/>
    </row>
    <row r="176" spans="1:21" ht="18.75" hidden="1" customHeight="1">
      <c r="A176" s="28"/>
      <c r="B176" s="29"/>
      <c r="C176" s="30"/>
      <c r="D176" s="21"/>
      <c r="E176" s="27"/>
      <c r="F176" s="31">
        <f t="shared" si="78"/>
        <v>0</v>
      </c>
      <c r="G176" s="27">
        <f t="shared" si="79"/>
        <v>0</v>
      </c>
      <c r="H176" s="32"/>
      <c r="I176" s="33">
        <f t="shared" si="80"/>
        <v>0</v>
      </c>
      <c r="J176" s="26"/>
      <c r="K176" s="27">
        <f t="shared" si="81"/>
        <v>0</v>
      </c>
      <c r="L176" s="1"/>
      <c r="M176" s="573"/>
      <c r="N176" s="564"/>
      <c r="O176" s="1"/>
      <c r="P176" s="3"/>
      <c r="Q176" s="1"/>
      <c r="R176" s="1"/>
      <c r="S176" s="1"/>
      <c r="T176" s="1"/>
      <c r="U176" s="4"/>
    </row>
    <row r="177" spans="1:21" ht="18.75" hidden="1" customHeight="1">
      <c r="A177" s="39"/>
      <c r="B177" s="29"/>
      <c r="C177" s="30"/>
      <c r="D177" s="38"/>
      <c r="E177" s="27"/>
      <c r="F177" s="31"/>
      <c r="G177" s="27"/>
      <c r="H177" s="37"/>
      <c r="I177" s="33">
        <f t="shared" si="80"/>
        <v>0</v>
      </c>
      <c r="J177" s="26"/>
      <c r="K177" s="27">
        <f t="shared" si="81"/>
        <v>0</v>
      </c>
      <c r="L177" s="27">
        <f>IF(D177="no",F177*H166-J177,0)</f>
        <v>0</v>
      </c>
      <c r="M177" s="572"/>
      <c r="N177" s="564"/>
      <c r="O177" s="1"/>
      <c r="P177" s="3"/>
      <c r="Q177" s="1"/>
      <c r="R177" s="1"/>
      <c r="S177" s="1"/>
      <c r="T177" s="1"/>
      <c r="U177" s="4"/>
    </row>
    <row r="178" spans="1:21" ht="18.75" hidden="1" customHeight="1">
      <c r="A178" s="39" t="s">
        <v>575</v>
      </c>
      <c r="B178" s="29" t="s">
        <v>35</v>
      </c>
      <c r="C178" s="30"/>
      <c r="D178" s="21"/>
      <c r="E178" s="27"/>
      <c r="F178" s="31">
        <f t="shared" ref="F178:F180" si="83">IF(D178="no",E178,E178/1.1)</f>
        <v>0</v>
      </c>
      <c r="G178" s="27">
        <f t="shared" ref="G178:G180" si="84">IF(D178="no",0,F178*0.1)</f>
        <v>0</v>
      </c>
      <c r="H178" s="32"/>
      <c r="I178" s="33">
        <f t="shared" si="80"/>
        <v>0</v>
      </c>
      <c r="J178" s="26"/>
      <c r="K178" s="27">
        <f t="shared" si="81"/>
        <v>0</v>
      </c>
      <c r="L178" s="1"/>
      <c r="M178" s="574"/>
      <c r="N178" s="564"/>
      <c r="O178" s="1"/>
      <c r="P178" s="3"/>
      <c r="Q178" s="1"/>
      <c r="R178" s="1"/>
      <c r="S178" s="1"/>
      <c r="T178" s="1"/>
      <c r="U178" s="4"/>
    </row>
    <row r="179" spans="1:21" s="492" customFormat="1" ht="18.75" hidden="1" customHeight="1">
      <c r="A179" s="39" t="s">
        <v>575</v>
      </c>
      <c r="B179" s="29" t="s">
        <v>522</v>
      </c>
      <c r="C179" s="30"/>
      <c r="D179" s="493"/>
      <c r="E179" s="27"/>
      <c r="F179" s="31"/>
      <c r="G179" s="27"/>
      <c r="H179" s="32"/>
      <c r="I179" s="33"/>
      <c r="J179" s="26"/>
      <c r="K179" s="27"/>
      <c r="L179" s="1"/>
      <c r="M179" s="491"/>
      <c r="N179" s="490"/>
      <c r="O179" s="1"/>
      <c r="P179" s="3"/>
      <c r="Q179" s="1"/>
      <c r="R179" s="1"/>
      <c r="S179" s="1"/>
      <c r="T179" s="1"/>
      <c r="U179" s="4"/>
    </row>
    <row r="180" spans="1:21" ht="18.75" hidden="1" customHeight="1">
      <c r="A180" s="39" t="s">
        <v>575</v>
      </c>
      <c r="B180" s="29" t="s">
        <v>523</v>
      </c>
      <c r="C180" s="30"/>
      <c r="D180" s="21"/>
      <c r="E180" s="27"/>
      <c r="F180" s="31">
        <f t="shared" si="83"/>
        <v>0</v>
      </c>
      <c r="G180" s="27">
        <f t="shared" si="84"/>
        <v>0</v>
      </c>
      <c r="H180" s="37">
        <v>0</v>
      </c>
      <c r="I180" s="33">
        <f t="shared" si="80"/>
        <v>0</v>
      </c>
      <c r="J180" s="26"/>
      <c r="K180" s="27">
        <f t="shared" si="81"/>
        <v>0</v>
      </c>
      <c r="L180" s="27"/>
      <c r="M180" s="572"/>
      <c r="N180" s="564"/>
      <c r="O180" s="1"/>
      <c r="P180" s="3"/>
      <c r="Q180" s="1"/>
      <c r="R180" s="1"/>
      <c r="S180" s="1"/>
      <c r="T180" s="1"/>
      <c r="U180" s="4"/>
    </row>
    <row r="181" spans="1:21" ht="18.75" hidden="1" customHeight="1">
      <c r="A181" s="575" t="s">
        <v>42</v>
      </c>
      <c r="B181" s="576"/>
      <c r="C181" s="576"/>
      <c r="D181" s="577"/>
      <c r="E181" s="42">
        <f t="shared" ref="E181:L181" si="85">SUM(E169:E180)</f>
        <v>0</v>
      </c>
      <c r="F181" s="17">
        <f t="shared" si="85"/>
        <v>0</v>
      </c>
      <c r="G181" s="42">
        <f t="shared" si="85"/>
        <v>0</v>
      </c>
      <c r="H181" s="43">
        <f t="shared" si="85"/>
        <v>0</v>
      </c>
      <c r="I181" s="42">
        <f t="shared" si="85"/>
        <v>0</v>
      </c>
      <c r="J181" s="43">
        <f t="shared" si="85"/>
        <v>0</v>
      </c>
      <c r="K181" s="42">
        <f t="shared" si="85"/>
        <v>0</v>
      </c>
      <c r="L181" s="42">
        <f t="shared" si="85"/>
        <v>0</v>
      </c>
      <c r="M181" s="44"/>
      <c r="N181" s="45"/>
      <c r="O181" s="1"/>
      <c r="P181" s="3"/>
      <c r="Q181" s="1"/>
      <c r="R181" s="1"/>
      <c r="S181" s="1"/>
      <c r="T181" s="1"/>
      <c r="U181" s="4"/>
    </row>
    <row r="182" spans="1:21" ht="18.75" hidden="1" customHeight="1">
      <c r="A182" s="46" t="s">
        <v>37</v>
      </c>
      <c r="B182" s="47" t="s">
        <v>43</v>
      </c>
      <c r="C182" s="48">
        <f>D167</f>
        <v>0</v>
      </c>
      <c r="D182" s="47" t="s">
        <v>44</v>
      </c>
      <c r="E182" s="49"/>
      <c r="F182" s="84"/>
      <c r="G182" s="85"/>
      <c r="H182" s="49"/>
      <c r="I182" s="53" t="s">
        <v>46</v>
      </c>
      <c r="J182" s="54">
        <v>0</v>
      </c>
      <c r="K182" s="50"/>
      <c r="L182" s="55"/>
      <c r="M182" s="63"/>
      <c r="N182" s="64"/>
      <c r="O182" s="1"/>
      <c r="P182" s="3"/>
      <c r="Q182" s="1"/>
      <c r="R182" s="1"/>
      <c r="S182" s="1"/>
      <c r="T182" s="1"/>
      <c r="U182" s="4"/>
    </row>
    <row r="183" spans="1:21" ht="16.5" hidden="1" customHeight="1" thickBot="1">
      <c r="A183" s="56" t="s">
        <v>48</v>
      </c>
      <c r="B183" s="57" t="s">
        <v>49</v>
      </c>
      <c r="C183" s="58">
        <f>ROUND(F181/10000,0)</f>
        <v>0</v>
      </c>
      <c r="D183" s="57" t="s">
        <v>50</v>
      </c>
      <c r="E183" s="52"/>
      <c r="F183" s="86"/>
      <c r="G183" s="87"/>
      <c r="H183" s="52"/>
      <c r="I183" s="59"/>
      <c r="J183" s="61"/>
      <c r="K183" s="59"/>
      <c r="L183" s="62"/>
      <c r="M183" s="63"/>
      <c r="N183" s="64"/>
      <c r="O183" s="1"/>
      <c r="P183" s="3"/>
      <c r="Q183" s="1"/>
      <c r="R183" s="1"/>
      <c r="S183" s="1"/>
      <c r="T183" s="1"/>
      <c r="U183" s="4"/>
    </row>
    <row r="184" spans="1:21" ht="19.5" hidden="1" customHeight="1" thickBot="1">
      <c r="A184" s="566" t="s">
        <v>52</v>
      </c>
      <c r="B184" s="567"/>
      <c r="C184" s="567"/>
      <c r="D184" s="568"/>
      <c r="E184" s="65"/>
      <c r="F184" s="569" t="s">
        <v>53</v>
      </c>
      <c r="G184" s="568"/>
      <c r="H184" s="66">
        <f>H181-J182</f>
        <v>0</v>
      </c>
      <c r="I184" s="67">
        <f>H184*3.3%</f>
        <v>0</v>
      </c>
      <c r="J184" s="68">
        <f>SUM(J181)</f>
        <v>0</v>
      </c>
      <c r="K184" s="69">
        <f>H184-I184-J184</f>
        <v>0</v>
      </c>
      <c r="L184" s="70">
        <f>L181+SUM(H182:H183)+J183</f>
        <v>0</v>
      </c>
      <c r="M184" s="570">
        <f>K184+L184</f>
        <v>0</v>
      </c>
      <c r="N184" s="571"/>
      <c r="O184" s="1"/>
      <c r="P184" s="3"/>
      <c r="Q184" s="1"/>
      <c r="R184" s="1"/>
      <c r="S184" s="1"/>
      <c r="T184" s="1"/>
      <c r="U184" s="4"/>
    </row>
    <row r="185" spans="1:21" ht="13.5" customHeight="1">
      <c r="A185" s="1"/>
      <c r="B185" s="1"/>
      <c r="C185" s="1"/>
      <c r="D185" s="1"/>
      <c r="E185" s="1"/>
      <c r="F185" s="1"/>
      <c r="G185" s="1"/>
      <c r="H185" s="141">
        <v>1</v>
      </c>
      <c r="I185" s="1"/>
      <c r="J185" s="1"/>
      <c r="K185" s="1"/>
      <c r="L185" s="1"/>
      <c r="M185" s="1"/>
      <c r="N185" s="1"/>
      <c r="O185" s="1"/>
      <c r="P185" s="3"/>
      <c r="Q185" s="1"/>
      <c r="R185" s="1"/>
      <c r="S185" s="1"/>
      <c r="T185" s="1"/>
      <c r="U185" s="4"/>
    </row>
    <row r="186" spans="1:21" ht="18.75" customHeight="1">
      <c r="A186" s="6" t="s">
        <v>75</v>
      </c>
      <c r="B186" s="7" t="str">
        <f>$B$34</f>
        <v>1월</v>
      </c>
      <c r="C186" s="8" t="s">
        <v>1</v>
      </c>
      <c r="D186" s="9">
        <f>COUNTIF($C188:$C207,"계약")+(COUNTIF($C188:$C207,"계약2")*2)</f>
        <v>4</v>
      </c>
      <c r="E186" s="3">
        <f>COUNTIF(C188:C211,"낙찰수수료")</f>
        <v>1</v>
      </c>
      <c r="F186" s="3"/>
      <c r="G186" s="1" t="s">
        <v>76</v>
      </c>
      <c r="H186" s="90">
        <v>0.5</v>
      </c>
      <c r="I186" s="12">
        <v>3.3000000000000002E-2</v>
      </c>
      <c r="J186" s="1"/>
      <c r="K186" s="1"/>
      <c r="L186" s="1"/>
      <c r="M186" s="1"/>
      <c r="N186" s="1"/>
      <c r="O186" s="1"/>
      <c r="P186" s="72"/>
      <c r="Q186" s="1"/>
      <c r="R186" s="1"/>
      <c r="S186" s="1"/>
      <c r="T186" s="1"/>
      <c r="U186" s="4"/>
    </row>
    <row r="187" spans="1:21" ht="18.75" customHeight="1">
      <c r="A187" s="13" t="s">
        <v>3</v>
      </c>
      <c r="B187" s="14" t="s">
        <v>4</v>
      </c>
      <c r="C187" s="14" t="s">
        <v>5</v>
      </c>
      <c r="D187" s="101" t="s">
        <v>6</v>
      </c>
      <c r="E187" s="16" t="s">
        <v>7</v>
      </c>
      <c r="F187" s="17" t="s">
        <v>8</v>
      </c>
      <c r="G187" s="14" t="s">
        <v>9</v>
      </c>
      <c r="H187" s="15" t="s">
        <v>10</v>
      </c>
      <c r="I187" s="14" t="s">
        <v>11</v>
      </c>
      <c r="J187" s="15" t="s">
        <v>12</v>
      </c>
      <c r="K187" s="14" t="s">
        <v>13</v>
      </c>
      <c r="L187" s="14" t="s">
        <v>14</v>
      </c>
      <c r="M187" s="579" t="s">
        <v>15</v>
      </c>
      <c r="N187" s="577"/>
      <c r="O187" s="1"/>
      <c r="P187" s="71"/>
      <c r="Q187" s="1"/>
      <c r="R187" s="1"/>
      <c r="S187" s="1"/>
      <c r="T187" s="1"/>
      <c r="U187" s="4"/>
    </row>
    <row r="188" spans="1:21" ht="18.75" customHeight="1">
      <c r="A188" s="28">
        <v>46029</v>
      </c>
      <c r="B188" s="29" t="s">
        <v>680</v>
      </c>
      <c r="C188" s="30" t="s">
        <v>685</v>
      </c>
      <c r="D188" s="38"/>
      <c r="E188" s="27">
        <v>550000</v>
      </c>
      <c r="F188" s="31">
        <f t="shared" ref="F188:F203" si="86">IF(D188="no",E188,E188/1.1)</f>
        <v>499999.99999999994</v>
      </c>
      <c r="G188" s="27">
        <f t="shared" ref="G188:G203" si="87">IF(D188="no",0,F188*0.1)</f>
        <v>50000</v>
      </c>
      <c r="H188" s="112">
        <f>IF(D188="no",0,F188*H186)</f>
        <v>249999.99999999997</v>
      </c>
      <c r="I188" s="33">
        <f t="shared" ref="I188:I203" si="88">IF(D188="no",0,H188*3.3%)</f>
        <v>8250</v>
      </c>
      <c r="J188" s="26"/>
      <c r="K188" s="27">
        <f t="shared" ref="K188:K203" si="89">IF(D188="no",0,H188-I188-J188)</f>
        <v>241749.99999999997</v>
      </c>
      <c r="L188" s="27">
        <f>IF(D188="no",F188*H186-J188,0)</f>
        <v>0</v>
      </c>
      <c r="M188" s="578"/>
      <c r="N188" s="564"/>
      <c r="O188" s="1"/>
      <c r="P188" s="72"/>
      <c r="Q188" s="1"/>
      <c r="R188" s="1"/>
      <c r="S188" s="1"/>
      <c r="T188" s="1"/>
      <c r="U188" s="4"/>
    </row>
    <row r="189" spans="1:21" ht="18.75" customHeight="1">
      <c r="A189" s="39">
        <v>46037</v>
      </c>
      <c r="B189" s="29" t="s">
        <v>681</v>
      </c>
      <c r="C189" s="30" t="s">
        <v>56</v>
      </c>
      <c r="D189" s="38"/>
      <c r="E189" s="27">
        <v>4000000</v>
      </c>
      <c r="F189" s="31">
        <f t="shared" si="86"/>
        <v>3636363.6363636362</v>
      </c>
      <c r="G189" s="27">
        <f t="shared" si="87"/>
        <v>363636.36363636365</v>
      </c>
      <c r="H189" s="32">
        <f>IF(D189="no",0,F189*H186)</f>
        <v>1818181.8181818181</v>
      </c>
      <c r="I189" s="33">
        <f t="shared" si="88"/>
        <v>60000</v>
      </c>
      <c r="J189" s="97"/>
      <c r="K189" s="27">
        <f t="shared" si="89"/>
        <v>1758181.8181818181</v>
      </c>
      <c r="L189" s="27">
        <f>IF(D189="no",F189*H186-J189,0)</f>
        <v>0</v>
      </c>
      <c r="M189" s="572"/>
      <c r="N189" s="634"/>
      <c r="O189" s="1"/>
      <c r="P189" s="72"/>
      <c r="Q189" s="1"/>
      <c r="R189" s="1"/>
      <c r="S189" s="1"/>
      <c r="T189" s="1"/>
      <c r="U189" s="4"/>
    </row>
    <row r="190" spans="1:21" ht="18.75" customHeight="1">
      <c r="A190" s="39">
        <v>46037</v>
      </c>
      <c r="B190" s="29" t="s">
        <v>684</v>
      </c>
      <c r="C190" s="30" t="s">
        <v>686</v>
      </c>
      <c r="D190" s="95"/>
      <c r="E190" s="27">
        <v>2200000</v>
      </c>
      <c r="F190" s="31">
        <f t="shared" si="86"/>
        <v>1999999.9999999998</v>
      </c>
      <c r="G190" s="27">
        <f t="shared" si="87"/>
        <v>200000</v>
      </c>
      <c r="H190" s="32">
        <f>IF(D190="no",0,F190*H186)</f>
        <v>999999.99999999988</v>
      </c>
      <c r="I190" s="33">
        <f t="shared" si="88"/>
        <v>33000</v>
      </c>
      <c r="J190" s="26"/>
      <c r="K190" s="27">
        <f t="shared" si="89"/>
        <v>966999.99999999988</v>
      </c>
      <c r="L190" s="27">
        <f>IF(D190="no",F190*H186-J190,0)</f>
        <v>0</v>
      </c>
      <c r="M190" s="572"/>
      <c r="N190" s="564"/>
      <c r="O190" s="1"/>
      <c r="P190" s="72"/>
      <c r="Q190" s="1"/>
      <c r="R190" s="1"/>
      <c r="S190" s="1"/>
      <c r="T190" s="1"/>
      <c r="U190" s="4"/>
    </row>
    <row r="191" spans="1:21" ht="18.75" customHeight="1">
      <c r="A191" s="39">
        <v>46038</v>
      </c>
      <c r="B191" s="29" t="s">
        <v>845</v>
      </c>
      <c r="C191" s="30" t="s">
        <v>687</v>
      </c>
      <c r="D191" s="38"/>
      <c r="E191" s="27">
        <v>550000</v>
      </c>
      <c r="F191" s="31">
        <f t="shared" si="86"/>
        <v>499999.99999999994</v>
      </c>
      <c r="G191" s="27">
        <f t="shared" si="87"/>
        <v>50000</v>
      </c>
      <c r="H191" s="32">
        <f>IF(D191="no",0,F191*H186)</f>
        <v>249999.99999999997</v>
      </c>
      <c r="I191" s="33">
        <f t="shared" si="88"/>
        <v>8250</v>
      </c>
      <c r="J191" s="26"/>
      <c r="K191" s="27">
        <f t="shared" si="89"/>
        <v>241749.99999999997</v>
      </c>
      <c r="L191" s="27">
        <f>IF(D191="no",F191*H186-J191,0)</f>
        <v>0</v>
      </c>
      <c r="M191" s="578"/>
      <c r="N191" s="564"/>
      <c r="O191" s="1"/>
      <c r="P191" s="72"/>
      <c r="Q191" s="1"/>
      <c r="R191" s="1"/>
      <c r="S191" s="1"/>
      <c r="T191" s="1"/>
      <c r="U191" s="4"/>
    </row>
    <row r="192" spans="1:21" ht="18.75" customHeight="1">
      <c r="A192" s="39">
        <v>46044</v>
      </c>
      <c r="B192" s="29" t="s">
        <v>682</v>
      </c>
      <c r="C192" s="30" t="s">
        <v>683</v>
      </c>
      <c r="D192" s="21"/>
      <c r="E192" s="27">
        <v>55000</v>
      </c>
      <c r="F192" s="31">
        <f t="shared" si="86"/>
        <v>49999.999999999993</v>
      </c>
      <c r="G192" s="27">
        <f t="shared" si="87"/>
        <v>5000</v>
      </c>
      <c r="H192" s="32">
        <f>IF(D192="no",0,F192*H186)</f>
        <v>24999.999999999996</v>
      </c>
      <c r="I192" s="33">
        <f t="shared" si="88"/>
        <v>824.99999999999989</v>
      </c>
      <c r="J192" s="26"/>
      <c r="K192" s="27">
        <f t="shared" si="89"/>
        <v>24174.999999999996</v>
      </c>
      <c r="L192" s="27">
        <f>IF(D192="no",F192*H187-J192,0)</f>
        <v>0</v>
      </c>
      <c r="M192" s="578"/>
      <c r="N192" s="564"/>
      <c r="O192" s="1"/>
      <c r="P192" s="72"/>
      <c r="Q192" s="1"/>
      <c r="R192" s="1"/>
      <c r="S192" s="1"/>
      <c r="T192" s="1"/>
      <c r="U192" s="4"/>
    </row>
    <row r="193" spans="1:21" ht="18.75" customHeight="1">
      <c r="A193" s="39"/>
      <c r="B193" s="29"/>
      <c r="C193" s="30"/>
      <c r="D193" s="95"/>
      <c r="E193" s="27"/>
      <c r="F193" s="31">
        <f t="shared" si="86"/>
        <v>0</v>
      </c>
      <c r="G193" s="27">
        <f t="shared" si="87"/>
        <v>0</v>
      </c>
      <c r="H193" s="32">
        <f>IF(D193="no",0,F193*H186)</f>
        <v>0</v>
      </c>
      <c r="I193" s="33">
        <f t="shared" si="88"/>
        <v>0</v>
      </c>
      <c r="J193" s="97"/>
      <c r="K193" s="27">
        <f t="shared" si="89"/>
        <v>0</v>
      </c>
      <c r="L193" s="27">
        <f>IF(D193="no",F193*H186-J193,0)</f>
        <v>0</v>
      </c>
      <c r="M193" s="572"/>
      <c r="N193" s="564"/>
      <c r="O193" s="1"/>
      <c r="P193" s="3"/>
      <c r="Q193" s="1"/>
      <c r="R193" s="1"/>
      <c r="S193" s="1"/>
      <c r="T193" s="1"/>
      <c r="U193" s="4"/>
    </row>
    <row r="194" spans="1:21" ht="18.75" hidden="1" customHeight="1">
      <c r="A194" s="39"/>
      <c r="B194" s="29"/>
      <c r="C194" s="30"/>
      <c r="D194" s="21"/>
      <c r="E194" s="27"/>
      <c r="F194" s="31">
        <f t="shared" si="86"/>
        <v>0</v>
      </c>
      <c r="G194" s="27">
        <f t="shared" si="87"/>
        <v>0</v>
      </c>
      <c r="H194" s="32">
        <f>IF(D194="no",0,F194*H186)</f>
        <v>0</v>
      </c>
      <c r="I194" s="33">
        <f t="shared" si="88"/>
        <v>0</v>
      </c>
      <c r="J194" s="26"/>
      <c r="K194" s="27">
        <f t="shared" si="89"/>
        <v>0</v>
      </c>
      <c r="L194" s="1"/>
      <c r="M194" s="572"/>
      <c r="N194" s="564"/>
      <c r="O194" s="1"/>
      <c r="P194" s="3"/>
      <c r="Q194" s="1"/>
      <c r="R194" s="1"/>
      <c r="S194" s="1"/>
      <c r="T194" s="1"/>
      <c r="U194" s="4"/>
    </row>
    <row r="195" spans="1:21" ht="18.75" hidden="1" customHeight="1">
      <c r="A195" s="39"/>
      <c r="B195" s="29"/>
      <c r="C195" s="30"/>
      <c r="D195" s="21"/>
      <c r="E195" s="27"/>
      <c r="F195" s="31">
        <f t="shared" si="86"/>
        <v>0</v>
      </c>
      <c r="G195" s="27">
        <f t="shared" si="87"/>
        <v>0</v>
      </c>
      <c r="H195" s="32">
        <f>IF(D195="no",0,F195*H186)</f>
        <v>0</v>
      </c>
      <c r="I195" s="33">
        <f t="shared" si="88"/>
        <v>0</v>
      </c>
      <c r="J195" s="26"/>
      <c r="K195" s="27">
        <f t="shared" si="89"/>
        <v>0</v>
      </c>
      <c r="L195" s="1"/>
      <c r="M195" s="572"/>
      <c r="N195" s="564"/>
      <c r="O195" s="1"/>
      <c r="P195" s="3"/>
      <c r="Q195" s="1"/>
      <c r="R195" s="1"/>
      <c r="S195" s="1"/>
      <c r="T195" s="1"/>
      <c r="U195" s="4"/>
    </row>
    <row r="196" spans="1:21" ht="18.75" hidden="1" customHeight="1">
      <c r="A196" s="39"/>
      <c r="B196" s="29"/>
      <c r="C196" s="30"/>
      <c r="D196" s="96"/>
      <c r="E196" s="27"/>
      <c r="F196" s="31">
        <f t="shared" si="86"/>
        <v>0</v>
      </c>
      <c r="G196" s="27">
        <f t="shared" si="87"/>
        <v>0</v>
      </c>
      <c r="H196" s="32">
        <f>IF(D196="no",0,F196*H186)</f>
        <v>0</v>
      </c>
      <c r="I196" s="33">
        <f t="shared" si="88"/>
        <v>0</v>
      </c>
      <c r="J196" s="97"/>
      <c r="K196" s="27">
        <f t="shared" si="89"/>
        <v>0</v>
      </c>
      <c r="L196" s="1"/>
      <c r="M196" s="572"/>
      <c r="N196" s="564"/>
      <c r="O196" s="73"/>
      <c r="P196" s="24"/>
      <c r="Q196" s="73"/>
      <c r="R196" s="73"/>
      <c r="S196" s="73"/>
      <c r="T196" s="73"/>
      <c r="U196" s="4"/>
    </row>
    <row r="197" spans="1:21" ht="18.75" hidden="1" customHeight="1">
      <c r="A197" s="28"/>
      <c r="B197" s="29"/>
      <c r="C197" s="30"/>
      <c r="D197" s="96"/>
      <c r="E197" s="27"/>
      <c r="F197" s="31">
        <f t="shared" si="86"/>
        <v>0</v>
      </c>
      <c r="G197" s="27">
        <f t="shared" si="87"/>
        <v>0</v>
      </c>
      <c r="H197" s="32">
        <f>IF(D197="no",0,F197*H186)</f>
        <v>0</v>
      </c>
      <c r="I197" s="33">
        <f t="shared" si="88"/>
        <v>0</v>
      </c>
      <c r="J197" s="97"/>
      <c r="K197" s="27">
        <f t="shared" si="89"/>
        <v>0</v>
      </c>
      <c r="L197" s="1"/>
      <c r="M197" s="563"/>
      <c r="N197" s="564"/>
      <c r="O197" s="1"/>
      <c r="P197" s="3"/>
      <c r="Q197" s="1"/>
      <c r="R197" s="1"/>
      <c r="S197" s="1"/>
      <c r="T197" s="1"/>
      <c r="U197" s="4"/>
    </row>
    <row r="198" spans="1:21" ht="18.75" hidden="1" customHeight="1">
      <c r="A198" s="28"/>
      <c r="B198" s="29"/>
      <c r="C198" s="30"/>
      <c r="D198" s="21"/>
      <c r="E198" s="27"/>
      <c r="F198" s="31">
        <f t="shared" si="86"/>
        <v>0</v>
      </c>
      <c r="G198" s="27">
        <f t="shared" si="87"/>
        <v>0</v>
      </c>
      <c r="H198" s="32">
        <f>IF(D198="no",0,F198*H186)</f>
        <v>0</v>
      </c>
      <c r="I198" s="33">
        <f t="shared" si="88"/>
        <v>0</v>
      </c>
      <c r="J198" s="26"/>
      <c r="K198" s="27">
        <f t="shared" si="89"/>
        <v>0</v>
      </c>
      <c r="L198" s="1"/>
      <c r="M198" s="563"/>
      <c r="N198" s="564"/>
      <c r="O198" s="1"/>
      <c r="P198" s="3"/>
      <c r="Q198" s="1"/>
      <c r="R198" s="1"/>
      <c r="S198" s="1"/>
      <c r="T198" s="1"/>
      <c r="U198" s="4"/>
    </row>
    <row r="199" spans="1:21" ht="18.75" hidden="1" customHeight="1">
      <c r="A199" s="28"/>
      <c r="B199" s="29"/>
      <c r="C199" s="30"/>
      <c r="D199" s="38"/>
      <c r="E199" s="27"/>
      <c r="F199" s="31">
        <f t="shared" si="86"/>
        <v>0</v>
      </c>
      <c r="G199" s="27">
        <f t="shared" si="87"/>
        <v>0</v>
      </c>
      <c r="H199" s="32">
        <f>IF(D199="no",0,F199*H186)</f>
        <v>0</v>
      </c>
      <c r="I199" s="33">
        <f t="shared" si="88"/>
        <v>0</v>
      </c>
      <c r="J199" s="26"/>
      <c r="K199" s="27">
        <f t="shared" si="89"/>
        <v>0</v>
      </c>
      <c r="L199" s="27">
        <f>IF(D199="no",F199*H188-J199,0)</f>
        <v>0</v>
      </c>
      <c r="M199" s="572"/>
      <c r="N199" s="564"/>
      <c r="O199" s="1"/>
      <c r="P199" s="3"/>
      <c r="Q199" s="1"/>
      <c r="R199" s="1"/>
      <c r="S199" s="1"/>
      <c r="T199" s="1"/>
      <c r="U199" s="4"/>
    </row>
    <row r="200" spans="1:21" ht="18.75" hidden="1" customHeight="1">
      <c r="A200" s="28"/>
      <c r="B200" s="29"/>
      <c r="C200" s="30"/>
      <c r="D200" s="21"/>
      <c r="E200" s="27"/>
      <c r="F200" s="31">
        <f t="shared" si="86"/>
        <v>0</v>
      </c>
      <c r="G200" s="27">
        <f t="shared" si="87"/>
        <v>0</v>
      </c>
      <c r="H200" s="32">
        <f>IF(D200="no",0,F200*H186)</f>
        <v>0</v>
      </c>
      <c r="I200" s="33">
        <f t="shared" si="88"/>
        <v>0</v>
      </c>
      <c r="J200" s="26"/>
      <c r="K200" s="27">
        <f t="shared" si="89"/>
        <v>0</v>
      </c>
      <c r="L200" s="27"/>
      <c r="M200" s="608"/>
      <c r="N200" s="564"/>
      <c r="O200" s="1"/>
      <c r="P200" s="3"/>
      <c r="Q200" s="1"/>
      <c r="R200" s="1"/>
      <c r="S200" s="1"/>
      <c r="T200" s="1"/>
      <c r="U200" s="4"/>
    </row>
    <row r="201" spans="1:21" ht="18.75" hidden="1" customHeight="1">
      <c r="A201" s="28"/>
      <c r="B201" s="29"/>
      <c r="C201" s="30"/>
      <c r="D201" s="21"/>
      <c r="E201" s="27"/>
      <c r="F201" s="31">
        <f t="shared" si="86"/>
        <v>0</v>
      </c>
      <c r="G201" s="27">
        <f t="shared" si="87"/>
        <v>0</v>
      </c>
      <c r="H201" s="32">
        <f>IF(D201="no",0,F201*H186)</f>
        <v>0</v>
      </c>
      <c r="I201" s="33">
        <f t="shared" si="88"/>
        <v>0</v>
      </c>
      <c r="J201" s="26"/>
      <c r="K201" s="27">
        <f t="shared" si="89"/>
        <v>0</v>
      </c>
      <c r="L201" s="27"/>
      <c r="M201" s="608"/>
      <c r="N201" s="564"/>
      <c r="O201" s="1"/>
      <c r="P201" s="3"/>
      <c r="Q201" s="1"/>
      <c r="R201" s="1"/>
      <c r="S201" s="1"/>
      <c r="T201" s="1"/>
      <c r="U201" s="4"/>
    </row>
    <row r="202" spans="1:21" ht="18.75" hidden="1" customHeight="1">
      <c r="A202" s="28"/>
      <c r="B202" s="29"/>
      <c r="C202" s="30"/>
      <c r="D202" s="21"/>
      <c r="E202" s="27"/>
      <c r="F202" s="31">
        <f t="shared" si="86"/>
        <v>0</v>
      </c>
      <c r="G202" s="27">
        <f t="shared" si="87"/>
        <v>0</v>
      </c>
      <c r="H202" s="32">
        <f>IF(D202="no",0,F202*H186)</f>
        <v>0</v>
      </c>
      <c r="I202" s="33">
        <f t="shared" si="88"/>
        <v>0</v>
      </c>
      <c r="J202" s="26"/>
      <c r="K202" s="27">
        <f t="shared" si="89"/>
        <v>0</v>
      </c>
      <c r="L202" s="27"/>
      <c r="M202" s="563"/>
      <c r="N202" s="564"/>
      <c r="O202" s="1"/>
      <c r="P202" s="3"/>
      <c r="Q202" s="1"/>
      <c r="R202" s="1"/>
      <c r="S202" s="1"/>
      <c r="T202" s="1"/>
      <c r="U202" s="4"/>
    </row>
    <row r="203" spans="1:21" ht="18.75" hidden="1" customHeight="1">
      <c r="A203" s="28"/>
      <c r="B203" s="29"/>
      <c r="C203" s="30"/>
      <c r="D203" s="21"/>
      <c r="E203" s="27"/>
      <c r="F203" s="31">
        <f t="shared" si="86"/>
        <v>0</v>
      </c>
      <c r="G203" s="27">
        <f t="shared" si="87"/>
        <v>0</v>
      </c>
      <c r="H203" s="32">
        <f>IF(D203="no",0,F203*H186)</f>
        <v>0</v>
      </c>
      <c r="I203" s="33">
        <f t="shared" si="88"/>
        <v>0</v>
      </c>
      <c r="J203" s="26"/>
      <c r="K203" s="27">
        <f t="shared" si="89"/>
        <v>0</v>
      </c>
      <c r="L203" s="27"/>
      <c r="M203" s="106"/>
      <c r="N203" s="107"/>
      <c r="O203" s="1"/>
      <c r="P203" s="3"/>
      <c r="Q203" s="1"/>
      <c r="R203" s="1"/>
      <c r="S203" s="1"/>
      <c r="T203" s="1"/>
      <c r="U203" s="4"/>
    </row>
    <row r="204" spans="1:21" ht="18.75" customHeight="1">
      <c r="A204" s="28"/>
      <c r="B204" s="29"/>
      <c r="C204" s="30"/>
      <c r="D204" s="21"/>
      <c r="E204" s="27"/>
      <c r="F204" s="31"/>
      <c r="G204" s="27"/>
      <c r="H204" s="32"/>
      <c r="I204" s="33"/>
      <c r="J204" s="26"/>
      <c r="K204" s="27"/>
      <c r="L204" s="27"/>
      <c r="M204" s="613"/>
      <c r="N204" s="564"/>
      <c r="O204" s="1"/>
      <c r="P204" s="3"/>
      <c r="Q204" s="1"/>
      <c r="R204" s="1"/>
      <c r="S204" s="1"/>
      <c r="T204" s="1"/>
      <c r="U204" s="4"/>
    </row>
    <row r="205" spans="1:21" ht="18.75" customHeight="1">
      <c r="A205" s="39" t="s">
        <v>616</v>
      </c>
      <c r="B205" s="29" t="s">
        <v>361</v>
      </c>
      <c r="C205" s="30"/>
      <c r="D205" s="21"/>
      <c r="E205" s="27"/>
      <c r="F205" s="31">
        <f t="shared" ref="F205:F207" si="90">IF(D205="no",E205,E205/1.1)</f>
        <v>0</v>
      </c>
      <c r="G205" s="27">
        <f t="shared" ref="G205:G207" si="91">IF(D205="no",0,F205*0.1)</f>
        <v>0</v>
      </c>
      <c r="H205" s="32"/>
      <c r="I205" s="33">
        <f t="shared" ref="I205:I211" si="92">IF(D205="no",0,H205*3.3%)</f>
        <v>0</v>
      </c>
      <c r="J205" s="26"/>
      <c r="K205" s="27">
        <f t="shared" ref="K205:K211" si="93">IF(D205="no",0,H205-I205-J205)</f>
        <v>0</v>
      </c>
      <c r="L205" s="27">
        <f>IF(D205="no",F205*H188-J205,0)</f>
        <v>0</v>
      </c>
      <c r="M205" s="590"/>
      <c r="N205" s="564"/>
      <c r="O205" s="1"/>
      <c r="P205" s="3"/>
      <c r="Q205" s="1"/>
      <c r="R205" s="1"/>
      <c r="S205" s="1"/>
      <c r="T205" s="1"/>
      <c r="U205" s="4"/>
    </row>
    <row r="206" spans="1:21" ht="18.75" customHeight="1">
      <c r="A206" s="39" t="s">
        <v>616</v>
      </c>
      <c r="B206" s="29" t="s">
        <v>77</v>
      </c>
      <c r="C206" s="30"/>
      <c r="D206" s="21"/>
      <c r="E206" s="27"/>
      <c r="F206" s="31">
        <f t="shared" si="90"/>
        <v>0</v>
      </c>
      <c r="G206" s="27">
        <f t="shared" si="91"/>
        <v>0</v>
      </c>
      <c r="H206" s="37">
        <v>0</v>
      </c>
      <c r="I206" s="33">
        <f t="shared" si="92"/>
        <v>0</v>
      </c>
      <c r="J206" s="93"/>
      <c r="K206" s="27">
        <f t="shared" si="93"/>
        <v>0</v>
      </c>
      <c r="L206" s="1"/>
      <c r="M206" s="572"/>
      <c r="N206" s="564"/>
      <c r="O206" s="1"/>
      <c r="P206" s="3"/>
      <c r="Q206" s="1"/>
      <c r="R206" s="1"/>
      <c r="S206" s="1"/>
      <c r="T206" s="1"/>
      <c r="U206" s="4"/>
    </row>
    <row r="207" spans="1:21" s="116" customFormat="1" ht="18.75" customHeight="1">
      <c r="A207" s="39" t="s">
        <v>616</v>
      </c>
      <c r="B207" s="29" t="s">
        <v>524</v>
      </c>
      <c r="C207" s="109"/>
      <c r="D207" s="110"/>
      <c r="E207" s="111"/>
      <c r="F207" s="31">
        <f t="shared" si="90"/>
        <v>0</v>
      </c>
      <c r="G207" s="111">
        <f t="shared" si="91"/>
        <v>0</v>
      </c>
      <c r="H207" s="37">
        <v>0</v>
      </c>
      <c r="I207" s="113">
        <f t="shared" si="92"/>
        <v>0</v>
      </c>
      <c r="J207" s="114"/>
      <c r="K207" s="111">
        <f t="shared" si="93"/>
        <v>0</v>
      </c>
      <c r="L207" s="111"/>
      <c r="M207" s="586"/>
      <c r="N207" s="587"/>
      <c r="O207" s="88"/>
      <c r="P207" s="72"/>
      <c r="Q207" s="1"/>
      <c r="R207" s="88"/>
      <c r="S207" s="88"/>
      <c r="T207" s="88"/>
      <c r="U207" s="115"/>
    </row>
    <row r="208" spans="1:21" ht="18.75" customHeight="1">
      <c r="A208" s="39" t="s">
        <v>616</v>
      </c>
      <c r="B208" s="29" t="s">
        <v>37</v>
      </c>
      <c r="C208" s="30"/>
      <c r="D208" s="21"/>
      <c r="E208" s="27"/>
      <c r="F208" s="31"/>
      <c r="G208" s="27"/>
      <c r="H208" s="37">
        <v>0</v>
      </c>
      <c r="I208" s="33">
        <f t="shared" si="92"/>
        <v>0</v>
      </c>
      <c r="J208" s="26"/>
      <c r="K208" s="27">
        <f t="shared" si="93"/>
        <v>0</v>
      </c>
      <c r="L208" s="27"/>
      <c r="M208" s="586"/>
      <c r="N208" s="587"/>
      <c r="O208" s="1"/>
      <c r="P208" s="3"/>
      <c r="Q208" s="1"/>
      <c r="R208" s="1"/>
      <c r="S208" s="1"/>
      <c r="T208" s="1"/>
      <c r="U208" s="4"/>
    </row>
    <row r="209" spans="1:21" ht="18.75" customHeight="1">
      <c r="A209" s="39" t="s">
        <v>616</v>
      </c>
      <c r="B209" s="29" t="s">
        <v>64</v>
      </c>
      <c r="C209" s="30"/>
      <c r="D209" s="21"/>
      <c r="E209" s="27"/>
      <c r="F209" s="31">
        <f t="shared" ref="F209:F211" si="94">IF(D209="no",E209,E209/1.1)</f>
        <v>0</v>
      </c>
      <c r="G209" s="27">
        <f t="shared" ref="G209:G211" si="95">IF(D209="no",0,F209*0.1)</f>
        <v>0</v>
      </c>
      <c r="H209" s="37"/>
      <c r="I209" s="33">
        <f t="shared" si="92"/>
        <v>0</v>
      </c>
      <c r="J209" s="26"/>
      <c r="K209" s="27">
        <f t="shared" si="93"/>
        <v>0</v>
      </c>
      <c r="L209" s="27"/>
      <c r="M209" s="660"/>
      <c r="N209" s="597"/>
      <c r="O209" s="1"/>
      <c r="P209" s="3"/>
      <c r="Q209" s="1"/>
      <c r="R209" s="1"/>
      <c r="S209" s="1"/>
      <c r="T209" s="1"/>
      <c r="U209" s="4"/>
    </row>
    <row r="210" spans="1:21" s="405" customFormat="1" ht="18.75" customHeight="1">
      <c r="A210" s="39" t="s">
        <v>616</v>
      </c>
      <c r="B210" s="29" t="s">
        <v>422</v>
      </c>
      <c r="C210" s="30"/>
      <c r="D210" s="406"/>
      <c r="E210" s="27"/>
      <c r="F210" s="31"/>
      <c r="G210" s="27"/>
      <c r="H210" s="37"/>
      <c r="I210" s="33">
        <f t="shared" si="92"/>
        <v>0</v>
      </c>
      <c r="J210" s="26"/>
      <c r="K210" s="27">
        <f t="shared" si="93"/>
        <v>0</v>
      </c>
      <c r="L210" s="27"/>
      <c r="M210" s="572"/>
      <c r="N210" s="634"/>
      <c r="O210" s="1"/>
      <c r="P210" s="3"/>
      <c r="Q210" s="1"/>
      <c r="R210" s="1"/>
      <c r="S210" s="1"/>
      <c r="T210" s="1"/>
      <c r="U210" s="4"/>
    </row>
    <row r="211" spans="1:21" ht="18.75" customHeight="1">
      <c r="A211" s="39" t="s">
        <v>616</v>
      </c>
      <c r="B211" s="29" t="s">
        <v>525</v>
      </c>
      <c r="C211" s="30"/>
      <c r="D211" s="38"/>
      <c r="E211" s="27"/>
      <c r="F211" s="31">
        <f t="shared" si="94"/>
        <v>0</v>
      </c>
      <c r="G211" s="27">
        <f t="shared" si="95"/>
        <v>0</v>
      </c>
      <c r="H211" s="37"/>
      <c r="I211" s="33">
        <f t="shared" si="92"/>
        <v>0</v>
      </c>
      <c r="J211" s="26"/>
      <c r="K211" s="27">
        <f t="shared" si="93"/>
        <v>0</v>
      </c>
      <c r="L211" s="27">
        <f>IF(D211="no",F211*H178-J211,0)</f>
        <v>0</v>
      </c>
      <c r="M211" s="572"/>
      <c r="N211" s="564"/>
      <c r="O211" s="1"/>
      <c r="P211" s="3"/>
      <c r="Q211" s="1"/>
      <c r="R211" s="1"/>
      <c r="S211" s="1"/>
      <c r="T211" s="1"/>
      <c r="U211" s="4"/>
    </row>
    <row r="212" spans="1:21" ht="18.75" customHeight="1">
      <c r="A212" s="575" t="s">
        <v>42</v>
      </c>
      <c r="B212" s="576"/>
      <c r="C212" s="576"/>
      <c r="D212" s="577"/>
      <c r="E212" s="42">
        <f t="shared" ref="E212:L212" si="96">SUM(E188:E211)</f>
        <v>7355000</v>
      </c>
      <c r="F212" s="17">
        <f t="shared" si="96"/>
        <v>6686363.6363636358</v>
      </c>
      <c r="G212" s="42">
        <f t="shared" si="96"/>
        <v>668636.36363636365</v>
      </c>
      <c r="H212" s="43">
        <f t="shared" si="96"/>
        <v>3343181.8181818179</v>
      </c>
      <c r="I212" s="42">
        <f t="shared" si="96"/>
        <v>110325</v>
      </c>
      <c r="J212" s="43">
        <f t="shared" si="96"/>
        <v>0</v>
      </c>
      <c r="K212" s="42">
        <f t="shared" si="96"/>
        <v>3232856.8181818179</v>
      </c>
      <c r="L212" s="42">
        <f t="shared" si="96"/>
        <v>0</v>
      </c>
      <c r="M212" s="44"/>
      <c r="N212" s="45"/>
      <c r="O212" s="1"/>
      <c r="P212" s="3"/>
      <c r="Q212" s="1"/>
      <c r="R212" s="1"/>
      <c r="S212" s="1"/>
      <c r="T212" s="1"/>
      <c r="U212" s="4"/>
    </row>
    <row r="213" spans="1:21" ht="18.75" customHeight="1">
      <c r="A213" s="46" t="s">
        <v>37</v>
      </c>
      <c r="B213" s="47" t="s">
        <v>43</v>
      </c>
      <c r="C213" s="48">
        <f>D186</f>
        <v>4</v>
      </c>
      <c r="D213" s="47" t="s">
        <v>44</v>
      </c>
      <c r="E213" s="49"/>
      <c r="F213" s="50" t="s">
        <v>66</v>
      </c>
      <c r="G213" s="51">
        <f>C213+C236+C260+C284+C302</f>
        <v>14</v>
      </c>
      <c r="H213" s="49"/>
      <c r="I213" s="53" t="s">
        <v>46</v>
      </c>
      <c r="J213" s="54">
        <v>58300</v>
      </c>
      <c r="K213" s="50"/>
      <c r="L213" s="55"/>
      <c r="M213" s="63"/>
      <c r="N213" s="64"/>
      <c r="O213" s="1"/>
      <c r="P213" s="3"/>
      <c r="Q213" s="1"/>
      <c r="R213" s="1"/>
      <c r="S213" s="1"/>
      <c r="T213" s="1"/>
      <c r="U213" s="4"/>
    </row>
    <row r="214" spans="1:21" ht="18.75" customHeight="1" thickBot="1">
      <c r="A214" s="56" t="s">
        <v>48</v>
      </c>
      <c r="B214" s="57" t="s">
        <v>49</v>
      </c>
      <c r="C214" s="58">
        <f>ROUND(F212/10000,0)</f>
        <v>669</v>
      </c>
      <c r="D214" s="57" t="s">
        <v>50</v>
      </c>
      <c r="E214" s="52"/>
      <c r="F214" s="59" t="s">
        <v>67</v>
      </c>
      <c r="G214" s="60">
        <f>C214+C237+C261+C285+C303</f>
        <v>1664</v>
      </c>
      <c r="H214" s="52"/>
      <c r="I214" s="59"/>
      <c r="J214" s="61"/>
      <c r="K214" s="59"/>
      <c r="L214" s="62"/>
      <c r="M214" s="63"/>
      <c r="N214" s="64"/>
      <c r="O214" s="1"/>
      <c r="P214" s="3"/>
      <c r="Q214" s="1"/>
      <c r="R214" s="1"/>
      <c r="S214" s="1"/>
      <c r="T214" s="1"/>
      <c r="U214" s="4"/>
    </row>
    <row r="215" spans="1:21" ht="18.75" customHeight="1" thickBot="1">
      <c r="A215" s="566" t="s">
        <v>52</v>
      </c>
      <c r="B215" s="567"/>
      <c r="C215" s="567"/>
      <c r="D215" s="568"/>
      <c r="E215" s="65"/>
      <c r="F215" s="569" t="s">
        <v>53</v>
      </c>
      <c r="G215" s="568"/>
      <c r="H215" s="66">
        <f>H212-J213</f>
        <v>3284881.8181818179</v>
      </c>
      <c r="I215" s="67">
        <f>H215*3.3%</f>
        <v>108401.09999999999</v>
      </c>
      <c r="J215" s="68">
        <f>SUM(J212)</f>
        <v>0</v>
      </c>
      <c r="K215" s="69">
        <f>H215-I215-J215</f>
        <v>3176480.7181818178</v>
      </c>
      <c r="L215" s="70"/>
      <c r="M215" s="570">
        <f>K215</f>
        <v>3176480.7181818178</v>
      </c>
      <c r="N215" s="571"/>
      <c r="O215" s="1"/>
      <c r="P215" s="3"/>
      <c r="Q215" s="1"/>
      <c r="R215" s="1"/>
      <c r="S215" s="1"/>
      <c r="T215" s="1"/>
      <c r="U215" s="4"/>
    </row>
    <row r="216" spans="1:21" ht="17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3"/>
      <c r="Q216" s="1"/>
      <c r="R216" s="1"/>
      <c r="S216" s="1"/>
      <c r="T216" s="1"/>
      <c r="U216" s="4"/>
    </row>
    <row r="217" spans="1:21" ht="18.75" customHeight="1">
      <c r="A217" s="6" t="s">
        <v>80</v>
      </c>
      <c r="B217" s="7" t="str">
        <f>$B$34</f>
        <v>1월</v>
      </c>
      <c r="C217" s="8" t="s">
        <v>1</v>
      </c>
      <c r="D217" s="9">
        <f>COUNTIF($C219:$C234,"계약")+(COUNTIF($C219:$C234,"계약2")*2)</f>
        <v>0</v>
      </c>
      <c r="E217" s="3">
        <f>COUNTIF(C219:C234,"낙찰수수료")</f>
        <v>0</v>
      </c>
      <c r="F217" s="3"/>
      <c r="G217" s="89" t="s">
        <v>81</v>
      </c>
      <c r="H217" s="11">
        <v>0.5</v>
      </c>
      <c r="I217" s="12">
        <v>3.3000000000000002E-2</v>
      </c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4"/>
    </row>
    <row r="218" spans="1:21" ht="18.75" customHeight="1">
      <c r="A218" s="13" t="s">
        <v>3</v>
      </c>
      <c r="B218" s="14" t="s">
        <v>4</v>
      </c>
      <c r="C218" s="14" t="s">
        <v>5</v>
      </c>
      <c r="D218" s="101" t="s">
        <v>6</v>
      </c>
      <c r="E218" s="16" t="s">
        <v>7</v>
      </c>
      <c r="F218" s="17" t="s">
        <v>8</v>
      </c>
      <c r="G218" s="14" t="s">
        <v>9</v>
      </c>
      <c r="H218" s="15" t="s">
        <v>10</v>
      </c>
      <c r="I218" s="14" t="s">
        <v>11</v>
      </c>
      <c r="J218" s="15" t="s">
        <v>12</v>
      </c>
      <c r="K218" s="14" t="s">
        <v>13</v>
      </c>
      <c r="L218" s="14" t="s">
        <v>14</v>
      </c>
      <c r="M218" s="579" t="s">
        <v>15</v>
      </c>
      <c r="N218" s="577"/>
      <c r="O218" s="1"/>
      <c r="P218" s="3"/>
      <c r="Q218" s="1"/>
      <c r="R218" s="1"/>
      <c r="S218" s="1"/>
      <c r="T218" s="1"/>
      <c r="U218" s="4"/>
    </row>
    <row r="219" spans="1:21" ht="18.75" hidden="1" customHeight="1">
      <c r="A219" s="28"/>
      <c r="B219" s="29"/>
      <c r="C219" s="30"/>
      <c r="D219" s="38"/>
      <c r="E219" s="27"/>
      <c r="F219" s="31">
        <f t="shared" ref="F219:F227" si="97">IF(D219="no",E219,E219/1.1)</f>
        <v>0</v>
      </c>
      <c r="G219" s="27">
        <f t="shared" ref="G219:G227" si="98">IF(D219="no",0,F219*0.1)</f>
        <v>0</v>
      </c>
      <c r="H219" s="32">
        <f>IF(D219="no",0,F219*H217)</f>
        <v>0</v>
      </c>
      <c r="I219" s="33">
        <f t="shared" ref="I219:I234" si="99">IF(D219="no",0,H219*3.3%)</f>
        <v>0</v>
      </c>
      <c r="J219" s="26"/>
      <c r="K219" s="27">
        <f t="shared" ref="K219:K234" si="100">IF(D219="no",0,H219-I219-J219)</f>
        <v>0</v>
      </c>
      <c r="L219" s="27">
        <f>IF(D219="no",F219*H217-J219,0)</f>
        <v>0</v>
      </c>
      <c r="M219" s="580"/>
      <c r="N219" s="581"/>
      <c r="O219" s="1"/>
      <c r="P219" s="3"/>
      <c r="Q219" s="1"/>
      <c r="R219" s="1"/>
      <c r="S219" s="1"/>
      <c r="T219" s="1"/>
      <c r="U219" s="4"/>
    </row>
    <row r="220" spans="1:21" ht="18.75" hidden="1" customHeight="1">
      <c r="A220" s="39"/>
      <c r="B220" s="29"/>
      <c r="C220" s="30"/>
      <c r="D220" s="494"/>
      <c r="E220" s="102"/>
      <c r="F220" s="31">
        <f t="shared" si="97"/>
        <v>0</v>
      </c>
      <c r="G220" s="27">
        <f t="shared" si="98"/>
        <v>0</v>
      </c>
      <c r="H220" s="32">
        <f>IF(D220="no",0,F220*H217)</f>
        <v>0</v>
      </c>
      <c r="I220" s="33">
        <f t="shared" si="99"/>
        <v>0</v>
      </c>
      <c r="J220" s="26"/>
      <c r="K220" s="27">
        <f t="shared" si="100"/>
        <v>0</v>
      </c>
      <c r="L220" s="27">
        <f>IF(D220="no",F220*H217-J220,0)</f>
        <v>0</v>
      </c>
      <c r="M220" s="572"/>
      <c r="N220" s="564"/>
      <c r="O220" s="1"/>
      <c r="P220" s="3"/>
      <c r="Q220" s="1"/>
      <c r="R220" s="1"/>
      <c r="S220" s="1"/>
      <c r="T220" s="1"/>
      <c r="U220" s="4"/>
    </row>
    <row r="221" spans="1:21" ht="18.75" hidden="1" customHeight="1">
      <c r="A221" s="39"/>
      <c r="B221" s="29"/>
      <c r="C221" s="30"/>
      <c r="D221" s="38"/>
      <c r="E221" s="102"/>
      <c r="F221" s="31">
        <f t="shared" si="97"/>
        <v>0</v>
      </c>
      <c r="G221" s="27">
        <f t="shared" si="98"/>
        <v>0</v>
      </c>
      <c r="H221" s="32">
        <f>IF(D221="no",0,F221*H217)</f>
        <v>0</v>
      </c>
      <c r="I221" s="33">
        <f t="shared" si="99"/>
        <v>0</v>
      </c>
      <c r="J221" s="26"/>
      <c r="K221" s="27">
        <f t="shared" si="100"/>
        <v>0</v>
      </c>
      <c r="L221" s="27">
        <f>IF(D221="no",F221*H217-J221,0)</f>
        <v>0</v>
      </c>
      <c r="M221" s="572"/>
      <c r="N221" s="564"/>
      <c r="O221" s="1"/>
      <c r="P221" s="3"/>
      <c r="Q221" s="1"/>
      <c r="R221" s="1"/>
      <c r="S221" s="1"/>
      <c r="T221" s="1"/>
      <c r="U221" s="4"/>
    </row>
    <row r="222" spans="1:21" ht="18.75" hidden="1" customHeight="1">
      <c r="A222" s="39"/>
      <c r="B222" s="29"/>
      <c r="C222" s="30"/>
      <c r="D222" s="38"/>
      <c r="E222" s="102"/>
      <c r="F222" s="31">
        <f t="shared" si="97"/>
        <v>0</v>
      </c>
      <c r="G222" s="27">
        <f t="shared" si="98"/>
        <v>0</v>
      </c>
      <c r="H222" s="32">
        <f>IF(D222="no",0,F222*H217)</f>
        <v>0</v>
      </c>
      <c r="I222" s="33">
        <f t="shared" si="99"/>
        <v>0</v>
      </c>
      <c r="J222" s="26"/>
      <c r="K222" s="27">
        <f t="shared" si="100"/>
        <v>0</v>
      </c>
      <c r="L222" s="27">
        <f>IF(D222="no",F222*H217-J222,0)</f>
        <v>0</v>
      </c>
      <c r="M222" s="563"/>
      <c r="N222" s="564"/>
      <c r="O222" s="1"/>
      <c r="P222" s="3"/>
      <c r="Q222" s="1"/>
      <c r="R222" s="1"/>
      <c r="S222" s="1"/>
      <c r="T222" s="1"/>
      <c r="U222" s="4"/>
    </row>
    <row r="223" spans="1:21" ht="18.75" hidden="1" customHeight="1">
      <c r="A223" s="28"/>
      <c r="B223" s="392"/>
      <c r="C223" s="30"/>
      <c r="D223" s="21"/>
      <c r="E223" s="27"/>
      <c r="F223" s="31">
        <f t="shared" si="97"/>
        <v>0</v>
      </c>
      <c r="G223" s="27">
        <f t="shared" si="98"/>
        <v>0</v>
      </c>
      <c r="H223" s="32">
        <f>IF(D223="no",0,F223*H217)</f>
        <v>0</v>
      </c>
      <c r="I223" s="33">
        <f t="shared" si="99"/>
        <v>0</v>
      </c>
      <c r="J223" s="26"/>
      <c r="K223" s="27">
        <f t="shared" si="100"/>
        <v>0</v>
      </c>
      <c r="L223" s="27">
        <f>IF(D223="no",F223*H217-J223,0)</f>
        <v>0</v>
      </c>
      <c r="M223" s="572"/>
      <c r="N223" s="564"/>
      <c r="O223" s="1"/>
      <c r="P223" s="3"/>
      <c r="Q223" s="1"/>
      <c r="R223" s="1"/>
      <c r="S223" s="1"/>
      <c r="T223" s="1"/>
      <c r="U223" s="4"/>
    </row>
    <row r="224" spans="1:21" s="270" customFormat="1" ht="18.75" hidden="1" customHeight="1">
      <c r="A224" s="28"/>
      <c r="B224" s="29"/>
      <c r="C224" s="30"/>
      <c r="D224" s="271"/>
      <c r="E224" s="27"/>
      <c r="F224" s="31">
        <f t="shared" ref="F224:F225" si="101">IF(D224="no",E224,E224/1.1)</f>
        <v>0</v>
      </c>
      <c r="G224" s="27">
        <f t="shared" ref="G224:G225" si="102">IF(D224="no",0,F224*0.1)</f>
        <v>0</v>
      </c>
      <c r="H224" s="32">
        <f>IF(D224="no",0,F224*H217)</f>
        <v>0</v>
      </c>
      <c r="I224" s="33">
        <f t="shared" ref="I224:I225" si="103">IF(D224="no",0,H224*3.3%)</f>
        <v>0</v>
      </c>
      <c r="J224" s="26"/>
      <c r="K224" s="27">
        <f t="shared" ref="K224:K225" si="104">IF(D224="no",0,H224-I224-J224)</f>
        <v>0</v>
      </c>
      <c r="L224" s="27">
        <f>IF(D224="no",F224*H217-J224,0)</f>
        <v>0</v>
      </c>
      <c r="M224" s="572"/>
      <c r="N224" s="564"/>
      <c r="O224" s="1"/>
      <c r="P224" s="3"/>
      <c r="Q224" s="1"/>
      <c r="R224" s="1"/>
      <c r="S224" s="1"/>
      <c r="T224" s="1"/>
      <c r="U224" s="4"/>
    </row>
    <row r="225" spans="1:21" s="270" customFormat="1" ht="18.75" hidden="1" customHeight="1">
      <c r="A225" s="28"/>
      <c r="B225" s="29"/>
      <c r="C225" s="30"/>
      <c r="D225" s="271"/>
      <c r="E225" s="27"/>
      <c r="F225" s="31">
        <f t="shared" si="101"/>
        <v>0</v>
      </c>
      <c r="G225" s="27">
        <f t="shared" si="102"/>
        <v>0</v>
      </c>
      <c r="H225" s="32">
        <f>IF(D225="no",0,F225*H217)</f>
        <v>0</v>
      </c>
      <c r="I225" s="33">
        <f t="shared" si="103"/>
        <v>0</v>
      </c>
      <c r="J225" s="26"/>
      <c r="K225" s="27">
        <f t="shared" si="104"/>
        <v>0</v>
      </c>
      <c r="L225" s="27">
        <f>IF(D225="no",F225*H217-J225,0)</f>
        <v>0</v>
      </c>
      <c r="M225" s="563"/>
      <c r="N225" s="564"/>
      <c r="O225" s="1"/>
      <c r="P225" s="3"/>
      <c r="Q225" s="1"/>
      <c r="R225" s="1"/>
      <c r="S225" s="1"/>
      <c r="T225" s="1"/>
      <c r="U225" s="4"/>
    </row>
    <row r="226" spans="1:21" ht="18.75" hidden="1" customHeight="1">
      <c r="A226" s="121"/>
      <c r="B226" s="108"/>
      <c r="C226" s="109"/>
      <c r="D226" s="122"/>
      <c r="E226" s="111"/>
      <c r="F226" s="31">
        <f t="shared" si="97"/>
        <v>0</v>
      </c>
      <c r="G226" s="27">
        <f t="shared" si="98"/>
        <v>0</v>
      </c>
      <c r="H226" s="32">
        <f>IF(D226="no",0,F226*H217)</f>
        <v>0</v>
      </c>
      <c r="I226" s="33">
        <f t="shared" si="99"/>
        <v>0</v>
      </c>
      <c r="J226" s="26"/>
      <c r="K226" s="27">
        <f t="shared" si="100"/>
        <v>0</v>
      </c>
      <c r="L226" s="27">
        <f>IF(D226="no",F226*H217-J226,0)</f>
        <v>0</v>
      </c>
      <c r="M226" s="572"/>
      <c r="N226" s="564"/>
      <c r="O226" s="1"/>
      <c r="P226" s="3"/>
      <c r="Q226" s="1"/>
      <c r="R226" s="1"/>
      <c r="S226" s="1"/>
      <c r="T226" s="1"/>
      <c r="U226" s="4"/>
    </row>
    <row r="227" spans="1:21" ht="18.75" hidden="1" customHeight="1">
      <c r="A227" s="28"/>
      <c r="B227" s="29"/>
      <c r="C227" s="30"/>
      <c r="D227" s="21"/>
      <c r="E227" s="27"/>
      <c r="F227" s="31">
        <f t="shared" si="97"/>
        <v>0</v>
      </c>
      <c r="G227" s="27">
        <f t="shared" si="98"/>
        <v>0</v>
      </c>
      <c r="H227" s="32">
        <f>IF(D227="no",0,F227*H217)</f>
        <v>0</v>
      </c>
      <c r="I227" s="33">
        <f t="shared" ref="I227" si="105">IF(D227="no",0,H227*3.3%)</f>
        <v>0</v>
      </c>
      <c r="J227" s="26"/>
      <c r="K227" s="27">
        <f t="shared" ref="K227" si="106">IF(D227="no",0,H227-I227-J227)</f>
        <v>0</v>
      </c>
      <c r="L227" s="1"/>
      <c r="M227" s="573"/>
      <c r="N227" s="564"/>
      <c r="O227" s="1"/>
      <c r="P227" s="3"/>
      <c r="Q227" s="1"/>
      <c r="R227" s="1"/>
      <c r="S227" s="1"/>
      <c r="T227" s="1"/>
      <c r="U227" s="4"/>
    </row>
    <row r="228" spans="1:21" s="270" customFormat="1" ht="18.75" customHeight="1">
      <c r="A228" s="28"/>
      <c r="B228" s="29"/>
      <c r="C228" s="30"/>
      <c r="D228" s="273"/>
      <c r="E228" s="27"/>
      <c r="F228" s="31"/>
      <c r="G228" s="27"/>
      <c r="H228" s="32"/>
      <c r="I228" s="33"/>
      <c r="J228" s="26"/>
      <c r="K228" s="27"/>
      <c r="L228" s="1"/>
      <c r="M228" s="573"/>
      <c r="N228" s="564"/>
      <c r="O228" s="1"/>
      <c r="P228" s="3"/>
      <c r="Q228" s="1"/>
      <c r="R228" s="1"/>
      <c r="S228" s="1"/>
      <c r="T228" s="1"/>
      <c r="U228" s="4"/>
    </row>
    <row r="229" spans="1:21" s="380" customFormat="1" ht="18.75" customHeight="1">
      <c r="A229" s="39" t="s">
        <v>616</v>
      </c>
      <c r="B229" s="29" t="s">
        <v>361</v>
      </c>
      <c r="C229" s="30"/>
      <c r="D229" s="381"/>
      <c r="E229" s="27"/>
      <c r="F229" s="31"/>
      <c r="G229" s="27"/>
      <c r="H229" s="32">
        <v>0</v>
      </c>
      <c r="I229" s="33">
        <f t="shared" ref="I229" si="107">IF(D229="no",0,H229*3.3%)</f>
        <v>0</v>
      </c>
      <c r="J229" s="26">
        <v>0</v>
      </c>
      <c r="K229" s="27">
        <f t="shared" ref="K229" si="108">IF(D229="no",0,H229-I229-J229)</f>
        <v>0</v>
      </c>
      <c r="L229" s="27">
        <f>IF(D229="no",F229*#REF!-J229,0)</f>
        <v>0</v>
      </c>
      <c r="M229" s="574"/>
      <c r="N229" s="583"/>
      <c r="O229" s="1"/>
      <c r="P229" s="3"/>
      <c r="Q229" s="1"/>
      <c r="R229" s="1"/>
      <c r="S229" s="1"/>
      <c r="T229" s="1"/>
      <c r="U229" s="4"/>
    </row>
    <row r="230" spans="1:21" ht="18.75" customHeight="1">
      <c r="A230" s="39" t="s">
        <v>616</v>
      </c>
      <c r="B230" s="29" t="s">
        <v>61</v>
      </c>
      <c r="C230" s="30"/>
      <c r="D230" s="38"/>
      <c r="E230" s="27"/>
      <c r="F230" s="31"/>
      <c r="G230" s="27"/>
      <c r="H230" s="37"/>
      <c r="I230" s="33">
        <f t="shared" si="99"/>
        <v>0</v>
      </c>
      <c r="J230" s="26"/>
      <c r="K230" s="27">
        <f t="shared" si="100"/>
        <v>0</v>
      </c>
      <c r="L230" s="27">
        <f>IF(D230="no",F230*H216-J230,0)</f>
        <v>0</v>
      </c>
      <c r="M230" s="572"/>
      <c r="N230" s="564"/>
      <c r="O230" s="1"/>
      <c r="P230" s="3"/>
      <c r="Q230" s="1"/>
      <c r="R230" s="1"/>
      <c r="S230" s="1"/>
      <c r="T230" s="1"/>
      <c r="U230" s="4"/>
    </row>
    <row r="231" spans="1:21" ht="18.75" customHeight="1">
      <c r="A231" s="39" t="s">
        <v>616</v>
      </c>
      <c r="B231" s="29" t="s">
        <v>35</v>
      </c>
      <c r="C231" s="30"/>
      <c r="D231" s="21"/>
      <c r="E231" s="27"/>
      <c r="F231" s="31">
        <f t="shared" ref="F231:F234" si="109">IF(D231="no",E231,E231/1.1)</f>
        <v>0</v>
      </c>
      <c r="G231" s="27">
        <f t="shared" ref="G231:G234" si="110">IF(D231="no",0,F231*0.1)</f>
        <v>0</v>
      </c>
      <c r="H231" s="32"/>
      <c r="I231" s="33">
        <f t="shared" si="99"/>
        <v>0</v>
      </c>
      <c r="J231" s="26"/>
      <c r="K231" s="27">
        <f t="shared" si="100"/>
        <v>0</v>
      </c>
      <c r="L231" s="1"/>
      <c r="M231" s="574"/>
      <c r="N231" s="564"/>
      <c r="O231" s="1"/>
      <c r="P231" s="3"/>
      <c r="Q231" s="1"/>
      <c r="R231" s="1"/>
      <c r="S231" s="1"/>
      <c r="T231" s="1"/>
      <c r="U231" s="4"/>
    </row>
    <row r="232" spans="1:21" s="405" customFormat="1" ht="18.75" customHeight="1">
      <c r="A232" s="39" t="s">
        <v>616</v>
      </c>
      <c r="B232" s="29" t="s">
        <v>422</v>
      </c>
      <c r="C232" s="30"/>
      <c r="D232" s="406"/>
      <c r="E232" s="27"/>
      <c r="F232" s="31"/>
      <c r="G232" s="27"/>
      <c r="H232" s="37"/>
      <c r="I232" s="33">
        <f t="shared" si="99"/>
        <v>0</v>
      </c>
      <c r="J232" s="26"/>
      <c r="K232" s="27">
        <f t="shared" si="100"/>
        <v>0</v>
      </c>
      <c r="L232" s="27"/>
      <c r="M232" s="572"/>
      <c r="N232" s="634"/>
      <c r="O232" s="1"/>
      <c r="P232" s="3"/>
      <c r="Q232" s="1"/>
      <c r="R232" s="1"/>
      <c r="S232" s="1"/>
      <c r="T232" s="1"/>
      <c r="U232" s="4"/>
    </row>
    <row r="233" spans="1:21" s="401" customFormat="1" ht="18.75" customHeight="1">
      <c r="A233" s="39" t="s">
        <v>616</v>
      </c>
      <c r="B233" s="29" t="s">
        <v>419</v>
      </c>
      <c r="C233" s="30"/>
      <c r="D233" s="402"/>
      <c r="E233" s="27"/>
      <c r="F233" s="31"/>
      <c r="G233" s="27"/>
      <c r="H233" s="32"/>
      <c r="I233" s="33">
        <f t="shared" ref="I233" si="111">IF(D233="no",0,H233*3.3%)</f>
        <v>0</v>
      </c>
      <c r="J233" s="26"/>
      <c r="K233" s="27">
        <f t="shared" ref="K233" si="112">IF(D233="no",0,H233-I233-J233)</f>
        <v>0</v>
      </c>
      <c r="L233" s="1"/>
      <c r="M233" s="574"/>
      <c r="N233" s="564"/>
      <c r="O233" s="1"/>
      <c r="P233" s="3"/>
      <c r="Q233" s="1"/>
      <c r="R233" s="1"/>
      <c r="S233" s="1"/>
      <c r="T233" s="1"/>
      <c r="U233" s="4"/>
    </row>
    <row r="234" spans="1:21" ht="18.75" customHeight="1">
      <c r="A234" s="39" t="s">
        <v>616</v>
      </c>
      <c r="B234" s="29" t="s">
        <v>364</v>
      </c>
      <c r="C234" s="30"/>
      <c r="D234" s="21"/>
      <c r="E234" s="27"/>
      <c r="F234" s="31">
        <f t="shared" si="109"/>
        <v>0</v>
      </c>
      <c r="G234" s="27">
        <f t="shared" si="110"/>
        <v>0</v>
      </c>
      <c r="H234" s="37">
        <v>0</v>
      </c>
      <c r="I234" s="33">
        <f t="shared" si="99"/>
        <v>0</v>
      </c>
      <c r="J234" s="26"/>
      <c r="K234" s="27">
        <f t="shared" si="100"/>
        <v>0</v>
      </c>
      <c r="L234" s="27"/>
      <c r="M234" s="572"/>
      <c r="N234" s="564"/>
      <c r="O234" s="1"/>
      <c r="P234" s="3"/>
      <c r="Q234" s="1"/>
      <c r="R234" s="1"/>
      <c r="S234" s="1"/>
      <c r="T234" s="1"/>
      <c r="U234" s="4"/>
    </row>
    <row r="235" spans="1:21" ht="18.75" customHeight="1">
      <c r="A235" s="575" t="s">
        <v>42</v>
      </c>
      <c r="B235" s="576"/>
      <c r="C235" s="576"/>
      <c r="D235" s="577"/>
      <c r="E235" s="42">
        <f t="shared" ref="E235:L235" si="113">SUM(E219:E234)</f>
        <v>0</v>
      </c>
      <c r="F235" s="17">
        <f t="shared" si="113"/>
        <v>0</v>
      </c>
      <c r="G235" s="42">
        <f t="shared" si="113"/>
        <v>0</v>
      </c>
      <c r="H235" s="43">
        <f t="shared" si="113"/>
        <v>0</v>
      </c>
      <c r="I235" s="42">
        <f t="shared" si="113"/>
        <v>0</v>
      </c>
      <c r="J235" s="43">
        <f t="shared" si="113"/>
        <v>0</v>
      </c>
      <c r="K235" s="42">
        <f t="shared" si="113"/>
        <v>0</v>
      </c>
      <c r="L235" s="42">
        <f t="shared" si="113"/>
        <v>0</v>
      </c>
      <c r="M235" s="44"/>
      <c r="N235" s="45"/>
      <c r="O235" s="1"/>
      <c r="P235" s="3"/>
      <c r="Q235" s="1"/>
      <c r="R235" s="1"/>
      <c r="S235" s="1"/>
      <c r="T235" s="1"/>
      <c r="U235" s="4"/>
    </row>
    <row r="236" spans="1:21" ht="18.75" customHeight="1">
      <c r="A236" s="46" t="s">
        <v>37</v>
      </c>
      <c r="B236" s="47" t="s">
        <v>43</v>
      </c>
      <c r="C236" s="48">
        <f>D217</f>
        <v>0</v>
      </c>
      <c r="D236" s="47" t="s">
        <v>44</v>
      </c>
      <c r="E236" s="49"/>
      <c r="F236" s="84"/>
      <c r="G236" s="85"/>
      <c r="H236" s="49"/>
      <c r="I236" s="53" t="s">
        <v>46</v>
      </c>
      <c r="J236" s="54">
        <v>0</v>
      </c>
      <c r="K236" s="50"/>
      <c r="L236" s="55"/>
      <c r="M236" s="63"/>
      <c r="N236" s="64"/>
      <c r="O236" s="1"/>
      <c r="P236" s="3"/>
      <c r="Q236" s="1"/>
      <c r="R236" s="1"/>
      <c r="S236" s="1"/>
      <c r="T236" s="1"/>
      <c r="U236" s="4"/>
    </row>
    <row r="237" spans="1:21" ht="16.5" customHeight="1" thickBot="1">
      <c r="A237" s="56" t="s">
        <v>48</v>
      </c>
      <c r="B237" s="57" t="s">
        <v>49</v>
      </c>
      <c r="C237" s="58">
        <f>ROUND(F235/10000,0)</f>
        <v>0</v>
      </c>
      <c r="D237" s="57" t="s">
        <v>50</v>
      </c>
      <c r="E237" s="52"/>
      <c r="F237" s="86"/>
      <c r="G237" s="87"/>
      <c r="H237" s="52"/>
      <c r="I237" s="59"/>
      <c r="J237" s="61"/>
      <c r="K237" s="59"/>
      <c r="L237" s="62"/>
      <c r="M237" s="63"/>
      <c r="N237" s="64"/>
      <c r="O237" s="1"/>
      <c r="P237" s="3"/>
      <c r="Q237" s="1"/>
      <c r="R237" s="1"/>
      <c r="S237" s="1"/>
      <c r="T237" s="1"/>
      <c r="U237" s="4"/>
    </row>
    <row r="238" spans="1:21" ht="18.75" customHeight="1" thickBot="1">
      <c r="A238" s="566" t="s">
        <v>52</v>
      </c>
      <c r="B238" s="567"/>
      <c r="C238" s="567"/>
      <c r="D238" s="568"/>
      <c r="E238" s="65"/>
      <c r="F238" s="569" t="s">
        <v>53</v>
      </c>
      <c r="G238" s="568"/>
      <c r="H238" s="66">
        <f>H235-J236</f>
        <v>0</v>
      </c>
      <c r="I238" s="67">
        <f>H238*3.3%</f>
        <v>0</v>
      </c>
      <c r="J238" s="68">
        <f>SUM(J235)</f>
        <v>0</v>
      </c>
      <c r="K238" s="69">
        <f>H238-I238-J238</f>
        <v>0</v>
      </c>
      <c r="L238" s="70">
        <f>L235+SUM(H236:H237)+J237</f>
        <v>0</v>
      </c>
      <c r="M238" s="570">
        <f>K238+L238</f>
        <v>0</v>
      </c>
      <c r="N238" s="571"/>
      <c r="O238" s="1"/>
      <c r="P238" s="3"/>
      <c r="Q238" s="1"/>
      <c r="R238" s="1"/>
      <c r="S238" s="1"/>
      <c r="T238" s="1"/>
      <c r="U238" s="4"/>
    </row>
    <row r="239" spans="1:21" ht="17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3"/>
      <c r="Q239" s="1"/>
      <c r="R239" s="1"/>
      <c r="S239" s="1"/>
      <c r="T239" s="1"/>
      <c r="U239" s="4"/>
    </row>
    <row r="240" spans="1:21" ht="18.75" customHeight="1">
      <c r="A240" s="6" t="s">
        <v>82</v>
      </c>
      <c r="B240" s="7" t="str">
        <f>$B$34</f>
        <v>1월</v>
      </c>
      <c r="C240" s="8" t="s">
        <v>1</v>
      </c>
      <c r="D240" s="9">
        <f>COUNTIF($C242:$C257,"계약")+(COUNTIF($C242:$C257,"계약2")*2)</f>
        <v>1</v>
      </c>
      <c r="E240" s="3">
        <f>COUNTIF(C242:C258,"낙찰수수료")</f>
        <v>0</v>
      </c>
      <c r="F240" s="3"/>
      <c r="G240" s="89" t="s">
        <v>83</v>
      </c>
      <c r="H240" s="11">
        <v>0.5</v>
      </c>
      <c r="I240" s="12">
        <v>3.3000000000000002E-2</v>
      </c>
      <c r="J240" s="1"/>
      <c r="K240" s="1"/>
      <c r="L240" s="1"/>
      <c r="M240" s="1"/>
      <c r="N240" s="1"/>
      <c r="O240" s="1"/>
      <c r="P240" s="3"/>
      <c r="Q240" s="1"/>
      <c r="R240" s="1"/>
      <c r="S240" s="1"/>
      <c r="T240" s="1"/>
      <c r="U240" s="4"/>
    </row>
    <row r="241" spans="1:21" ht="18.75" customHeight="1">
      <c r="A241" s="13" t="s">
        <v>3</v>
      </c>
      <c r="B241" s="14" t="s">
        <v>4</v>
      </c>
      <c r="C241" s="14" t="s">
        <v>5</v>
      </c>
      <c r="D241" s="101" t="s">
        <v>6</v>
      </c>
      <c r="E241" s="16" t="s">
        <v>7</v>
      </c>
      <c r="F241" s="17" t="s">
        <v>8</v>
      </c>
      <c r="G241" s="14" t="s">
        <v>9</v>
      </c>
      <c r="H241" s="15" t="s">
        <v>10</v>
      </c>
      <c r="I241" s="14" t="s">
        <v>11</v>
      </c>
      <c r="J241" s="15" t="s">
        <v>12</v>
      </c>
      <c r="K241" s="14" t="s">
        <v>13</v>
      </c>
      <c r="L241" s="14" t="s">
        <v>14</v>
      </c>
      <c r="M241" s="579" t="s">
        <v>15</v>
      </c>
      <c r="N241" s="577"/>
      <c r="O241" s="1"/>
      <c r="P241" s="3"/>
      <c r="Q241" s="1"/>
      <c r="R241" s="1"/>
      <c r="S241" s="1"/>
      <c r="T241" s="1"/>
      <c r="U241" s="4"/>
    </row>
    <row r="242" spans="1:21" ht="18.75" customHeight="1">
      <c r="A242" s="28">
        <v>46031</v>
      </c>
      <c r="B242" s="29" t="s">
        <v>688</v>
      </c>
      <c r="C242" s="30" t="s">
        <v>551</v>
      </c>
      <c r="D242" s="38"/>
      <c r="E242" s="27">
        <v>550000</v>
      </c>
      <c r="F242" s="31">
        <f t="shared" ref="F242:F251" si="114">IF(D242="no",E242,E242/1.1)</f>
        <v>499999.99999999994</v>
      </c>
      <c r="G242" s="27">
        <f t="shared" ref="G242:G251" si="115">IF(D242="no",0,F242*0.1)</f>
        <v>50000</v>
      </c>
      <c r="H242" s="32">
        <f>IF(D242="no",0,F242*H240)</f>
        <v>249999.99999999997</v>
      </c>
      <c r="I242" s="33">
        <f t="shared" ref="I242:I258" si="116">IF(D242="no",0,H242*3.3%)</f>
        <v>8250</v>
      </c>
      <c r="J242" s="26"/>
      <c r="K242" s="27">
        <f t="shared" ref="K242:K258" si="117">IF(D242="no",0,H242-I242-J242)</f>
        <v>241749.99999999997</v>
      </c>
      <c r="L242" s="27">
        <f>IF(D242="no",F242*H240-J242,0)</f>
        <v>0</v>
      </c>
      <c r="M242" s="580"/>
      <c r="N242" s="581"/>
      <c r="O242" s="1"/>
      <c r="P242" s="3"/>
      <c r="Q242" s="1"/>
      <c r="R242" s="1"/>
      <c r="S242" s="1"/>
      <c r="T242" s="1"/>
      <c r="U242" s="4"/>
    </row>
    <row r="243" spans="1:21" ht="18.75" customHeight="1">
      <c r="A243" s="28"/>
      <c r="B243" s="29"/>
      <c r="C243" s="30"/>
      <c r="D243" s="21"/>
      <c r="E243" s="27"/>
      <c r="F243" s="31">
        <f t="shared" si="114"/>
        <v>0</v>
      </c>
      <c r="G243" s="27">
        <f t="shared" si="115"/>
        <v>0</v>
      </c>
      <c r="H243" s="32">
        <f>IF(D243="no",0,F243*H240)</f>
        <v>0</v>
      </c>
      <c r="I243" s="33">
        <f t="shared" si="116"/>
        <v>0</v>
      </c>
      <c r="J243" s="26"/>
      <c r="K243" s="27">
        <f t="shared" si="117"/>
        <v>0</v>
      </c>
      <c r="L243" s="27">
        <f>IF(D243="no",F243*H828-J243,0)</f>
        <v>0</v>
      </c>
      <c r="M243" s="572"/>
      <c r="N243" s="634"/>
      <c r="O243" s="1"/>
      <c r="P243" s="3"/>
      <c r="Q243" s="1"/>
      <c r="R243" s="1"/>
      <c r="S243" s="1"/>
      <c r="T243" s="1"/>
      <c r="U243" s="4"/>
    </row>
    <row r="244" spans="1:21" s="298" customFormat="1" ht="18.75" hidden="1" customHeight="1">
      <c r="A244" s="28"/>
      <c r="B244" s="29"/>
      <c r="C244" s="30"/>
      <c r="D244" s="297"/>
      <c r="E244" s="27"/>
      <c r="F244" s="31">
        <f t="shared" ref="F244" si="118">IF(D244="no",E244,E244/1.1)</f>
        <v>0</v>
      </c>
      <c r="G244" s="27">
        <f t="shared" ref="G244" si="119">IF(D244="no",0,F244*0.1)</f>
        <v>0</v>
      </c>
      <c r="H244" s="32">
        <f>IF(D244="no",0,F244*H240)</f>
        <v>0</v>
      </c>
      <c r="I244" s="33">
        <f t="shared" ref="I244" si="120">IF(D244="no",0,H244*3.3%)</f>
        <v>0</v>
      </c>
      <c r="J244" s="26"/>
      <c r="K244" s="27">
        <f t="shared" ref="K244" si="121">IF(D244="no",0,H244-I244-J244)</f>
        <v>0</v>
      </c>
      <c r="L244" s="27">
        <f>IF(D244="no",F244*H829-J244,0)</f>
        <v>0</v>
      </c>
      <c r="M244" s="295"/>
      <c r="N244" s="296"/>
      <c r="O244" s="1"/>
      <c r="P244" s="3"/>
      <c r="Q244" s="1"/>
      <c r="R244" s="1"/>
      <c r="S244" s="1"/>
      <c r="T244" s="1"/>
      <c r="U244" s="4"/>
    </row>
    <row r="245" spans="1:21" ht="18.75" hidden="1" customHeight="1">
      <c r="A245" s="28"/>
      <c r="B245" s="29"/>
      <c r="C245" s="30"/>
      <c r="D245" s="38"/>
      <c r="E245" s="27"/>
      <c r="F245" s="31">
        <f t="shared" si="114"/>
        <v>0</v>
      </c>
      <c r="G245" s="27">
        <f t="shared" si="115"/>
        <v>0</v>
      </c>
      <c r="H245" s="32">
        <f>IF(D245="no",0,F245*H240)</f>
        <v>0</v>
      </c>
      <c r="I245" s="33">
        <f t="shared" si="116"/>
        <v>0</v>
      </c>
      <c r="J245" s="26"/>
      <c r="K245" s="27">
        <f t="shared" si="117"/>
        <v>0</v>
      </c>
      <c r="L245" s="27">
        <f>IF(D245="no",F245*H240-J245,0)</f>
        <v>0</v>
      </c>
      <c r="M245" s="572"/>
      <c r="N245" s="564"/>
      <c r="O245" s="1"/>
      <c r="P245" s="3"/>
      <c r="Q245" s="1"/>
      <c r="R245" s="1"/>
      <c r="S245" s="1"/>
      <c r="T245" s="1"/>
      <c r="U245" s="4"/>
    </row>
    <row r="246" spans="1:21" ht="18.75" hidden="1" customHeight="1">
      <c r="A246" s="39"/>
      <c r="B246" s="29"/>
      <c r="C246" s="30"/>
      <c r="D246" s="38"/>
      <c r="E246" s="27"/>
      <c r="F246" s="31">
        <f t="shared" si="114"/>
        <v>0</v>
      </c>
      <c r="G246" s="27">
        <f t="shared" si="115"/>
        <v>0</v>
      </c>
      <c r="H246" s="32">
        <f>IF(D246="no",0,F246*H240)</f>
        <v>0</v>
      </c>
      <c r="I246" s="33">
        <f t="shared" si="116"/>
        <v>0</v>
      </c>
      <c r="J246" s="26"/>
      <c r="K246" s="27">
        <f t="shared" si="117"/>
        <v>0</v>
      </c>
      <c r="L246" s="27">
        <f>IF(D246="no",F246*H240-J246,0)</f>
        <v>0</v>
      </c>
      <c r="M246" s="572"/>
      <c r="N246" s="564"/>
      <c r="O246" s="1"/>
      <c r="P246" s="3"/>
      <c r="Q246" s="1"/>
      <c r="R246" s="1"/>
      <c r="S246" s="1"/>
      <c r="T246" s="1"/>
      <c r="U246" s="4"/>
    </row>
    <row r="247" spans="1:21" ht="18.75" hidden="1" customHeight="1">
      <c r="A247" s="39"/>
      <c r="B247" s="29"/>
      <c r="C247" s="30"/>
      <c r="D247" s="38"/>
      <c r="E247" s="27"/>
      <c r="F247" s="31">
        <f t="shared" si="114"/>
        <v>0</v>
      </c>
      <c r="G247" s="27">
        <f t="shared" si="115"/>
        <v>0</v>
      </c>
      <c r="H247" s="32">
        <f>IF(D247="no",0,F247*H240)</f>
        <v>0</v>
      </c>
      <c r="I247" s="33">
        <f t="shared" si="116"/>
        <v>0</v>
      </c>
      <c r="J247" s="26"/>
      <c r="K247" s="27">
        <f t="shared" si="117"/>
        <v>0</v>
      </c>
      <c r="L247" s="27">
        <f>IF(D247="no",F247*H240-J247,0)</f>
        <v>0</v>
      </c>
      <c r="M247" s="572"/>
      <c r="N247" s="564"/>
      <c r="O247" s="1"/>
      <c r="P247" s="3"/>
      <c r="Q247" s="1"/>
      <c r="R247" s="1"/>
      <c r="S247" s="1"/>
      <c r="T247" s="1"/>
      <c r="U247" s="4"/>
    </row>
    <row r="248" spans="1:21" ht="18.75" hidden="1" customHeight="1">
      <c r="A248" s="39"/>
      <c r="B248" s="29"/>
      <c r="C248" s="30"/>
      <c r="D248" s="38"/>
      <c r="E248" s="27"/>
      <c r="F248" s="31">
        <f t="shared" si="114"/>
        <v>0</v>
      </c>
      <c r="G248" s="27">
        <f t="shared" si="115"/>
        <v>0</v>
      </c>
      <c r="H248" s="32">
        <f>IF(D248="no",0,F248*H240)</f>
        <v>0</v>
      </c>
      <c r="I248" s="33">
        <f t="shared" si="116"/>
        <v>0</v>
      </c>
      <c r="J248" s="26"/>
      <c r="K248" s="27">
        <f t="shared" si="117"/>
        <v>0</v>
      </c>
      <c r="L248" s="27">
        <f>IF(D248="no",F248*H240-J248,0)</f>
        <v>0</v>
      </c>
      <c r="M248" s="563"/>
      <c r="N248" s="564"/>
      <c r="O248" s="1"/>
      <c r="P248" s="3"/>
      <c r="Q248" s="1"/>
      <c r="R248" s="1"/>
      <c r="S248" s="1"/>
      <c r="T248" s="1"/>
      <c r="U248" s="4"/>
    </row>
    <row r="249" spans="1:21" ht="18.75" hidden="1" customHeight="1">
      <c r="A249" s="28"/>
      <c r="B249" s="29"/>
      <c r="C249" s="30"/>
      <c r="D249" s="21"/>
      <c r="E249" s="27"/>
      <c r="F249" s="31">
        <f t="shared" si="114"/>
        <v>0</v>
      </c>
      <c r="G249" s="27">
        <f t="shared" si="115"/>
        <v>0</v>
      </c>
      <c r="H249" s="32">
        <f>IF(D249="no",0,F249*H240)</f>
        <v>0</v>
      </c>
      <c r="I249" s="33">
        <f t="shared" si="116"/>
        <v>0</v>
      </c>
      <c r="J249" s="26"/>
      <c r="K249" s="27">
        <f t="shared" si="117"/>
        <v>0</v>
      </c>
      <c r="L249" s="27">
        <f>IF(D249="no",F249*H241-J249,0)</f>
        <v>0</v>
      </c>
      <c r="M249" s="572"/>
      <c r="N249" s="564"/>
      <c r="O249" s="1"/>
      <c r="P249" s="3"/>
      <c r="Q249" s="1"/>
      <c r="R249" s="1"/>
      <c r="S249" s="1"/>
      <c r="T249" s="1"/>
      <c r="U249" s="4"/>
    </row>
    <row r="250" spans="1:21" ht="18.75" hidden="1" customHeight="1">
      <c r="A250" s="28"/>
      <c r="B250" s="29"/>
      <c r="C250" s="30"/>
      <c r="D250" s="38"/>
      <c r="E250" s="27"/>
      <c r="F250" s="31">
        <f t="shared" si="114"/>
        <v>0</v>
      </c>
      <c r="G250" s="27">
        <f t="shared" si="115"/>
        <v>0</v>
      </c>
      <c r="H250" s="32">
        <f>IF(D250="no",0,F250*H240)</f>
        <v>0</v>
      </c>
      <c r="I250" s="33">
        <f t="shared" si="116"/>
        <v>0</v>
      </c>
      <c r="J250" s="26"/>
      <c r="K250" s="27">
        <f t="shared" si="117"/>
        <v>0</v>
      </c>
      <c r="L250" s="27">
        <f>IF(D250="no",F250*H240-J250,0)</f>
        <v>0</v>
      </c>
      <c r="M250" s="572"/>
      <c r="N250" s="564"/>
      <c r="O250" s="1"/>
      <c r="P250" s="3"/>
      <c r="Q250" s="1"/>
      <c r="R250" s="1"/>
      <c r="S250" s="1"/>
      <c r="T250" s="1"/>
      <c r="U250" s="4"/>
    </row>
    <row r="251" spans="1:21" ht="18.75" hidden="1" customHeight="1">
      <c r="A251" s="39"/>
      <c r="B251" s="29"/>
      <c r="C251" s="30"/>
      <c r="D251" s="38"/>
      <c r="E251" s="27"/>
      <c r="F251" s="31">
        <f t="shared" si="114"/>
        <v>0</v>
      </c>
      <c r="G251" s="27">
        <f t="shared" si="115"/>
        <v>0</v>
      </c>
      <c r="H251" s="32">
        <f>IF(D251="no",0,F251*H240)</f>
        <v>0</v>
      </c>
      <c r="I251" s="33">
        <f t="shared" ref="I251" si="122">IF(D251="no",0,H251*3.3%)</f>
        <v>0</v>
      </c>
      <c r="J251" s="26"/>
      <c r="K251" s="27">
        <f t="shared" ref="K251" si="123">IF(D251="no",0,H251-I251-J251)</f>
        <v>0</v>
      </c>
      <c r="L251" s="1"/>
      <c r="M251" s="573"/>
      <c r="N251" s="564"/>
      <c r="O251" s="1"/>
      <c r="P251" s="3"/>
      <c r="Q251" s="1"/>
      <c r="R251" s="1"/>
      <c r="S251" s="1"/>
      <c r="T251" s="1"/>
      <c r="U251" s="4"/>
    </row>
    <row r="252" spans="1:21" s="270" customFormat="1" ht="18.75" hidden="1" customHeight="1">
      <c r="A252" s="39"/>
      <c r="B252" s="29"/>
      <c r="C252" s="30"/>
      <c r="D252" s="271"/>
      <c r="E252" s="27"/>
      <c r="F252" s="31"/>
      <c r="G252" s="27"/>
      <c r="H252" s="32"/>
      <c r="I252" s="33"/>
      <c r="J252" s="26"/>
      <c r="K252" s="27"/>
      <c r="L252" s="1"/>
      <c r="M252" s="272"/>
      <c r="N252" s="269"/>
      <c r="O252" s="1"/>
      <c r="P252" s="3"/>
      <c r="Q252" s="1"/>
      <c r="R252" s="1"/>
      <c r="S252" s="1"/>
      <c r="T252" s="1"/>
      <c r="U252" s="4"/>
    </row>
    <row r="253" spans="1:21" s="270" customFormat="1" ht="18.75" customHeight="1">
      <c r="A253" s="39"/>
      <c r="B253" s="29"/>
      <c r="C253" s="30"/>
      <c r="D253" s="271"/>
      <c r="E253" s="27"/>
      <c r="F253" s="31"/>
      <c r="G253" s="27"/>
      <c r="H253" s="32"/>
      <c r="I253" s="33"/>
      <c r="J253" s="26"/>
      <c r="K253" s="27"/>
      <c r="L253" s="1"/>
      <c r="M253" s="574"/>
      <c r="N253" s="659"/>
      <c r="O253" s="1"/>
      <c r="P253" s="3"/>
      <c r="Q253" s="1"/>
      <c r="R253" s="1"/>
      <c r="S253" s="1"/>
      <c r="T253" s="1"/>
      <c r="U253" s="4"/>
    </row>
    <row r="254" spans="1:21" s="403" customFormat="1" ht="18.75" customHeight="1">
      <c r="A254" s="39" t="s">
        <v>616</v>
      </c>
      <c r="B254" s="29" t="s">
        <v>361</v>
      </c>
      <c r="C254" s="30"/>
      <c r="D254" s="404"/>
      <c r="E254" s="27"/>
      <c r="F254" s="31"/>
      <c r="G254" s="27"/>
      <c r="H254" s="32">
        <f>IF(D254="no",0,F254*H233)</f>
        <v>0</v>
      </c>
      <c r="I254" s="33">
        <f t="shared" ref="I254" si="124">IF(D254="no",0,H254*3.3%)</f>
        <v>0</v>
      </c>
      <c r="J254" s="26">
        <v>45000</v>
      </c>
      <c r="K254" s="27">
        <f t="shared" ref="K254" si="125">IF(D254="no",0,H254-I254-J254)</f>
        <v>-45000</v>
      </c>
      <c r="L254" s="27">
        <f>IF(D254="no",F254*H233-J254,0)</f>
        <v>0</v>
      </c>
      <c r="M254" s="574" t="s">
        <v>842</v>
      </c>
      <c r="N254" s="583"/>
      <c r="O254" s="1"/>
      <c r="P254" s="3"/>
      <c r="Q254" s="1"/>
      <c r="R254" s="1"/>
      <c r="S254" s="1"/>
      <c r="T254" s="1"/>
      <c r="U254" s="4"/>
    </row>
    <row r="255" spans="1:21" ht="18.75" customHeight="1">
      <c r="A255" s="39" t="s">
        <v>616</v>
      </c>
      <c r="B255" s="29" t="s">
        <v>61</v>
      </c>
      <c r="C255" s="30"/>
      <c r="D255" s="38"/>
      <c r="E255" s="27"/>
      <c r="F255" s="31"/>
      <c r="G255" s="27"/>
      <c r="H255" s="37"/>
      <c r="I255" s="33">
        <f t="shared" si="116"/>
        <v>0</v>
      </c>
      <c r="J255" s="26"/>
      <c r="K255" s="27">
        <f t="shared" si="117"/>
        <v>0</v>
      </c>
      <c r="L255" s="27">
        <f>IF(D255="no",F255*H239-J255,0)</f>
        <v>0</v>
      </c>
      <c r="M255" s="572"/>
      <c r="N255" s="564"/>
      <c r="O255" s="1"/>
      <c r="P255" s="3"/>
      <c r="Q255" s="1"/>
      <c r="R255" s="1"/>
      <c r="S255" s="1"/>
      <c r="T255" s="1"/>
      <c r="U255" s="4"/>
    </row>
    <row r="256" spans="1:21" s="405" customFormat="1" ht="18.75" customHeight="1">
      <c r="A256" s="39" t="s">
        <v>616</v>
      </c>
      <c r="B256" s="29" t="s">
        <v>422</v>
      </c>
      <c r="C256" s="30"/>
      <c r="D256" s="406"/>
      <c r="E256" s="27"/>
      <c r="F256" s="31"/>
      <c r="G256" s="27"/>
      <c r="H256" s="37"/>
      <c r="I256" s="33">
        <f t="shared" si="116"/>
        <v>0</v>
      </c>
      <c r="J256" s="26"/>
      <c r="K256" s="27">
        <f t="shared" si="117"/>
        <v>0</v>
      </c>
      <c r="L256" s="27"/>
      <c r="M256" s="572"/>
      <c r="N256" s="634"/>
      <c r="O256" s="1"/>
      <c r="P256" s="3"/>
      <c r="Q256" s="1"/>
      <c r="R256" s="1"/>
      <c r="S256" s="1"/>
      <c r="T256" s="1"/>
      <c r="U256" s="4"/>
    </row>
    <row r="257" spans="1:22" ht="18.75" customHeight="1">
      <c r="A257" s="39" t="s">
        <v>616</v>
      </c>
      <c r="B257" s="29" t="s">
        <v>35</v>
      </c>
      <c r="C257" s="30"/>
      <c r="D257" s="21"/>
      <c r="E257" s="27"/>
      <c r="F257" s="31">
        <f t="shared" ref="F257:F258" si="126">IF(D257="no",E257,E257/1.1)</f>
        <v>0</v>
      </c>
      <c r="G257" s="27">
        <f t="shared" ref="G257:G258" si="127">IF(D257="no",0,F257*0.1)</f>
        <v>0</v>
      </c>
      <c r="H257" s="32"/>
      <c r="I257" s="33">
        <f t="shared" si="116"/>
        <v>0</v>
      </c>
      <c r="J257" s="26"/>
      <c r="K257" s="27">
        <f t="shared" si="117"/>
        <v>0</v>
      </c>
      <c r="L257" s="1"/>
      <c r="M257" s="574"/>
      <c r="N257" s="564"/>
      <c r="O257" s="1"/>
      <c r="P257" s="3"/>
      <c r="Q257" s="1"/>
      <c r="R257" s="1"/>
      <c r="S257" s="1"/>
      <c r="T257" s="1"/>
      <c r="U257" s="4"/>
    </row>
    <row r="258" spans="1:22" ht="18.75" customHeight="1">
      <c r="A258" s="39" t="s">
        <v>616</v>
      </c>
      <c r="B258" s="29" t="s">
        <v>493</v>
      </c>
      <c r="C258" s="30"/>
      <c r="D258" s="21"/>
      <c r="E258" s="27"/>
      <c r="F258" s="31">
        <f t="shared" si="126"/>
        <v>0</v>
      </c>
      <c r="G258" s="27">
        <f t="shared" si="127"/>
        <v>0</v>
      </c>
      <c r="H258" s="37">
        <v>0</v>
      </c>
      <c r="I258" s="33">
        <f t="shared" si="116"/>
        <v>0</v>
      </c>
      <c r="J258" s="26"/>
      <c r="K258" s="27">
        <f t="shared" si="117"/>
        <v>0</v>
      </c>
      <c r="L258" s="27"/>
      <c r="M258" s="574"/>
      <c r="N258" s="564"/>
      <c r="O258" s="1"/>
      <c r="P258" s="3"/>
      <c r="Q258" s="1"/>
      <c r="R258" s="1"/>
      <c r="S258" s="1"/>
      <c r="T258" s="1"/>
      <c r="U258" s="4"/>
    </row>
    <row r="259" spans="1:22" ht="18.75" customHeight="1">
      <c r="A259" s="575" t="s">
        <v>42</v>
      </c>
      <c r="B259" s="576"/>
      <c r="C259" s="576"/>
      <c r="D259" s="577"/>
      <c r="E259" s="42">
        <f t="shared" ref="E259:L259" si="128">SUM(E242:E258)</f>
        <v>550000</v>
      </c>
      <c r="F259" s="17">
        <f t="shared" si="128"/>
        <v>499999.99999999994</v>
      </c>
      <c r="G259" s="42">
        <f t="shared" si="128"/>
        <v>50000</v>
      </c>
      <c r="H259" s="43">
        <f t="shared" si="128"/>
        <v>249999.99999999997</v>
      </c>
      <c r="I259" s="42">
        <f t="shared" si="128"/>
        <v>8250</v>
      </c>
      <c r="J259" s="43">
        <f t="shared" si="128"/>
        <v>45000</v>
      </c>
      <c r="K259" s="42">
        <f t="shared" si="128"/>
        <v>196749.99999999997</v>
      </c>
      <c r="L259" s="42">
        <f t="shared" si="128"/>
        <v>0</v>
      </c>
      <c r="M259" s="44"/>
      <c r="N259" s="45"/>
      <c r="O259" s="1"/>
      <c r="P259" s="3"/>
      <c r="Q259" s="1"/>
      <c r="R259" s="1"/>
      <c r="S259" s="1"/>
      <c r="T259" s="1"/>
      <c r="U259" s="4"/>
    </row>
    <row r="260" spans="1:22" ht="18.75" customHeight="1">
      <c r="A260" s="46" t="s">
        <v>37</v>
      </c>
      <c r="B260" s="47" t="s">
        <v>43</v>
      </c>
      <c r="C260" s="48">
        <f>D240</f>
        <v>1</v>
      </c>
      <c r="D260" s="47" t="s">
        <v>44</v>
      </c>
      <c r="E260" s="49"/>
      <c r="F260" s="84"/>
      <c r="G260" s="85"/>
      <c r="H260" s="49"/>
      <c r="I260" s="53" t="s">
        <v>46</v>
      </c>
      <c r="J260" s="54">
        <v>0</v>
      </c>
      <c r="K260" s="50"/>
      <c r="L260" s="55"/>
      <c r="M260" s="63"/>
      <c r="N260" s="64"/>
      <c r="O260" s="1"/>
      <c r="P260" s="3"/>
      <c r="Q260" s="1"/>
      <c r="R260" s="1"/>
      <c r="S260" s="1"/>
      <c r="T260" s="1"/>
      <c r="U260" s="4"/>
    </row>
    <row r="261" spans="1:22" ht="16.5" customHeight="1" thickBot="1">
      <c r="A261" s="56" t="s">
        <v>48</v>
      </c>
      <c r="B261" s="57" t="s">
        <v>49</v>
      </c>
      <c r="C261" s="58">
        <f>ROUND(F259/10000,0)</f>
        <v>50</v>
      </c>
      <c r="D261" s="57" t="s">
        <v>50</v>
      </c>
      <c r="E261" s="52"/>
      <c r="F261" s="86"/>
      <c r="G261" s="87"/>
      <c r="H261" s="52"/>
      <c r="I261" s="59"/>
      <c r="J261" s="61"/>
      <c r="K261" s="59"/>
      <c r="L261" s="62"/>
      <c r="M261" s="63"/>
      <c r="N261" s="64"/>
      <c r="O261" s="1"/>
      <c r="P261" s="3"/>
      <c r="Q261" s="1"/>
      <c r="R261" s="1"/>
      <c r="S261" s="1"/>
      <c r="T261" s="1"/>
      <c r="U261" s="4"/>
    </row>
    <row r="262" spans="1:22" ht="18.75" customHeight="1" thickBot="1">
      <c r="A262" s="566" t="s">
        <v>52</v>
      </c>
      <c r="B262" s="567"/>
      <c r="C262" s="567"/>
      <c r="D262" s="568"/>
      <c r="E262" s="65"/>
      <c r="F262" s="569" t="s">
        <v>53</v>
      </c>
      <c r="G262" s="568"/>
      <c r="H262" s="66">
        <f>H259-J260</f>
        <v>249999.99999999997</v>
      </c>
      <c r="I262" s="67">
        <f>H262*3.3%</f>
        <v>8250</v>
      </c>
      <c r="J262" s="68">
        <f>SUM(J259)</f>
        <v>45000</v>
      </c>
      <c r="K262" s="69">
        <f>H262-I262-J262</f>
        <v>196749.99999999997</v>
      </c>
      <c r="L262" s="70">
        <f>L259+SUM(H260:H261)+J261</f>
        <v>0</v>
      </c>
      <c r="M262" s="570">
        <f>K262+L262</f>
        <v>196749.99999999997</v>
      </c>
      <c r="N262" s="571"/>
      <c r="O262" s="1"/>
      <c r="P262" s="3"/>
      <c r="Q262" s="1"/>
      <c r="R262" s="1"/>
      <c r="S262" s="1"/>
      <c r="T262" s="1"/>
      <c r="U262" s="4"/>
    </row>
    <row r="263" spans="1:22" s="391" customFormat="1" ht="17.25" customHeight="1">
      <c r="A263" s="1"/>
      <c r="B263" s="1"/>
      <c r="C263" s="1"/>
      <c r="D263" s="1"/>
      <c r="E263" s="1"/>
      <c r="F263" s="1"/>
      <c r="G263" s="1"/>
      <c r="H263" s="141">
        <v>1</v>
      </c>
      <c r="I263" s="1"/>
      <c r="J263" s="1"/>
      <c r="K263" s="1"/>
      <c r="L263" s="1"/>
      <c r="M263" s="1"/>
      <c r="N263" s="1"/>
      <c r="O263" s="1"/>
      <c r="P263" s="3"/>
      <c r="Q263" s="1"/>
      <c r="R263" s="1"/>
      <c r="S263" s="1"/>
      <c r="T263" s="1"/>
      <c r="U263" s="4"/>
    </row>
    <row r="264" spans="1:22" ht="18.75" customHeight="1">
      <c r="A264" s="6" t="s">
        <v>91</v>
      </c>
      <c r="B264" s="7" t="str">
        <f>$B$34</f>
        <v>1월</v>
      </c>
      <c r="C264" s="8" t="s">
        <v>1</v>
      </c>
      <c r="D264" s="9">
        <f>COUNTIF($C266:$C282,"계약")+(COUNTIF($C266:$C282,"계약2")*2)</f>
        <v>5</v>
      </c>
      <c r="E264" s="3">
        <f>COUNTIF(C266:C282,"낙찰수수료")</f>
        <v>2</v>
      </c>
      <c r="F264" s="3"/>
      <c r="G264" s="89" t="s">
        <v>92</v>
      </c>
      <c r="H264" s="90">
        <v>0.5</v>
      </c>
      <c r="I264" s="12">
        <v>3.3000000000000002E-2</v>
      </c>
      <c r="J264" s="1"/>
      <c r="K264" s="1"/>
      <c r="L264" s="1"/>
      <c r="M264" s="1"/>
      <c r="N264" s="1"/>
      <c r="O264" s="1"/>
      <c r="P264" s="3"/>
      <c r="Q264" s="1"/>
      <c r="R264" s="1"/>
      <c r="S264" s="1"/>
      <c r="T264" s="1"/>
      <c r="U264" s="4"/>
    </row>
    <row r="265" spans="1:22" ht="18.75" customHeight="1">
      <c r="A265" s="13" t="s">
        <v>3</v>
      </c>
      <c r="B265" s="14" t="s">
        <v>4</v>
      </c>
      <c r="C265" s="14" t="s">
        <v>5</v>
      </c>
      <c r="D265" s="101" t="s">
        <v>6</v>
      </c>
      <c r="E265" s="16" t="s">
        <v>7</v>
      </c>
      <c r="F265" s="17" t="s">
        <v>8</v>
      </c>
      <c r="G265" s="14" t="s">
        <v>9</v>
      </c>
      <c r="H265" s="15" t="s">
        <v>10</v>
      </c>
      <c r="I265" s="14" t="s">
        <v>11</v>
      </c>
      <c r="J265" s="15" t="s">
        <v>12</v>
      </c>
      <c r="K265" s="14" t="s">
        <v>13</v>
      </c>
      <c r="L265" s="14" t="s">
        <v>14</v>
      </c>
      <c r="M265" s="579" t="s">
        <v>15</v>
      </c>
      <c r="N265" s="577"/>
      <c r="O265" s="1"/>
      <c r="P265" s="3"/>
      <c r="Q265" s="1"/>
      <c r="R265" s="1"/>
      <c r="S265" s="1"/>
      <c r="T265" s="1"/>
      <c r="U265" s="4"/>
    </row>
    <row r="266" spans="1:22" ht="18.75" customHeight="1">
      <c r="A266" s="28">
        <v>46024</v>
      </c>
      <c r="B266" s="29" t="s">
        <v>689</v>
      </c>
      <c r="C266" s="30" t="s">
        <v>698</v>
      </c>
      <c r="D266" s="554"/>
      <c r="E266" s="102">
        <v>550000</v>
      </c>
      <c r="F266" s="31">
        <f t="shared" ref="F266:F276" si="129">IF(D266="no",E266,E266/1.1)</f>
        <v>499999.99999999994</v>
      </c>
      <c r="G266" s="27">
        <f t="shared" ref="G266:G276" si="130">IF(D266="no",0,F266*0.1)</f>
        <v>50000</v>
      </c>
      <c r="H266" s="32">
        <f>IF(D266="no",0,F266*H264)</f>
        <v>249999.99999999997</v>
      </c>
      <c r="I266" s="33">
        <f t="shared" ref="I266:I282" si="131">IF(D266="no",0,H266*3.3%)</f>
        <v>8250</v>
      </c>
      <c r="J266" s="26"/>
      <c r="K266" s="27">
        <f t="shared" ref="K266:K282" si="132">IF(D266="no",0,H266-I266-J266)</f>
        <v>241749.99999999997</v>
      </c>
      <c r="L266" s="27">
        <f>IF(D266="no",F266*H264-J266,0)</f>
        <v>0</v>
      </c>
      <c r="M266" s="580"/>
      <c r="N266" s="581"/>
      <c r="O266" s="1"/>
      <c r="P266" s="3"/>
      <c r="Q266" s="1"/>
      <c r="R266" s="1"/>
      <c r="S266" s="1"/>
      <c r="T266" s="1"/>
      <c r="U266" s="4"/>
    </row>
    <row r="267" spans="1:22" ht="18.75" customHeight="1">
      <c r="A267" s="39">
        <v>46024</v>
      </c>
      <c r="B267" s="29" t="s">
        <v>694</v>
      </c>
      <c r="C267" s="30" t="s">
        <v>56</v>
      </c>
      <c r="D267" s="555"/>
      <c r="E267" s="102">
        <v>2200000</v>
      </c>
      <c r="F267" s="31">
        <f t="shared" si="129"/>
        <v>1999999.9999999998</v>
      </c>
      <c r="G267" s="27">
        <f t="shared" si="130"/>
        <v>200000</v>
      </c>
      <c r="H267" s="32">
        <f>IF(D267="no",0,F267*H264)</f>
        <v>999999.99999999988</v>
      </c>
      <c r="I267" s="33">
        <f t="shared" si="131"/>
        <v>33000</v>
      </c>
      <c r="J267" s="26"/>
      <c r="K267" s="27">
        <f t="shared" si="132"/>
        <v>966999.99999999988</v>
      </c>
      <c r="L267" s="27">
        <f>IF(D267="no",F267*H264-J267,0)</f>
        <v>0</v>
      </c>
      <c r="M267" s="572"/>
      <c r="N267" s="564"/>
      <c r="O267" s="1"/>
      <c r="P267" s="3"/>
      <c r="Q267" s="1"/>
      <c r="R267" s="1"/>
      <c r="S267" s="1"/>
      <c r="T267" s="1"/>
      <c r="U267" s="4"/>
    </row>
    <row r="268" spans="1:22" ht="18.75" customHeight="1">
      <c r="A268" s="39">
        <v>46029</v>
      </c>
      <c r="B268" s="29" t="s">
        <v>577</v>
      </c>
      <c r="C268" s="30" t="s">
        <v>693</v>
      </c>
      <c r="D268" s="537"/>
      <c r="E268" s="552">
        <v>30000</v>
      </c>
      <c r="F268" s="31">
        <f t="shared" si="129"/>
        <v>27272.727272727272</v>
      </c>
      <c r="G268" s="27">
        <f t="shared" si="130"/>
        <v>2727.2727272727275</v>
      </c>
      <c r="H268" s="495">
        <f>IF(D268="no",0,F268*H263)</f>
        <v>27272.727272727272</v>
      </c>
      <c r="I268" s="33">
        <f t="shared" si="131"/>
        <v>900</v>
      </c>
      <c r="J268" s="26"/>
      <c r="K268" s="27">
        <f t="shared" si="132"/>
        <v>26372.727272727272</v>
      </c>
      <c r="L268" s="27">
        <f>IF(D268="no",F268*H264-J268,0)</f>
        <v>0</v>
      </c>
      <c r="M268" s="572"/>
      <c r="N268" s="564"/>
      <c r="O268" s="1"/>
      <c r="P268" s="3"/>
      <c r="Q268" s="1"/>
      <c r="R268" s="1"/>
      <c r="S268" s="1"/>
      <c r="T268" s="1"/>
      <c r="U268" s="4"/>
    </row>
    <row r="269" spans="1:22" ht="18.75" customHeight="1">
      <c r="A269" s="28">
        <v>46034</v>
      </c>
      <c r="B269" s="29" t="s">
        <v>690</v>
      </c>
      <c r="C269" s="30" t="s">
        <v>687</v>
      </c>
      <c r="D269" s="537"/>
      <c r="E269" s="102">
        <v>880000</v>
      </c>
      <c r="F269" s="31">
        <f t="shared" si="129"/>
        <v>799999.99999999988</v>
      </c>
      <c r="G269" s="27">
        <f t="shared" si="130"/>
        <v>80000</v>
      </c>
      <c r="H269" s="32">
        <f>IF(D269="no",0,F269*H264)</f>
        <v>399999.99999999994</v>
      </c>
      <c r="I269" s="33">
        <f t="shared" si="131"/>
        <v>13199.999999999998</v>
      </c>
      <c r="J269" s="26"/>
      <c r="K269" s="27">
        <f t="shared" si="132"/>
        <v>386799.99999999994</v>
      </c>
      <c r="L269" s="27">
        <f>IF(D269="no",F269*H264-J269,0)</f>
        <v>0</v>
      </c>
      <c r="M269" s="563"/>
      <c r="N269" s="564"/>
      <c r="O269" s="1"/>
      <c r="P269" s="3"/>
      <c r="Q269" s="1"/>
      <c r="R269" s="1"/>
      <c r="S269" s="1"/>
      <c r="T269" s="1"/>
      <c r="U269" s="4"/>
      <c r="V269" s="397"/>
    </row>
    <row r="270" spans="1:22" ht="18.75" customHeight="1">
      <c r="A270" s="28">
        <v>46034</v>
      </c>
      <c r="B270" s="29" t="s">
        <v>695</v>
      </c>
      <c r="C270" s="30" t="s">
        <v>693</v>
      </c>
      <c r="D270" s="537"/>
      <c r="E270" s="552">
        <v>30000</v>
      </c>
      <c r="F270" s="31">
        <f t="shared" si="129"/>
        <v>27272.727272727272</v>
      </c>
      <c r="G270" s="27">
        <f t="shared" si="130"/>
        <v>2727.2727272727275</v>
      </c>
      <c r="H270" s="495">
        <f>IF(D270="no",0,F270*H263)</f>
        <v>27272.727272727272</v>
      </c>
      <c r="I270" s="33">
        <f t="shared" si="131"/>
        <v>900</v>
      </c>
      <c r="J270" s="26"/>
      <c r="K270" s="27">
        <f t="shared" si="132"/>
        <v>26372.727272727272</v>
      </c>
      <c r="L270" s="27">
        <f>IF(D270="no",F270*H264-J270,0)</f>
        <v>0</v>
      </c>
      <c r="M270" s="572"/>
      <c r="N270" s="564"/>
      <c r="O270" s="1"/>
      <c r="P270" s="3"/>
      <c r="Q270" s="1"/>
      <c r="R270" s="1"/>
      <c r="S270" s="1"/>
      <c r="T270" s="1"/>
      <c r="U270" s="4"/>
    </row>
    <row r="271" spans="1:22" s="391" customFormat="1" ht="18.75" customHeight="1">
      <c r="A271" s="39">
        <v>46041</v>
      </c>
      <c r="B271" s="29" t="s">
        <v>691</v>
      </c>
      <c r="C271" s="30" t="s">
        <v>699</v>
      </c>
      <c r="D271" s="537"/>
      <c r="E271" s="102">
        <v>550000</v>
      </c>
      <c r="F271" s="31">
        <f t="shared" ref="F271:F272" si="133">IF(D271="no",E271,E271/1.1)</f>
        <v>499999.99999999994</v>
      </c>
      <c r="G271" s="27">
        <f>IF(D271="no",0,F271*0.1)</f>
        <v>50000</v>
      </c>
      <c r="H271" s="32">
        <f>IF(D271="no",0,F271*H264)</f>
        <v>249999.99999999997</v>
      </c>
      <c r="I271" s="33">
        <f t="shared" ref="I271:I272" si="134">IF(D271="no",0,H271*3.3%)</f>
        <v>8250</v>
      </c>
      <c r="J271" s="26"/>
      <c r="K271" s="27">
        <f t="shared" ref="K271:K272" si="135">IF(D271="no",0,H271-I271-J271)</f>
        <v>241749.99999999997</v>
      </c>
      <c r="L271" s="27">
        <f>IF(D271="no",F271*H264-J271,0)</f>
        <v>0</v>
      </c>
      <c r="M271" s="572"/>
      <c r="N271" s="564"/>
      <c r="O271" s="1"/>
      <c r="P271" s="3"/>
      <c r="Q271" s="1"/>
      <c r="R271" s="1"/>
      <c r="S271" s="1"/>
      <c r="T271" s="1"/>
      <c r="U271" s="4"/>
    </row>
    <row r="272" spans="1:22" s="391" customFormat="1" ht="18.75" customHeight="1">
      <c r="A272" s="28">
        <v>46043</v>
      </c>
      <c r="B272" s="29" t="s">
        <v>697</v>
      </c>
      <c r="C272" s="30" t="s">
        <v>56</v>
      </c>
      <c r="D272" s="537"/>
      <c r="E272" s="102">
        <v>2640000</v>
      </c>
      <c r="F272" s="31">
        <f t="shared" si="133"/>
        <v>2400000</v>
      </c>
      <c r="G272" s="27">
        <f t="shared" ref="G272" si="136">IF(D272="no",0,F272*0.1)</f>
        <v>240000</v>
      </c>
      <c r="H272" s="32">
        <f>IF(D272="no",0,F272*H264)</f>
        <v>1200000</v>
      </c>
      <c r="I272" s="33">
        <f t="shared" si="134"/>
        <v>39600</v>
      </c>
      <c r="J272" s="26"/>
      <c r="K272" s="27">
        <f t="shared" si="135"/>
        <v>1160400</v>
      </c>
      <c r="L272" s="27">
        <f>IF(D272="no",F272*H268-J272,0)</f>
        <v>0</v>
      </c>
      <c r="M272" s="572"/>
      <c r="N272" s="564"/>
      <c r="O272" s="1"/>
      <c r="P272" s="3"/>
      <c r="Q272" s="1"/>
      <c r="R272" s="1"/>
      <c r="S272" s="1"/>
      <c r="T272" s="1"/>
      <c r="U272" s="4"/>
    </row>
    <row r="273" spans="1:21" s="283" customFormat="1" ht="18.75" customHeight="1">
      <c r="A273" s="28">
        <v>46045</v>
      </c>
      <c r="B273" s="29" t="s">
        <v>692</v>
      </c>
      <c r="C273" s="30" t="s">
        <v>700</v>
      </c>
      <c r="D273" s="537"/>
      <c r="E273" s="102">
        <v>550000</v>
      </c>
      <c r="F273" s="31">
        <f t="shared" si="129"/>
        <v>499999.99999999994</v>
      </c>
      <c r="G273" s="27">
        <f t="shared" si="130"/>
        <v>50000</v>
      </c>
      <c r="H273" s="32">
        <f>IF(D273="no",0,F273*H264)</f>
        <v>249999.99999999997</v>
      </c>
      <c r="I273" s="33">
        <f t="shared" si="131"/>
        <v>8250</v>
      </c>
      <c r="J273" s="26"/>
      <c r="K273" s="27">
        <f t="shared" si="132"/>
        <v>241749.99999999997</v>
      </c>
      <c r="L273" s="27">
        <f>IF(D273="no",F273*H265-J273,0)</f>
        <v>0</v>
      </c>
      <c r="M273" s="281"/>
      <c r="N273" s="280"/>
      <c r="O273" s="1"/>
      <c r="P273" s="3"/>
      <c r="Q273" s="1"/>
      <c r="R273" s="1"/>
      <c r="S273" s="1"/>
      <c r="T273" s="1"/>
      <c r="U273" s="4"/>
    </row>
    <row r="274" spans="1:21" s="391" customFormat="1" ht="18.75" customHeight="1">
      <c r="A274" s="28">
        <v>46045</v>
      </c>
      <c r="B274" s="29" t="s">
        <v>696</v>
      </c>
      <c r="C274" s="30" t="s">
        <v>700</v>
      </c>
      <c r="D274" s="537"/>
      <c r="E274" s="102">
        <v>550000</v>
      </c>
      <c r="F274" s="31">
        <f>IF(D274="no",E274,E274/1.1)</f>
        <v>499999.99999999994</v>
      </c>
      <c r="G274" s="27">
        <f>IF(D274="no",0,F274*0.1)</f>
        <v>50000</v>
      </c>
      <c r="H274" s="32">
        <f>IF(D274="no",0,F274*H264)</f>
        <v>249999.99999999997</v>
      </c>
      <c r="I274" s="33">
        <f>IF(D274="no",0,H274*3.3%)</f>
        <v>8250</v>
      </c>
      <c r="J274" s="26"/>
      <c r="K274" s="27">
        <f>IF(D274="no",0,H274-I274-J274)</f>
        <v>241749.99999999997</v>
      </c>
      <c r="L274" s="27">
        <f>IF(D274="no",F274*H267-J274,0)</f>
        <v>0</v>
      </c>
      <c r="M274" s="563"/>
      <c r="N274" s="564"/>
      <c r="O274" s="1"/>
      <c r="P274" s="3"/>
      <c r="Q274" s="1"/>
      <c r="R274" s="1"/>
      <c r="S274" s="1"/>
      <c r="T274" s="1"/>
      <c r="U274" s="4"/>
    </row>
    <row r="275" spans="1:21" s="319" customFormat="1" ht="18.75" customHeight="1">
      <c r="A275" s="28"/>
      <c r="B275" s="29"/>
      <c r="C275" s="30"/>
      <c r="D275" s="537"/>
      <c r="E275" s="102"/>
      <c r="F275" s="31">
        <f t="shared" ref="F275" si="137">IF(D275="no",E275,E275/1.1)</f>
        <v>0</v>
      </c>
      <c r="G275" s="27">
        <f t="shared" ref="G275" si="138">IF(D275="no",0,F275*0.1)</f>
        <v>0</v>
      </c>
      <c r="H275" s="32">
        <f>IF(D275="no",0,F275*H264)</f>
        <v>0</v>
      </c>
      <c r="I275" s="33">
        <f t="shared" ref="I275" si="139">IF(D275="no",0,H275*3.3%)</f>
        <v>0</v>
      </c>
      <c r="J275" s="26"/>
      <c r="K275" s="27">
        <f t="shared" ref="K275" si="140">IF(D275="no",0,H275-I275-J275)</f>
        <v>0</v>
      </c>
      <c r="L275" s="27">
        <f>IF(D275="no",F275*H266-J275,0)</f>
        <v>0</v>
      </c>
      <c r="M275" s="317"/>
      <c r="N275" s="318"/>
      <c r="O275" s="1"/>
      <c r="P275" s="3"/>
      <c r="Q275" s="1"/>
      <c r="R275" s="1"/>
      <c r="S275" s="1"/>
      <c r="T275" s="1"/>
      <c r="U275" s="4"/>
    </row>
    <row r="276" spans="1:21" ht="18.75" customHeight="1">
      <c r="A276" s="28"/>
      <c r="B276" s="29"/>
      <c r="C276" s="30"/>
      <c r="D276" s="537"/>
      <c r="E276" s="102"/>
      <c r="F276" s="31">
        <f t="shared" si="129"/>
        <v>0</v>
      </c>
      <c r="G276" s="27">
        <f t="shared" si="130"/>
        <v>0</v>
      </c>
      <c r="H276" s="32"/>
      <c r="I276" s="33">
        <f t="shared" si="131"/>
        <v>0</v>
      </c>
      <c r="J276" s="26"/>
      <c r="K276" s="27">
        <f t="shared" si="132"/>
        <v>0</v>
      </c>
      <c r="L276" s="1"/>
      <c r="M276" s="573"/>
      <c r="N276" s="564"/>
      <c r="O276" s="1"/>
      <c r="P276" s="3"/>
      <c r="Q276" s="1"/>
      <c r="R276" s="1"/>
      <c r="S276" s="1"/>
      <c r="T276" s="1"/>
      <c r="U276" s="4"/>
    </row>
    <row r="277" spans="1:21" ht="18.75" customHeight="1">
      <c r="A277" s="39" t="s">
        <v>616</v>
      </c>
      <c r="B277" s="29" t="s">
        <v>61</v>
      </c>
      <c r="C277" s="30"/>
      <c r="D277" s="537"/>
      <c r="E277" s="102"/>
      <c r="F277" s="31"/>
      <c r="G277" s="27"/>
      <c r="H277" s="37">
        <v>0</v>
      </c>
      <c r="I277" s="33">
        <f t="shared" si="131"/>
        <v>0</v>
      </c>
      <c r="J277" s="26"/>
      <c r="K277" s="27">
        <f t="shared" si="132"/>
        <v>0</v>
      </c>
      <c r="L277" s="27">
        <f>IF(D277="no",F277*H202-J277,0)</f>
        <v>0</v>
      </c>
      <c r="M277" s="572"/>
      <c r="N277" s="564"/>
      <c r="O277" s="1"/>
      <c r="P277" s="3"/>
      <c r="Q277" s="1"/>
      <c r="R277" s="1"/>
      <c r="S277" s="1"/>
      <c r="T277" s="1"/>
      <c r="U277" s="4"/>
    </row>
    <row r="278" spans="1:21" ht="18.75" customHeight="1">
      <c r="A278" s="39" t="s">
        <v>616</v>
      </c>
      <c r="B278" s="29" t="s">
        <v>35</v>
      </c>
      <c r="C278" s="30"/>
      <c r="D278" s="537"/>
      <c r="E278" s="102"/>
      <c r="F278" s="31">
        <f t="shared" ref="F278:F282" si="141">IF(D278="no",E278,E278/1.1)</f>
        <v>0</v>
      </c>
      <c r="G278" s="27">
        <f t="shared" ref="G278:G282" si="142">IF(D278="no",0,F278*0.1)</f>
        <v>0</v>
      </c>
      <c r="H278" s="32">
        <v>0</v>
      </c>
      <c r="I278" s="33">
        <f t="shared" si="131"/>
        <v>0</v>
      </c>
      <c r="J278" s="26"/>
      <c r="K278" s="27">
        <f t="shared" si="132"/>
        <v>0</v>
      </c>
      <c r="L278" s="1"/>
      <c r="M278" s="574"/>
      <c r="N278" s="564"/>
      <c r="O278" s="1"/>
      <c r="P278" s="3"/>
      <c r="Q278" s="1"/>
      <c r="R278" s="1"/>
      <c r="S278" s="1"/>
      <c r="T278" s="1"/>
      <c r="U278" s="4"/>
    </row>
    <row r="279" spans="1:21" s="405" customFormat="1" ht="18.75" customHeight="1">
      <c r="A279" s="39" t="s">
        <v>616</v>
      </c>
      <c r="B279" s="29" t="s">
        <v>422</v>
      </c>
      <c r="C279" s="30"/>
      <c r="D279" s="537"/>
      <c r="E279" s="102"/>
      <c r="F279" s="31"/>
      <c r="G279" s="27"/>
      <c r="H279" s="37">
        <v>0</v>
      </c>
      <c r="I279" s="33">
        <f t="shared" si="131"/>
        <v>0</v>
      </c>
      <c r="J279" s="26"/>
      <c r="K279" s="27">
        <f t="shared" si="132"/>
        <v>0</v>
      </c>
      <c r="L279" s="27"/>
      <c r="M279" s="574"/>
      <c r="N279" s="564"/>
      <c r="O279" s="1"/>
      <c r="P279" s="3"/>
      <c r="Q279" s="1"/>
      <c r="R279" s="1"/>
      <c r="S279" s="1"/>
      <c r="T279" s="1"/>
      <c r="U279" s="4"/>
    </row>
    <row r="280" spans="1:21" s="374" customFormat="1" ht="18.75" customHeight="1">
      <c r="A280" s="39" t="s">
        <v>616</v>
      </c>
      <c r="B280" s="29" t="s">
        <v>404</v>
      </c>
      <c r="C280" s="30"/>
      <c r="D280" s="537"/>
      <c r="E280" s="102"/>
      <c r="F280" s="31"/>
      <c r="G280" s="27"/>
      <c r="H280" s="37">
        <v>0</v>
      </c>
      <c r="I280" s="33">
        <f t="shared" si="131"/>
        <v>0</v>
      </c>
      <c r="J280" s="26"/>
      <c r="K280" s="27">
        <f t="shared" si="132"/>
        <v>0</v>
      </c>
      <c r="L280" s="1"/>
      <c r="M280" s="572"/>
      <c r="N280" s="564"/>
      <c r="O280" s="1"/>
      <c r="P280" s="3"/>
      <c r="Q280" s="1"/>
      <c r="R280" s="1"/>
      <c r="S280" s="1"/>
      <c r="T280" s="1"/>
      <c r="U280" s="4"/>
    </row>
    <row r="281" spans="1:21" s="533" customFormat="1" ht="18.75" customHeight="1">
      <c r="A281" s="39" t="s">
        <v>616</v>
      </c>
      <c r="B281" s="29" t="s">
        <v>363</v>
      </c>
      <c r="C281" s="30"/>
      <c r="D281" s="537"/>
      <c r="E281" s="102"/>
      <c r="F281" s="31"/>
      <c r="G281" s="27"/>
      <c r="H281" s="37">
        <v>0</v>
      </c>
      <c r="I281" s="33">
        <f t="shared" ref="I281" si="143">IF(D281="no",0,H281*3.3%)</f>
        <v>0</v>
      </c>
      <c r="J281" s="26"/>
      <c r="K281" s="27">
        <f t="shared" ref="K281" si="144">IF(D281="no",0,H281-I281-J281)</f>
        <v>0</v>
      </c>
      <c r="L281" s="1"/>
      <c r="M281" s="531"/>
      <c r="N281" s="532"/>
      <c r="O281" s="1"/>
      <c r="P281" s="3"/>
      <c r="Q281" s="1"/>
      <c r="R281" s="1"/>
      <c r="S281" s="1"/>
      <c r="T281" s="1"/>
      <c r="U281" s="4"/>
    </row>
    <row r="282" spans="1:21" ht="18.75" customHeight="1">
      <c r="A282" s="39" t="s">
        <v>616</v>
      </c>
      <c r="B282" s="29" t="s">
        <v>563</v>
      </c>
      <c r="C282" s="30"/>
      <c r="D282" s="556"/>
      <c r="E282" s="102"/>
      <c r="F282" s="31">
        <f t="shared" si="141"/>
        <v>0</v>
      </c>
      <c r="G282" s="27">
        <f t="shared" si="142"/>
        <v>0</v>
      </c>
      <c r="H282" s="37">
        <v>0</v>
      </c>
      <c r="I282" s="33">
        <f t="shared" si="131"/>
        <v>0</v>
      </c>
      <c r="J282" s="26"/>
      <c r="K282" s="27">
        <f t="shared" si="132"/>
        <v>0</v>
      </c>
      <c r="L282" s="27"/>
      <c r="M282" s="572"/>
      <c r="N282" s="564"/>
      <c r="O282" s="1"/>
      <c r="P282" s="3"/>
      <c r="Q282" s="1"/>
      <c r="R282" s="1"/>
      <c r="S282" s="1"/>
      <c r="T282" s="1"/>
      <c r="U282" s="4"/>
    </row>
    <row r="283" spans="1:21" ht="18.75" customHeight="1">
      <c r="A283" s="575" t="s">
        <v>42</v>
      </c>
      <c r="B283" s="576"/>
      <c r="C283" s="576"/>
      <c r="D283" s="577"/>
      <c r="E283" s="42">
        <f t="shared" ref="E283:L283" si="145">SUM(E266:E282)</f>
        <v>7980000</v>
      </c>
      <c r="F283" s="17">
        <f t="shared" si="145"/>
        <v>7254545.4545454532</v>
      </c>
      <c r="G283" s="42">
        <f t="shared" si="145"/>
        <v>725454.54545454541</v>
      </c>
      <c r="H283" s="43">
        <f t="shared" si="145"/>
        <v>3654545.4545454541</v>
      </c>
      <c r="I283" s="42">
        <f t="shared" si="145"/>
        <v>120600</v>
      </c>
      <c r="J283" s="43">
        <f t="shared" si="145"/>
        <v>0</v>
      </c>
      <c r="K283" s="42">
        <f t="shared" si="145"/>
        <v>3533945.4545454541</v>
      </c>
      <c r="L283" s="42">
        <f t="shared" si="145"/>
        <v>0</v>
      </c>
      <c r="M283" s="44"/>
      <c r="N283" s="45"/>
      <c r="O283" s="1"/>
      <c r="P283" s="3"/>
      <c r="Q283" s="1"/>
      <c r="R283" s="1"/>
      <c r="S283" s="1"/>
      <c r="T283" s="1"/>
      <c r="U283" s="4"/>
    </row>
    <row r="284" spans="1:21" ht="18.75" customHeight="1">
      <c r="A284" s="46" t="s">
        <v>37</v>
      </c>
      <c r="B284" s="47" t="s">
        <v>43</v>
      </c>
      <c r="C284" s="48">
        <f>D264</f>
        <v>5</v>
      </c>
      <c r="D284" s="47" t="s">
        <v>44</v>
      </c>
      <c r="E284" s="49"/>
      <c r="F284" s="84"/>
      <c r="G284" s="85"/>
      <c r="H284" s="49"/>
      <c r="I284" s="53" t="s">
        <v>46</v>
      </c>
      <c r="J284" s="54">
        <v>11000</v>
      </c>
      <c r="K284" s="50"/>
      <c r="L284" s="55"/>
      <c r="M284" s="63"/>
      <c r="N284" s="64"/>
      <c r="O284" s="1"/>
      <c r="P284" s="3"/>
      <c r="Q284" s="1"/>
      <c r="R284" s="1"/>
      <c r="S284" s="1"/>
      <c r="T284" s="1"/>
      <c r="U284" s="4"/>
    </row>
    <row r="285" spans="1:21" ht="16.5" customHeight="1" thickBot="1">
      <c r="A285" s="56" t="s">
        <v>48</v>
      </c>
      <c r="B285" s="57" t="s">
        <v>49</v>
      </c>
      <c r="C285" s="58">
        <f>ROUND(F283/10000,0)</f>
        <v>725</v>
      </c>
      <c r="D285" s="57" t="s">
        <v>50</v>
      </c>
      <c r="E285" s="52"/>
      <c r="F285" s="86"/>
      <c r="G285" s="87"/>
      <c r="H285" s="52"/>
      <c r="I285" s="59"/>
      <c r="J285" s="61"/>
      <c r="K285" s="59"/>
      <c r="L285" s="62"/>
      <c r="M285" s="63"/>
      <c r="N285" s="64"/>
      <c r="O285" s="1"/>
      <c r="P285" s="3"/>
      <c r="Q285" s="1"/>
      <c r="R285" s="1"/>
      <c r="S285" s="1"/>
      <c r="T285" s="1"/>
      <c r="U285" s="4"/>
    </row>
    <row r="286" spans="1:21" ht="18.75" customHeight="1" thickBot="1">
      <c r="A286" s="566" t="s">
        <v>52</v>
      </c>
      <c r="B286" s="567"/>
      <c r="C286" s="567"/>
      <c r="D286" s="568"/>
      <c r="E286" s="65"/>
      <c r="F286" s="569" t="s">
        <v>53</v>
      </c>
      <c r="G286" s="568"/>
      <c r="H286" s="66">
        <f>H283-J284</f>
        <v>3643545.4545454541</v>
      </c>
      <c r="I286" s="67">
        <f>H286*3.3%</f>
        <v>120236.99999999999</v>
      </c>
      <c r="J286" s="68">
        <f>SUM(J283)</f>
        <v>0</v>
      </c>
      <c r="K286" s="69">
        <f>H286-I286-J286</f>
        <v>3523308.4545454541</v>
      </c>
      <c r="L286" s="70">
        <f>L283+SUM(H284:H285)+J285</f>
        <v>0</v>
      </c>
      <c r="M286" s="570">
        <f>K286+L286</f>
        <v>3523308.4545454541</v>
      </c>
      <c r="N286" s="571"/>
      <c r="O286" s="1"/>
      <c r="P286" s="3"/>
      <c r="Q286" s="1"/>
      <c r="R286" s="1"/>
      <c r="S286" s="1"/>
      <c r="T286" s="1"/>
      <c r="U286" s="4"/>
    </row>
    <row r="287" spans="1:21" ht="17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4"/>
    </row>
    <row r="288" spans="1:21" ht="18.75" customHeight="1">
      <c r="A288" s="6" t="s">
        <v>518</v>
      </c>
      <c r="B288" s="7" t="str">
        <f>$B$34</f>
        <v>1월</v>
      </c>
      <c r="C288" s="8" t="s">
        <v>1</v>
      </c>
      <c r="D288" s="9">
        <f>COUNTIF($C290:$C300,"계약")+(COUNTIF($C290:$C300,"계약2")*2)</f>
        <v>4</v>
      </c>
      <c r="E288" s="3">
        <f>COUNTIF(C290:C300,"낙찰수수료")</f>
        <v>0</v>
      </c>
      <c r="F288" s="3"/>
      <c r="G288" s="89" t="s">
        <v>519</v>
      </c>
      <c r="H288" s="90">
        <v>0.5</v>
      </c>
      <c r="I288" s="12">
        <v>3.3000000000000002E-2</v>
      </c>
      <c r="J288" s="1"/>
      <c r="K288" s="1"/>
      <c r="L288" s="1"/>
      <c r="M288" s="1"/>
      <c r="N288" s="1"/>
      <c r="O288" s="1"/>
      <c r="P288" s="3"/>
      <c r="Q288" s="1"/>
      <c r="R288" s="1"/>
      <c r="S288" s="1"/>
      <c r="T288" s="1"/>
      <c r="U288" s="4"/>
    </row>
    <row r="289" spans="1:21" ht="18.75" customHeight="1">
      <c r="A289" s="13" t="s">
        <v>3</v>
      </c>
      <c r="B289" s="14" t="s">
        <v>4</v>
      </c>
      <c r="C289" s="14" t="s">
        <v>5</v>
      </c>
      <c r="D289" s="101" t="s">
        <v>6</v>
      </c>
      <c r="E289" s="16" t="s">
        <v>7</v>
      </c>
      <c r="F289" s="17" t="s">
        <v>8</v>
      </c>
      <c r="G289" s="14" t="s">
        <v>9</v>
      </c>
      <c r="H289" s="15" t="s">
        <v>10</v>
      </c>
      <c r="I289" s="14" t="s">
        <v>11</v>
      </c>
      <c r="J289" s="15" t="s">
        <v>12</v>
      </c>
      <c r="K289" s="14" t="s">
        <v>13</v>
      </c>
      <c r="L289" s="14" t="s">
        <v>14</v>
      </c>
      <c r="M289" s="579" t="s">
        <v>15</v>
      </c>
      <c r="N289" s="577"/>
      <c r="O289" s="1"/>
      <c r="P289" s="3"/>
      <c r="Q289" s="1"/>
      <c r="R289" s="1"/>
      <c r="S289" s="1"/>
      <c r="T289" s="1"/>
      <c r="U289" s="4"/>
    </row>
    <row r="290" spans="1:21" ht="18.75" customHeight="1">
      <c r="A290" s="28">
        <v>46028</v>
      </c>
      <c r="B290" s="29" t="s">
        <v>703</v>
      </c>
      <c r="C290" s="30" t="s">
        <v>704</v>
      </c>
      <c r="D290" s="38"/>
      <c r="E290" s="27">
        <v>440000</v>
      </c>
      <c r="F290" s="31">
        <f t="shared" ref="F290:F297" si="146">IF(D290="no",E290,E290/1.1)</f>
        <v>399999.99999999994</v>
      </c>
      <c r="G290" s="27">
        <f t="shared" ref="G290:G297" si="147">IF(D290="no",0,F290*0.1)</f>
        <v>40000</v>
      </c>
      <c r="H290" s="32">
        <f>IF(D290="no",0,F290*H288)</f>
        <v>199999.99999999997</v>
      </c>
      <c r="I290" s="33">
        <f t="shared" ref="I290:I300" si="148">IF(D290="no",0,H290*3.3%)</f>
        <v>6599.9999999999991</v>
      </c>
      <c r="J290" s="26"/>
      <c r="K290" s="27">
        <f t="shared" ref="K290:K300" si="149">IF(D290="no",0,H290-I290-J290)</f>
        <v>193399.99999999997</v>
      </c>
      <c r="L290" s="27">
        <f>IF(D290="no",F290*H288-J290,0)</f>
        <v>0</v>
      </c>
      <c r="M290" s="580"/>
      <c r="N290" s="581"/>
      <c r="O290" s="1"/>
      <c r="P290" s="3"/>
      <c r="Q290" s="1"/>
      <c r="R290" s="1"/>
      <c r="S290" s="1"/>
      <c r="T290" s="1"/>
      <c r="U290" s="4"/>
    </row>
    <row r="291" spans="1:21" ht="18.75" customHeight="1">
      <c r="A291" s="39">
        <v>46042</v>
      </c>
      <c r="B291" s="29" t="s">
        <v>701</v>
      </c>
      <c r="C291" s="30" t="s">
        <v>704</v>
      </c>
      <c r="D291" s="95"/>
      <c r="E291" s="102">
        <v>990000</v>
      </c>
      <c r="F291" s="31">
        <f t="shared" si="146"/>
        <v>899999.99999999988</v>
      </c>
      <c r="G291" s="27">
        <f t="shared" si="147"/>
        <v>90000</v>
      </c>
      <c r="H291" s="32">
        <f>IF(D291="no",0,F291*H288)</f>
        <v>449999.99999999994</v>
      </c>
      <c r="I291" s="33">
        <f t="shared" si="148"/>
        <v>14849.999999999998</v>
      </c>
      <c r="J291" s="26"/>
      <c r="K291" s="27">
        <f t="shared" si="149"/>
        <v>435149.99999999994</v>
      </c>
      <c r="L291" s="27">
        <f>IF(D291="no",F291*H288-J291,0)</f>
        <v>0</v>
      </c>
      <c r="M291" s="572"/>
      <c r="N291" s="564"/>
      <c r="O291" s="1"/>
      <c r="P291" s="3"/>
      <c r="Q291" s="1"/>
      <c r="R291" s="1"/>
      <c r="S291" s="1"/>
      <c r="T291" s="1"/>
      <c r="U291" s="4"/>
    </row>
    <row r="292" spans="1:21" ht="18.75" customHeight="1">
      <c r="A292" s="39">
        <v>46042</v>
      </c>
      <c r="B292" s="29" t="s">
        <v>578</v>
      </c>
      <c r="C292" s="30" t="s">
        <v>704</v>
      </c>
      <c r="D292" s="95"/>
      <c r="E292" s="102">
        <v>330000</v>
      </c>
      <c r="F292" s="31">
        <f t="shared" si="146"/>
        <v>300000</v>
      </c>
      <c r="G292" s="27">
        <f t="shared" si="147"/>
        <v>30000</v>
      </c>
      <c r="H292" s="32">
        <f>IF(D292="no",0,F292*H288)</f>
        <v>150000</v>
      </c>
      <c r="I292" s="33">
        <f t="shared" si="148"/>
        <v>4950</v>
      </c>
      <c r="J292" s="26"/>
      <c r="K292" s="27">
        <f t="shared" si="149"/>
        <v>145050</v>
      </c>
      <c r="L292" s="27">
        <f>IF(D292="no",F292*H288-J292,0)</f>
        <v>0</v>
      </c>
      <c r="M292" s="572"/>
      <c r="N292" s="564"/>
      <c r="O292" s="1"/>
      <c r="P292" s="3"/>
      <c r="Q292" s="1"/>
      <c r="R292" s="1"/>
      <c r="S292" s="1"/>
      <c r="T292" s="1"/>
      <c r="U292" s="4"/>
    </row>
    <row r="293" spans="1:21" ht="18.75" customHeight="1">
      <c r="A293" s="39">
        <v>46045</v>
      </c>
      <c r="B293" s="29" t="s">
        <v>701</v>
      </c>
      <c r="C293" s="30" t="s">
        <v>55</v>
      </c>
      <c r="D293" s="38"/>
      <c r="E293" s="102">
        <v>110000</v>
      </c>
      <c r="F293" s="31">
        <f t="shared" si="146"/>
        <v>99999.999999999985</v>
      </c>
      <c r="G293" s="27">
        <f t="shared" si="147"/>
        <v>10000</v>
      </c>
      <c r="H293" s="32">
        <f>IF(D293="no",0,F293*H288)</f>
        <v>49999.999999999993</v>
      </c>
      <c r="I293" s="33">
        <f t="shared" si="148"/>
        <v>1649.9999999999998</v>
      </c>
      <c r="J293" s="26"/>
      <c r="K293" s="27">
        <f t="shared" si="149"/>
        <v>48349.999999999993</v>
      </c>
      <c r="L293" s="27">
        <f>IF(D293="no",F293*H288-J293,0)</f>
        <v>0</v>
      </c>
      <c r="M293" s="572"/>
      <c r="N293" s="564"/>
      <c r="O293" s="1"/>
      <c r="P293" s="3"/>
      <c r="Q293" s="1"/>
      <c r="R293" s="1"/>
      <c r="S293" s="1"/>
      <c r="T293" s="1"/>
      <c r="U293" s="4"/>
    </row>
    <row r="294" spans="1:21" ht="18.75" customHeight="1">
      <c r="A294" s="39">
        <v>46048</v>
      </c>
      <c r="B294" s="29" t="s">
        <v>702</v>
      </c>
      <c r="C294" s="30" t="s">
        <v>687</v>
      </c>
      <c r="D294" s="38"/>
      <c r="E294" s="27">
        <v>550000</v>
      </c>
      <c r="F294" s="31">
        <f t="shared" si="146"/>
        <v>499999.99999999994</v>
      </c>
      <c r="G294" s="27">
        <f t="shared" si="147"/>
        <v>50000</v>
      </c>
      <c r="H294" s="32">
        <f>IF(D294="no",0,F294*H288)</f>
        <v>249999.99999999997</v>
      </c>
      <c r="I294" s="33">
        <f t="shared" si="148"/>
        <v>8250</v>
      </c>
      <c r="J294" s="26"/>
      <c r="K294" s="27">
        <f t="shared" si="149"/>
        <v>241749.99999999997</v>
      </c>
      <c r="L294" s="27">
        <f t="shared" ref="L294:L295" si="150">IF(D294="no",F294*H288-J294,0)</f>
        <v>0</v>
      </c>
      <c r="M294" s="563"/>
      <c r="N294" s="564"/>
      <c r="O294" s="1"/>
      <c r="P294" s="3"/>
      <c r="Q294" s="1"/>
      <c r="R294" s="1"/>
      <c r="S294" s="1"/>
      <c r="T294" s="1"/>
      <c r="U294" s="4"/>
    </row>
    <row r="295" spans="1:21" ht="18.75" hidden="1" customHeight="1">
      <c r="A295" s="28"/>
      <c r="B295" s="29"/>
      <c r="C295" s="30"/>
      <c r="D295" s="21"/>
      <c r="E295" s="27"/>
      <c r="F295" s="31">
        <f t="shared" si="146"/>
        <v>0</v>
      </c>
      <c r="G295" s="27">
        <f t="shared" si="147"/>
        <v>0</v>
      </c>
      <c r="H295" s="32">
        <f>IF(D295="no",0,F295*H288)</f>
        <v>0</v>
      </c>
      <c r="I295" s="33">
        <f t="shared" si="148"/>
        <v>0</v>
      </c>
      <c r="J295" s="26"/>
      <c r="K295" s="27">
        <f t="shared" si="149"/>
        <v>0</v>
      </c>
      <c r="L295" s="27">
        <f t="shared" si="150"/>
        <v>0</v>
      </c>
      <c r="M295" s="572"/>
      <c r="N295" s="564"/>
      <c r="O295" s="1"/>
      <c r="P295" s="3"/>
      <c r="Q295" s="1"/>
      <c r="R295" s="1"/>
      <c r="S295" s="1"/>
      <c r="T295" s="1"/>
      <c r="U295" s="4"/>
    </row>
    <row r="296" spans="1:21" ht="18.75" hidden="1" customHeight="1">
      <c r="A296" s="28"/>
      <c r="B296" s="29"/>
      <c r="C296" s="30"/>
      <c r="D296" s="38"/>
      <c r="E296" s="27"/>
      <c r="F296" s="31">
        <f t="shared" si="146"/>
        <v>0</v>
      </c>
      <c r="G296" s="27">
        <f t="shared" si="147"/>
        <v>0</v>
      </c>
      <c r="H296" s="32">
        <f>IF(D296="no",0,F296*H288)</f>
        <v>0</v>
      </c>
      <c r="I296" s="33">
        <f t="shared" si="148"/>
        <v>0</v>
      </c>
      <c r="J296" s="26"/>
      <c r="K296" s="27">
        <f t="shared" si="149"/>
        <v>0</v>
      </c>
      <c r="L296" s="27">
        <f>IF(D296="no",F296*H288-J296,0)</f>
        <v>0</v>
      </c>
      <c r="M296" s="572"/>
      <c r="N296" s="564"/>
      <c r="O296" s="1"/>
      <c r="P296" s="3"/>
      <c r="Q296" s="1"/>
      <c r="R296" s="1"/>
      <c r="S296" s="1"/>
      <c r="T296" s="1"/>
      <c r="U296" s="4"/>
    </row>
    <row r="297" spans="1:21" ht="18.75" customHeight="1">
      <c r="A297" s="28"/>
      <c r="B297" s="29"/>
      <c r="C297" s="30"/>
      <c r="D297" s="21"/>
      <c r="E297" s="27"/>
      <c r="F297" s="31">
        <f t="shared" si="146"/>
        <v>0</v>
      </c>
      <c r="G297" s="27">
        <f t="shared" si="147"/>
        <v>0</v>
      </c>
      <c r="H297" s="32"/>
      <c r="I297" s="33">
        <f t="shared" si="148"/>
        <v>0</v>
      </c>
      <c r="J297" s="26"/>
      <c r="K297" s="27">
        <f t="shared" si="149"/>
        <v>0</v>
      </c>
      <c r="L297" s="1"/>
      <c r="M297" s="573"/>
      <c r="N297" s="564"/>
      <c r="O297" s="1"/>
      <c r="P297" s="3"/>
      <c r="Q297" s="1"/>
      <c r="R297" s="1"/>
      <c r="S297" s="1"/>
      <c r="T297" s="1"/>
      <c r="U297" s="4"/>
    </row>
    <row r="298" spans="1:21" ht="18.75" customHeight="1">
      <c r="A298" s="39" t="s">
        <v>616</v>
      </c>
      <c r="B298" s="29" t="s">
        <v>61</v>
      </c>
      <c r="C298" s="30"/>
      <c r="D298" s="38"/>
      <c r="E298" s="27"/>
      <c r="F298" s="31"/>
      <c r="G298" s="27"/>
      <c r="H298" s="37"/>
      <c r="I298" s="33">
        <f t="shared" si="148"/>
        <v>0</v>
      </c>
      <c r="J298" s="26"/>
      <c r="K298" s="27">
        <f t="shared" si="149"/>
        <v>0</v>
      </c>
      <c r="L298" s="27">
        <f>IF(D298="no",F298*H287-J298,0)</f>
        <v>0</v>
      </c>
      <c r="M298" s="572"/>
      <c r="N298" s="564"/>
      <c r="O298" s="1"/>
      <c r="P298" s="3"/>
      <c r="Q298" s="1"/>
      <c r="R298" s="1"/>
      <c r="S298" s="1"/>
      <c r="T298" s="1"/>
      <c r="U298" s="4"/>
    </row>
    <row r="299" spans="1:21" ht="18.75" customHeight="1">
      <c r="A299" s="39" t="s">
        <v>616</v>
      </c>
      <c r="B299" s="29" t="s">
        <v>35</v>
      </c>
      <c r="C299" s="30"/>
      <c r="D299" s="21"/>
      <c r="E299" s="27"/>
      <c r="F299" s="31">
        <f t="shared" ref="F299:F300" si="151">IF(D299="no",E299,E299/1.1)</f>
        <v>0</v>
      </c>
      <c r="G299" s="27">
        <f t="shared" ref="G299:G300" si="152">IF(D299="no",0,F299*0.1)</f>
        <v>0</v>
      </c>
      <c r="H299" s="32"/>
      <c r="I299" s="33">
        <f t="shared" si="148"/>
        <v>0</v>
      </c>
      <c r="J299" s="26"/>
      <c r="K299" s="27">
        <f t="shared" si="149"/>
        <v>0</v>
      </c>
      <c r="L299" s="1"/>
      <c r="M299" s="574"/>
      <c r="N299" s="564"/>
      <c r="O299" s="1"/>
      <c r="P299" s="3"/>
      <c r="Q299" s="1"/>
      <c r="R299" s="1"/>
      <c r="S299" s="1"/>
      <c r="T299" s="1"/>
      <c r="U299" s="4"/>
    </row>
    <row r="300" spans="1:21" ht="18.75" customHeight="1">
      <c r="A300" s="39" t="s">
        <v>616</v>
      </c>
      <c r="B300" s="29" t="s">
        <v>64</v>
      </c>
      <c r="C300" s="30"/>
      <c r="D300" s="21"/>
      <c r="E300" s="27"/>
      <c r="F300" s="31">
        <f t="shared" si="151"/>
        <v>0</v>
      </c>
      <c r="G300" s="27">
        <f t="shared" si="152"/>
        <v>0</v>
      </c>
      <c r="H300" s="37"/>
      <c r="I300" s="33">
        <f t="shared" si="148"/>
        <v>0</v>
      </c>
      <c r="J300" s="26"/>
      <c r="K300" s="27">
        <f t="shared" si="149"/>
        <v>0</v>
      </c>
      <c r="L300" s="27"/>
      <c r="M300" s="572"/>
      <c r="N300" s="564"/>
      <c r="O300" s="1"/>
      <c r="P300" s="3"/>
      <c r="Q300" s="1"/>
      <c r="R300" s="1"/>
      <c r="S300" s="1"/>
      <c r="T300" s="1"/>
      <c r="U300" s="4"/>
    </row>
    <row r="301" spans="1:21" ht="18.75" customHeight="1">
      <c r="A301" s="575" t="s">
        <v>42</v>
      </c>
      <c r="B301" s="576"/>
      <c r="C301" s="576"/>
      <c r="D301" s="577"/>
      <c r="E301" s="42">
        <f t="shared" ref="E301:L301" si="153">SUM(E290:E300)</f>
        <v>2420000</v>
      </c>
      <c r="F301" s="17">
        <f t="shared" si="153"/>
        <v>2199999.9999999995</v>
      </c>
      <c r="G301" s="42">
        <f t="shared" si="153"/>
        <v>220000</v>
      </c>
      <c r="H301" s="43">
        <f t="shared" si="153"/>
        <v>1099999.9999999998</v>
      </c>
      <c r="I301" s="42">
        <f t="shared" si="153"/>
        <v>36300</v>
      </c>
      <c r="J301" s="43">
        <f t="shared" si="153"/>
        <v>0</v>
      </c>
      <c r="K301" s="42">
        <f t="shared" si="153"/>
        <v>1063699.9999999998</v>
      </c>
      <c r="L301" s="42">
        <f t="shared" si="153"/>
        <v>0</v>
      </c>
      <c r="M301" s="44"/>
      <c r="N301" s="45"/>
      <c r="O301" s="1"/>
      <c r="P301" s="3"/>
      <c r="Q301" s="1"/>
      <c r="R301" s="1"/>
      <c r="S301" s="1"/>
      <c r="T301" s="1"/>
      <c r="U301" s="4"/>
    </row>
    <row r="302" spans="1:21" ht="18.75" customHeight="1">
      <c r="A302" s="46" t="s">
        <v>37</v>
      </c>
      <c r="B302" s="47" t="s">
        <v>43</v>
      </c>
      <c r="C302" s="48">
        <f>D288</f>
        <v>4</v>
      </c>
      <c r="D302" s="47" t="s">
        <v>44</v>
      </c>
      <c r="E302" s="49"/>
      <c r="F302" s="84"/>
      <c r="G302" s="85"/>
      <c r="H302" s="49"/>
      <c r="I302" s="53" t="s">
        <v>46</v>
      </c>
      <c r="J302" s="54">
        <v>81700</v>
      </c>
      <c r="K302" s="50"/>
      <c r="L302" s="55"/>
      <c r="M302" s="63"/>
      <c r="N302" s="64"/>
      <c r="O302" s="1"/>
      <c r="P302" s="3"/>
      <c r="Q302" s="1"/>
      <c r="R302" s="1"/>
      <c r="S302" s="1"/>
      <c r="T302" s="1"/>
      <c r="U302" s="4"/>
    </row>
    <row r="303" spans="1:21" ht="16.5" customHeight="1" thickBot="1">
      <c r="A303" s="56" t="s">
        <v>48</v>
      </c>
      <c r="B303" s="57" t="s">
        <v>49</v>
      </c>
      <c r="C303" s="58">
        <f>ROUND(F301/10000,0)</f>
        <v>220</v>
      </c>
      <c r="D303" s="57" t="s">
        <v>50</v>
      </c>
      <c r="E303" s="52"/>
      <c r="F303" s="86"/>
      <c r="G303" s="87"/>
      <c r="H303" s="52"/>
      <c r="I303" s="59"/>
      <c r="J303" s="61"/>
      <c r="K303" s="59"/>
      <c r="L303" s="62"/>
      <c r="M303" s="63"/>
      <c r="N303" s="64"/>
      <c r="O303" s="1"/>
      <c r="P303" s="3"/>
      <c r="Q303" s="1"/>
      <c r="R303" s="1"/>
      <c r="S303" s="1"/>
      <c r="T303" s="1"/>
      <c r="U303" s="4"/>
    </row>
    <row r="304" spans="1:21" ht="18.75" customHeight="1" thickBot="1">
      <c r="A304" s="566" t="s">
        <v>52</v>
      </c>
      <c r="B304" s="567"/>
      <c r="C304" s="567"/>
      <c r="D304" s="568"/>
      <c r="E304" s="65"/>
      <c r="F304" s="569" t="s">
        <v>53</v>
      </c>
      <c r="G304" s="568"/>
      <c r="H304" s="66">
        <f>H301-J302</f>
        <v>1018299.9999999998</v>
      </c>
      <c r="I304" s="67">
        <f>H304*3.3%</f>
        <v>33603.899999999994</v>
      </c>
      <c r="J304" s="68">
        <f>SUM(J301)</f>
        <v>0</v>
      </c>
      <c r="K304" s="69">
        <f>H304-I304-J304</f>
        <v>984696.09999999974</v>
      </c>
      <c r="L304" s="70">
        <f>L301+SUM(H302:H303)+J303</f>
        <v>0</v>
      </c>
      <c r="M304" s="570">
        <f>K304+L304</f>
        <v>984696.09999999974</v>
      </c>
      <c r="N304" s="571"/>
      <c r="O304" s="1"/>
      <c r="P304" s="3"/>
      <c r="Q304" s="1"/>
      <c r="R304" s="1"/>
      <c r="S304" s="1"/>
      <c r="T304" s="1"/>
      <c r="U304" s="4"/>
    </row>
    <row r="305" spans="1:21" ht="15" customHeight="1">
      <c r="A305" s="1"/>
      <c r="B305" s="1"/>
      <c r="C305" s="1"/>
      <c r="D305" s="1"/>
      <c r="E305" s="1"/>
      <c r="F305" s="1"/>
      <c r="G305" s="1"/>
      <c r="H305" s="141">
        <v>1</v>
      </c>
      <c r="I305" s="1"/>
      <c r="J305" s="1"/>
      <c r="K305" s="1"/>
      <c r="L305" s="1"/>
      <c r="M305" s="1"/>
      <c r="N305" s="1"/>
      <c r="O305" s="1"/>
      <c r="P305" s="3"/>
      <c r="Q305" s="1"/>
      <c r="R305" s="1"/>
      <c r="S305" s="1"/>
      <c r="T305" s="1"/>
      <c r="U305" s="4"/>
    </row>
    <row r="306" spans="1:21" ht="18.75" customHeight="1">
      <c r="A306" s="6" t="s">
        <v>84</v>
      </c>
      <c r="B306" s="7" t="str">
        <f>$B$34</f>
        <v>1월</v>
      </c>
      <c r="C306" s="8" t="s">
        <v>1</v>
      </c>
      <c r="D306" s="9">
        <f>COUNTIF($C308:$C332,"계약")+(COUNTIF($C308:$C332,"계약2")*2)</f>
        <v>6</v>
      </c>
      <c r="E306" s="3">
        <f>COUNTIF(C308:C335,"낙찰수수료")</f>
        <v>3</v>
      </c>
      <c r="F306" s="3"/>
      <c r="G306" s="89" t="s">
        <v>85</v>
      </c>
      <c r="H306" s="90">
        <v>0.5</v>
      </c>
      <c r="I306" s="12">
        <v>3.3000000000000002E-2</v>
      </c>
      <c r="J306" s="1"/>
      <c r="K306" s="1"/>
      <c r="L306" s="1"/>
      <c r="M306" s="1"/>
      <c r="N306" s="1"/>
      <c r="O306" s="1"/>
      <c r="P306" s="72"/>
      <c r="Q306" s="1"/>
      <c r="R306" s="1"/>
      <c r="S306" s="1"/>
      <c r="T306" s="1"/>
      <c r="U306" s="4"/>
    </row>
    <row r="307" spans="1:21" ht="18.75" customHeight="1">
      <c r="A307" s="13" t="s">
        <v>3</v>
      </c>
      <c r="B307" s="14" t="s">
        <v>4</v>
      </c>
      <c r="C307" s="14" t="s">
        <v>5</v>
      </c>
      <c r="D307" s="101" t="s">
        <v>6</v>
      </c>
      <c r="E307" s="16" t="s">
        <v>7</v>
      </c>
      <c r="F307" s="17" t="s">
        <v>8</v>
      </c>
      <c r="G307" s="14" t="s">
        <v>9</v>
      </c>
      <c r="H307" s="15" t="s">
        <v>10</v>
      </c>
      <c r="I307" s="14" t="s">
        <v>11</v>
      </c>
      <c r="J307" s="15" t="s">
        <v>12</v>
      </c>
      <c r="K307" s="14" t="s">
        <v>13</v>
      </c>
      <c r="L307" s="14" t="s">
        <v>14</v>
      </c>
      <c r="M307" s="579" t="s">
        <v>15</v>
      </c>
      <c r="N307" s="577"/>
      <c r="O307" s="1"/>
      <c r="P307" s="71"/>
      <c r="Q307" s="1"/>
      <c r="R307" s="1"/>
      <c r="S307" s="1"/>
      <c r="T307" s="1"/>
      <c r="U307" s="4"/>
    </row>
    <row r="308" spans="1:21" ht="18.75" customHeight="1">
      <c r="A308" s="28">
        <v>46027</v>
      </c>
      <c r="B308" s="29" t="s">
        <v>705</v>
      </c>
      <c r="C308" s="30" t="s">
        <v>712</v>
      </c>
      <c r="D308" s="38"/>
      <c r="E308" s="27">
        <v>1100000</v>
      </c>
      <c r="F308" s="31">
        <f t="shared" ref="F308:F327" si="154">IF(D308="no",E308,E308/1.1)</f>
        <v>999999.99999999988</v>
      </c>
      <c r="G308" s="27">
        <f t="shared" ref="G308:G327" si="155">IF(D308="no",0,F308*0.1)</f>
        <v>100000</v>
      </c>
      <c r="H308" s="32">
        <f>IF(D308="no",0,F308*H306)</f>
        <v>499999.99999999994</v>
      </c>
      <c r="I308" s="33">
        <f t="shared" ref="I308:I327" si="156">IF(D308="no",0,H308*3.3%)</f>
        <v>16500</v>
      </c>
      <c r="J308" s="26"/>
      <c r="K308" s="27">
        <f t="shared" ref="K308:K328" si="157">IF(D308="no",0,H308-I308-J308)</f>
        <v>483499.99999999994</v>
      </c>
      <c r="L308" s="27">
        <f>IF(D308="no",F308*H306-J308,0)</f>
        <v>0</v>
      </c>
      <c r="M308" s="572"/>
      <c r="N308" s="564"/>
      <c r="O308" s="1"/>
      <c r="P308" s="72"/>
      <c r="Q308" s="1"/>
      <c r="R308" s="1"/>
      <c r="S308" s="1"/>
      <c r="T308" s="1"/>
      <c r="U308" s="4"/>
    </row>
    <row r="309" spans="1:21" ht="18.75" customHeight="1">
      <c r="A309" s="28">
        <v>46028</v>
      </c>
      <c r="B309" s="29" t="s">
        <v>706</v>
      </c>
      <c r="C309" s="30" t="s">
        <v>56</v>
      </c>
      <c r="D309" s="95"/>
      <c r="E309" s="102">
        <v>7406300</v>
      </c>
      <c r="F309" s="31">
        <f t="shared" si="154"/>
        <v>6732999.9999999991</v>
      </c>
      <c r="G309" s="27">
        <f t="shared" si="155"/>
        <v>673300</v>
      </c>
      <c r="H309" s="112">
        <f>IF(D309="no",0,F309*H306)</f>
        <v>3366499.9999999995</v>
      </c>
      <c r="I309" s="33">
        <f t="shared" si="156"/>
        <v>111094.49999999999</v>
      </c>
      <c r="J309" s="26"/>
      <c r="K309" s="27">
        <f t="shared" si="157"/>
        <v>3255405.4999999995</v>
      </c>
      <c r="L309" s="27">
        <f>IF(D309="no",F309*H306-J309,0)</f>
        <v>0</v>
      </c>
      <c r="M309" s="572"/>
      <c r="N309" s="564"/>
      <c r="O309" s="1"/>
      <c r="P309" s="72"/>
      <c r="Q309" s="1"/>
      <c r="R309" s="1"/>
      <c r="S309" s="1"/>
      <c r="T309" s="1"/>
      <c r="U309" s="4"/>
    </row>
    <row r="310" spans="1:21" ht="18.75" customHeight="1">
      <c r="A310" s="28">
        <v>46031</v>
      </c>
      <c r="B310" s="29" t="s">
        <v>707</v>
      </c>
      <c r="C310" s="30" t="s">
        <v>713</v>
      </c>
      <c r="D310" s="38"/>
      <c r="E310" s="102">
        <v>550000</v>
      </c>
      <c r="F310" s="31">
        <f t="shared" si="154"/>
        <v>499999.99999999994</v>
      </c>
      <c r="G310" s="27">
        <f t="shared" si="155"/>
        <v>50000</v>
      </c>
      <c r="H310" s="32">
        <f>IF(D310="no",0,F310*H306)</f>
        <v>249999.99999999997</v>
      </c>
      <c r="I310" s="33">
        <f t="shared" si="156"/>
        <v>8250</v>
      </c>
      <c r="J310" s="26"/>
      <c r="K310" s="27">
        <f t="shared" si="157"/>
        <v>241749.99999999997</v>
      </c>
      <c r="L310" s="27">
        <f>IF(D310="no",F310*H306-J310,0)</f>
        <v>0</v>
      </c>
      <c r="M310" s="572"/>
      <c r="N310" s="564"/>
      <c r="O310" s="1"/>
      <c r="P310" s="72"/>
      <c r="Q310" s="1"/>
      <c r="R310" s="1"/>
      <c r="S310" s="1"/>
      <c r="T310" s="1"/>
      <c r="U310" s="4"/>
    </row>
    <row r="311" spans="1:21" ht="18.75" customHeight="1">
      <c r="A311" s="28">
        <v>46035</v>
      </c>
      <c r="B311" s="29" t="s">
        <v>708</v>
      </c>
      <c r="C311" s="30" t="s">
        <v>56</v>
      </c>
      <c r="D311" s="38"/>
      <c r="E311" s="27">
        <v>22000000</v>
      </c>
      <c r="F311" s="31">
        <f t="shared" si="154"/>
        <v>20000000</v>
      </c>
      <c r="G311" s="27">
        <f t="shared" si="155"/>
        <v>2000000</v>
      </c>
      <c r="H311" s="32">
        <f>IF(D311="no",0,F311*H306)</f>
        <v>10000000</v>
      </c>
      <c r="I311" s="33">
        <f t="shared" si="156"/>
        <v>330000</v>
      </c>
      <c r="J311" s="26"/>
      <c r="K311" s="27">
        <f t="shared" si="157"/>
        <v>9670000</v>
      </c>
      <c r="L311" s="27">
        <f>IF(D311="no",F311*H306-J311,0)</f>
        <v>0</v>
      </c>
      <c r="M311" s="578"/>
      <c r="N311" s="564"/>
      <c r="O311" s="1"/>
      <c r="P311" s="72"/>
      <c r="Q311" s="1"/>
      <c r="R311" s="1"/>
      <c r="S311" s="1"/>
      <c r="T311" s="1"/>
      <c r="U311" s="4"/>
    </row>
    <row r="312" spans="1:21" ht="18.75" customHeight="1">
      <c r="A312" s="28">
        <v>46035</v>
      </c>
      <c r="B312" s="29" t="s">
        <v>714</v>
      </c>
      <c r="C312" s="30" t="s">
        <v>687</v>
      </c>
      <c r="D312" s="303"/>
      <c r="E312" s="27">
        <v>1650000</v>
      </c>
      <c r="F312" s="31">
        <f t="shared" si="154"/>
        <v>1499999.9999999998</v>
      </c>
      <c r="G312" s="27">
        <f t="shared" si="155"/>
        <v>149999.99999999997</v>
      </c>
      <c r="H312" s="32">
        <f>IF(D312="no",0,F312*H306)</f>
        <v>749999.99999999988</v>
      </c>
      <c r="I312" s="33">
        <f t="shared" si="156"/>
        <v>24749.999999999996</v>
      </c>
      <c r="J312" s="97"/>
      <c r="K312" s="27">
        <f t="shared" si="157"/>
        <v>725249.99999999988</v>
      </c>
      <c r="L312" s="27">
        <f>IF(D312="no",F312*H80-J312,0)</f>
        <v>0</v>
      </c>
      <c r="M312" s="572"/>
      <c r="N312" s="634"/>
      <c r="O312" s="1"/>
      <c r="P312" s="3"/>
      <c r="Q312" s="1"/>
      <c r="R312" s="1"/>
      <c r="S312" s="1"/>
      <c r="T312" s="1"/>
      <c r="U312" s="4"/>
    </row>
    <row r="313" spans="1:21" ht="18.75" customHeight="1">
      <c r="A313" s="28">
        <v>46036</v>
      </c>
      <c r="B313" s="29" t="s">
        <v>714</v>
      </c>
      <c r="C313" s="30" t="s">
        <v>56</v>
      </c>
      <c r="D313" s="38"/>
      <c r="E313" s="102">
        <v>6083000</v>
      </c>
      <c r="F313" s="31">
        <f t="shared" si="154"/>
        <v>5530000</v>
      </c>
      <c r="G313" s="27">
        <f t="shared" si="155"/>
        <v>553000</v>
      </c>
      <c r="H313" s="112">
        <f>IF(D313="no",0,F313*H306)</f>
        <v>2765000</v>
      </c>
      <c r="I313" s="33">
        <f t="shared" si="156"/>
        <v>91245</v>
      </c>
      <c r="J313" s="26"/>
      <c r="K313" s="27">
        <f t="shared" si="157"/>
        <v>2673755</v>
      </c>
      <c r="L313" s="27">
        <f>IF(D313="no",F313*H307-J313,0)</f>
        <v>0</v>
      </c>
      <c r="M313" s="578"/>
      <c r="N313" s="564"/>
      <c r="O313" s="1"/>
      <c r="P313" s="3"/>
      <c r="Q313" s="1"/>
      <c r="R313" s="1"/>
      <c r="S313" s="1"/>
      <c r="T313" s="1"/>
      <c r="U313" s="4"/>
    </row>
    <row r="314" spans="1:21" ht="18.75" customHeight="1">
      <c r="A314" s="28">
        <v>46044</v>
      </c>
      <c r="B314" s="29" t="s">
        <v>709</v>
      </c>
      <c r="C314" s="30" t="s">
        <v>687</v>
      </c>
      <c r="D314" s="21"/>
      <c r="E314" s="420">
        <v>1100000</v>
      </c>
      <c r="F314" s="31">
        <f t="shared" si="154"/>
        <v>999999.99999999988</v>
      </c>
      <c r="G314" s="27">
        <f t="shared" si="155"/>
        <v>100000</v>
      </c>
      <c r="H314" s="112">
        <f>IF(D314="no",0,F314*H306)</f>
        <v>499999.99999999994</v>
      </c>
      <c r="I314" s="33">
        <f t="shared" si="156"/>
        <v>16500</v>
      </c>
      <c r="J314" s="26"/>
      <c r="K314" s="27">
        <f t="shared" si="157"/>
        <v>483499.99999999994</v>
      </c>
      <c r="L314" s="27">
        <f>IF(D314="no",F314*H376-J314,0)</f>
        <v>0</v>
      </c>
      <c r="M314" s="572"/>
      <c r="N314" s="564"/>
      <c r="O314" s="1"/>
      <c r="P314" s="3"/>
      <c r="Q314" s="1"/>
      <c r="R314" s="1"/>
      <c r="S314" s="1"/>
      <c r="T314" s="1"/>
      <c r="U314" s="4"/>
    </row>
    <row r="315" spans="1:21" ht="18.75" customHeight="1">
      <c r="A315" s="28">
        <v>46050</v>
      </c>
      <c r="B315" s="29" t="s">
        <v>710</v>
      </c>
      <c r="C315" s="30" t="s">
        <v>687</v>
      </c>
      <c r="D315" s="21"/>
      <c r="E315" s="27">
        <v>550000</v>
      </c>
      <c r="F315" s="31">
        <f t="shared" si="154"/>
        <v>499999.99999999994</v>
      </c>
      <c r="G315" s="27">
        <f t="shared" si="155"/>
        <v>50000</v>
      </c>
      <c r="H315" s="32">
        <f>IF(D315="no",0,F315*H306)</f>
        <v>249999.99999999997</v>
      </c>
      <c r="I315" s="33">
        <f t="shared" si="156"/>
        <v>8250</v>
      </c>
      <c r="J315" s="26"/>
      <c r="K315" s="27">
        <f t="shared" si="157"/>
        <v>241749.99999999997</v>
      </c>
      <c r="L315" s="27">
        <f>IF(D315="no",F315*H308-J315,0)</f>
        <v>0</v>
      </c>
      <c r="M315" s="572"/>
      <c r="N315" s="564"/>
      <c r="O315" s="1"/>
      <c r="P315" s="3"/>
      <c r="Q315" s="1"/>
      <c r="R315" s="1"/>
      <c r="S315" s="1"/>
      <c r="T315" s="1"/>
      <c r="U315" s="4"/>
    </row>
    <row r="316" spans="1:21" ht="18.75" customHeight="1">
      <c r="A316" s="28">
        <v>46051</v>
      </c>
      <c r="B316" s="29" t="s">
        <v>711</v>
      </c>
      <c r="C316" s="30" t="s">
        <v>687</v>
      </c>
      <c r="D316" s="38"/>
      <c r="E316" s="27">
        <v>550000</v>
      </c>
      <c r="F316" s="31">
        <f t="shared" si="154"/>
        <v>499999.99999999994</v>
      </c>
      <c r="G316" s="27">
        <f t="shared" si="155"/>
        <v>50000</v>
      </c>
      <c r="H316" s="32">
        <f>IF(D316="no",0,F316*H306)</f>
        <v>249999.99999999997</v>
      </c>
      <c r="I316" s="33">
        <f t="shared" si="156"/>
        <v>8250</v>
      </c>
      <c r="J316" s="26"/>
      <c r="K316" s="27">
        <f t="shared" si="157"/>
        <v>241749.99999999997</v>
      </c>
      <c r="L316" s="27">
        <f>IF(D316="no",F316*H376-J316,0)</f>
        <v>0</v>
      </c>
      <c r="M316" s="563"/>
      <c r="N316" s="564"/>
      <c r="O316" s="1"/>
      <c r="P316" s="3"/>
      <c r="Q316" s="1"/>
      <c r="R316" s="1"/>
      <c r="S316" s="1"/>
      <c r="T316" s="1"/>
      <c r="U316" s="4"/>
    </row>
    <row r="317" spans="1:21" ht="18.75" hidden="1" customHeight="1">
      <c r="A317" s="28"/>
      <c r="B317" s="29"/>
      <c r="C317" s="30"/>
      <c r="D317" s="38"/>
      <c r="E317" s="27"/>
      <c r="F317" s="31">
        <f t="shared" si="154"/>
        <v>0</v>
      </c>
      <c r="G317" s="27">
        <f t="shared" si="155"/>
        <v>0</v>
      </c>
      <c r="H317" s="32">
        <f>IF(D317="no",0,F317*H306)</f>
        <v>0</v>
      </c>
      <c r="I317" s="33">
        <f t="shared" si="156"/>
        <v>0</v>
      </c>
      <c r="J317" s="26"/>
      <c r="K317" s="27">
        <f t="shared" si="157"/>
        <v>0</v>
      </c>
      <c r="L317" s="27">
        <f t="shared" ref="L317:L318" si="158">IF(D317="no",F317*H308-J317,0)</f>
        <v>0</v>
      </c>
      <c r="M317" s="572"/>
      <c r="N317" s="564"/>
      <c r="O317" s="1"/>
      <c r="P317" s="3"/>
      <c r="Q317" s="1"/>
      <c r="R317" s="1"/>
      <c r="S317" s="1"/>
      <c r="T317" s="1"/>
      <c r="U317" s="4"/>
    </row>
    <row r="318" spans="1:21" ht="18.75" hidden="1" customHeight="1">
      <c r="A318" s="28"/>
      <c r="B318" s="29"/>
      <c r="C318" s="30"/>
      <c r="D318" s="38"/>
      <c r="E318" s="27"/>
      <c r="F318" s="31">
        <f t="shared" si="154"/>
        <v>0</v>
      </c>
      <c r="G318" s="27">
        <f t="shared" si="155"/>
        <v>0</v>
      </c>
      <c r="H318" s="32">
        <f>IF(D318="no",0,F318*H306)</f>
        <v>0</v>
      </c>
      <c r="I318" s="33">
        <f t="shared" si="156"/>
        <v>0</v>
      </c>
      <c r="J318" s="26"/>
      <c r="K318" s="27">
        <f t="shared" si="157"/>
        <v>0</v>
      </c>
      <c r="L318" s="27">
        <f t="shared" si="158"/>
        <v>0</v>
      </c>
      <c r="M318" s="563"/>
      <c r="N318" s="564"/>
      <c r="O318" s="1"/>
      <c r="P318" s="3"/>
      <c r="Q318" s="1"/>
      <c r="R318" s="1"/>
      <c r="S318" s="1"/>
      <c r="T318" s="1"/>
      <c r="U318" s="4"/>
    </row>
    <row r="319" spans="1:21" ht="18.75" hidden="1" customHeight="1">
      <c r="A319" s="28"/>
      <c r="B319" s="29"/>
      <c r="C319" s="30"/>
      <c r="D319" s="21"/>
      <c r="E319" s="27"/>
      <c r="F319" s="31">
        <f t="shared" si="154"/>
        <v>0</v>
      </c>
      <c r="G319" s="27">
        <f t="shared" si="155"/>
        <v>0</v>
      </c>
      <c r="H319" s="32">
        <f>IF(D319="no",0,F319*H306)</f>
        <v>0</v>
      </c>
      <c r="I319" s="33">
        <f t="shared" si="156"/>
        <v>0</v>
      </c>
      <c r="J319" s="26"/>
      <c r="K319" s="27">
        <f t="shared" si="157"/>
        <v>0</v>
      </c>
      <c r="L319" s="1"/>
      <c r="M319" s="563"/>
      <c r="N319" s="564"/>
      <c r="O319" s="1"/>
      <c r="P319" s="3"/>
      <c r="Q319" s="1"/>
      <c r="R319" s="1"/>
      <c r="S319" s="1"/>
      <c r="T319" s="1"/>
      <c r="U319" s="4"/>
    </row>
    <row r="320" spans="1:21" ht="18.75" hidden="1" customHeight="1">
      <c r="A320" s="28"/>
      <c r="B320" s="29"/>
      <c r="C320" s="30"/>
      <c r="D320" s="38"/>
      <c r="E320" s="27"/>
      <c r="F320" s="31">
        <f t="shared" si="154"/>
        <v>0</v>
      </c>
      <c r="G320" s="27">
        <f t="shared" si="155"/>
        <v>0</v>
      </c>
      <c r="H320" s="32">
        <f>IF(D320="no",0,F320*H306)</f>
        <v>0</v>
      </c>
      <c r="I320" s="33">
        <f t="shared" si="156"/>
        <v>0</v>
      </c>
      <c r="J320" s="26"/>
      <c r="K320" s="27">
        <f t="shared" si="157"/>
        <v>0</v>
      </c>
      <c r="L320" s="27">
        <f>IF(D320="no",F320*H311-J320,0)</f>
        <v>0</v>
      </c>
      <c r="M320" s="572"/>
      <c r="N320" s="564"/>
      <c r="O320" s="1"/>
      <c r="P320" s="3"/>
      <c r="Q320" s="1"/>
      <c r="R320" s="1"/>
      <c r="S320" s="1"/>
      <c r="T320" s="1"/>
      <c r="U320" s="4"/>
    </row>
    <row r="321" spans="1:21" ht="18.75" hidden="1" customHeight="1">
      <c r="A321" s="28"/>
      <c r="B321" s="29"/>
      <c r="C321" s="30"/>
      <c r="D321" s="21"/>
      <c r="E321" s="27"/>
      <c r="F321" s="31">
        <f t="shared" si="154"/>
        <v>0</v>
      </c>
      <c r="G321" s="27">
        <f t="shared" si="155"/>
        <v>0</v>
      </c>
      <c r="H321" s="32">
        <f>IF(D321="no",0,F321*H306)</f>
        <v>0</v>
      </c>
      <c r="I321" s="33">
        <f t="shared" si="156"/>
        <v>0</v>
      </c>
      <c r="J321" s="26"/>
      <c r="K321" s="27">
        <f t="shared" si="157"/>
        <v>0</v>
      </c>
      <c r="L321" s="97"/>
      <c r="M321" s="608"/>
      <c r="N321" s="564"/>
      <c r="O321" s="1"/>
      <c r="P321" s="3"/>
      <c r="Q321" s="1"/>
      <c r="R321" s="1"/>
      <c r="S321" s="1"/>
      <c r="T321" s="1"/>
      <c r="U321" s="4"/>
    </row>
    <row r="322" spans="1:21" s="418" customFormat="1" ht="18.75" hidden="1" customHeight="1">
      <c r="A322" s="28"/>
      <c r="B322" s="29"/>
      <c r="C322" s="30"/>
      <c r="D322" s="419"/>
      <c r="E322" s="27"/>
      <c r="F322" s="31">
        <f t="shared" si="154"/>
        <v>0</v>
      </c>
      <c r="G322" s="27">
        <f t="shared" si="155"/>
        <v>0</v>
      </c>
      <c r="H322" s="32">
        <f>IF(D322="no",0,F322*H306)</f>
        <v>0</v>
      </c>
      <c r="I322" s="33">
        <f t="shared" ref="I322" si="159">IF(D322="no",0,H322*3.3%)</f>
        <v>0</v>
      </c>
      <c r="J322" s="26"/>
      <c r="K322" s="27">
        <f t="shared" si="157"/>
        <v>0</v>
      </c>
      <c r="L322" s="97"/>
      <c r="M322" s="417"/>
      <c r="N322" s="416"/>
      <c r="O322" s="1"/>
      <c r="P322" s="3"/>
      <c r="Q322" s="1"/>
      <c r="R322" s="1"/>
      <c r="S322" s="1"/>
      <c r="T322" s="1"/>
      <c r="U322" s="4"/>
    </row>
    <row r="323" spans="1:21" s="418" customFormat="1" ht="18.75" hidden="1" customHeight="1">
      <c r="A323" s="28"/>
      <c r="B323" s="29"/>
      <c r="C323" s="30"/>
      <c r="D323" s="419"/>
      <c r="E323" s="27"/>
      <c r="F323" s="31">
        <f t="shared" ref="F323" si="160">IF(D323="no",E323,E323/1.1)</f>
        <v>0</v>
      </c>
      <c r="G323" s="27">
        <f t="shared" ref="G323" si="161">IF(D323="no",0,F323*0.1)</f>
        <v>0</v>
      </c>
      <c r="H323" s="32">
        <f>IF(D323="no",0,F323*H306)</f>
        <v>0</v>
      </c>
      <c r="I323" s="33">
        <f t="shared" ref="I323" si="162">IF(D323="no",0,H323*3.3%)</f>
        <v>0</v>
      </c>
      <c r="J323" s="26"/>
      <c r="K323" s="27">
        <f t="shared" ref="K323" si="163">IF(D323="no",0,H323-I323-J323)</f>
        <v>0</v>
      </c>
      <c r="L323" s="97"/>
      <c r="M323" s="417"/>
      <c r="N323" s="416"/>
      <c r="O323" s="1"/>
      <c r="P323" s="3"/>
      <c r="Q323" s="1"/>
      <c r="R323" s="1"/>
      <c r="S323" s="1"/>
      <c r="T323" s="1"/>
      <c r="U323" s="4"/>
    </row>
    <row r="324" spans="1:21" s="453" customFormat="1" ht="18.75" hidden="1" customHeight="1">
      <c r="A324" s="28"/>
      <c r="B324" s="29"/>
      <c r="C324" s="30"/>
      <c r="D324" s="454"/>
      <c r="E324" s="27"/>
      <c r="F324" s="31">
        <f t="shared" ref="F324" si="164">IF(D324="no",E324,E324/1.1)</f>
        <v>0</v>
      </c>
      <c r="G324" s="27">
        <f t="shared" ref="G324" si="165">IF(D324="no",0,F324*0.1)</f>
        <v>0</v>
      </c>
      <c r="H324" s="32">
        <f>IF(D324="no",0,F324*H306)</f>
        <v>0</v>
      </c>
      <c r="I324" s="33">
        <f t="shared" ref="I324" si="166">IF(D324="no",0,H324*3.3%)</f>
        <v>0</v>
      </c>
      <c r="J324" s="26"/>
      <c r="K324" s="27">
        <f t="shared" ref="K324" si="167">IF(D324="no",0,H324-I324-J324)</f>
        <v>0</v>
      </c>
      <c r="L324" s="97"/>
      <c r="M324" s="447"/>
      <c r="N324" s="448"/>
      <c r="O324" s="1"/>
      <c r="P324" s="3"/>
      <c r="Q324" s="1"/>
      <c r="R324" s="1"/>
      <c r="S324" s="1"/>
      <c r="T324" s="1"/>
      <c r="U324" s="4"/>
    </row>
    <row r="325" spans="1:21" s="453" customFormat="1" ht="18.75" hidden="1" customHeight="1">
      <c r="A325" s="28"/>
      <c r="B325" s="29"/>
      <c r="C325" s="30"/>
      <c r="D325" s="454"/>
      <c r="E325" s="27"/>
      <c r="F325" s="31"/>
      <c r="G325" s="27"/>
      <c r="H325" s="32"/>
      <c r="I325" s="33"/>
      <c r="J325" s="26"/>
      <c r="K325" s="27"/>
      <c r="L325" s="97"/>
      <c r="M325" s="447"/>
      <c r="N325" s="448"/>
      <c r="O325" s="1"/>
      <c r="P325" s="3"/>
      <c r="Q325" s="1"/>
      <c r="R325" s="1"/>
      <c r="S325" s="1"/>
      <c r="T325" s="1"/>
      <c r="U325" s="4"/>
    </row>
    <row r="326" spans="1:21" ht="18.75" hidden="1" customHeight="1">
      <c r="A326" s="18"/>
      <c r="B326" s="19"/>
      <c r="C326" s="20"/>
      <c r="D326" s="419"/>
      <c r="E326" s="22"/>
      <c r="F326" s="23">
        <f t="shared" si="154"/>
        <v>0</v>
      </c>
      <c r="G326" s="22">
        <f t="shared" si="155"/>
        <v>0</v>
      </c>
      <c r="H326" s="24">
        <f>IF(D326="no",0,F326*H306)</f>
        <v>0</v>
      </c>
      <c r="I326" s="25">
        <f t="shared" si="156"/>
        <v>0</v>
      </c>
      <c r="J326" s="26"/>
      <c r="K326" s="22">
        <f t="shared" si="157"/>
        <v>0</v>
      </c>
      <c r="L326" s="1"/>
      <c r="M326" s="563"/>
      <c r="N326" s="627"/>
      <c r="O326" s="1"/>
      <c r="P326" s="3"/>
      <c r="Q326" s="1"/>
      <c r="R326" s="1"/>
      <c r="S326" s="1"/>
      <c r="T326" s="1"/>
      <c r="U326" s="4"/>
    </row>
    <row r="327" spans="1:21" s="279" customFormat="1" ht="18.75" customHeight="1">
      <c r="A327" s="18"/>
      <c r="B327" s="19"/>
      <c r="C327" s="20"/>
      <c r="D327" s="419"/>
      <c r="E327" s="22"/>
      <c r="F327" s="23">
        <f t="shared" si="154"/>
        <v>0</v>
      </c>
      <c r="G327" s="22">
        <f t="shared" si="155"/>
        <v>0</v>
      </c>
      <c r="H327" s="24">
        <f>IF(D327="no",0,F327*H306)</f>
        <v>0</v>
      </c>
      <c r="I327" s="25">
        <f t="shared" si="156"/>
        <v>0</v>
      </c>
      <c r="J327" s="26"/>
      <c r="K327" s="22">
        <f t="shared" si="157"/>
        <v>0</v>
      </c>
      <c r="L327" s="73"/>
      <c r="M327" s="563"/>
      <c r="N327" s="627"/>
      <c r="O327" s="73"/>
      <c r="P327" s="24"/>
      <c r="Q327" s="73"/>
      <c r="R327" s="73"/>
      <c r="S327" s="73"/>
      <c r="T327" s="73"/>
      <c r="U327" s="92"/>
    </row>
    <row r="328" spans="1:21" ht="18.75" customHeight="1">
      <c r="A328" s="28" t="s">
        <v>715</v>
      </c>
      <c r="B328" s="29" t="s">
        <v>716</v>
      </c>
      <c r="C328" s="30"/>
      <c r="D328" s="21"/>
      <c r="E328" s="27">
        <v>0</v>
      </c>
      <c r="F328" s="23">
        <v>0</v>
      </c>
      <c r="G328" s="22"/>
      <c r="H328" s="24"/>
      <c r="I328" s="25"/>
      <c r="J328" s="26">
        <v>5000000</v>
      </c>
      <c r="K328" s="22">
        <f t="shared" si="157"/>
        <v>-5000000</v>
      </c>
      <c r="L328" s="73"/>
      <c r="M328" s="590" t="s">
        <v>717</v>
      </c>
      <c r="N328" s="564"/>
      <c r="O328" s="1"/>
      <c r="P328" s="3"/>
      <c r="Q328" s="1"/>
      <c r="R328" s="1"/>
      <c r="S328" s="1"/>
      <c r="T328" s="1"/>
      <c r="U328" s="4"/>
    </row>
    <row r="329" spans="1:21" s="293" customFormat="1" ht="18.75" customHeight="1">
      <c r="A329" s="39" t="s">
        <v>616</v>
      </c>
      <c r="B329" s="29" t="s">
        <v>79</v>
      </c>
      <c r="C329" s="30"/>
      <c r="D329" s="294"/>
      <c r="E329" s="27"/>
      <c r="F329" s="31"/>
      <c r="G329" s="27"/>
      <c r="H329" s="32">
        <f>IF(D329="no",0,F329*H305)</f>
        <v>0</v>
      </c>
      <c r="I329" s="33">
        <f t="shared" ref="I329" si="168">IF(D329="no",0,H329*3.3%)</f>
        <v>0</v>
      </c>
      <c r="J329" s="26"/>
      <c r="K329" s="27"/>
      <c r="L329" s="27">
        <f>IF(D329="no",F329*H305-J329,0)</f>
        <v>0</v>
      </c>
      <c r="M329" s="574"/>
      <c r="N329" s="583"/>
      <c r="O329" s="1"/>
      <c r="P329" s="3"/>
      <c r="Q329" s="1"/>
      <c r="R329" s="1"/>
      <c r="S329" s="1"/>
      <c r="T329" s="1"/>
      <c r="U329" s="4"/>
    </row>
    <row r="330" spans="1:21" ht="18.75" customHeight="1">
      <c r="A330" s="39" t="s">
        <v>616</v>
      </c>
      <c r="B330" s="29" t="s">
        <v>77</v>
      </c>
      <c r="C330" s="30"/>
      <c r="D330" s="38"/>
      <c r="E330" s="27"/>
      <c r="F330" s="31"/>
      <c r="G330" s="27"/>
      <c r="H330" s="37"/>
      <c r="I330" s="33">
        <f t="shared" ref="I330:I335" si="169">IF(D330="no",0,H330*3.3%)</f>
        <v>0</v>
      </c>
      <c r="J330" s="26"/>
      <c r="K330" s="27">
        <f t="shared" ref="K330:K335" si="170">IF(D330="no",0,H330-I330-J330)</f>
        <v>0</v>
      </c>
      <c r="L330" s="27">
        <f>IF(D330="no",F330*#REF!-J330,0)</f>
        <v>0</v>
      </c>
      <c r="M330" s="572"/>
      <c r="N330" s="564"/>
      <c r="O330" s="1"/>
      <c r="P330" s="3"/>
      <c r="Q330" s="1"/>
      <c r="R330" s="1"/>
      <c r="S330" s="1"/>
      <c r="T330" s="1"/>
      <c r="U330" s="4"/>
    </row>
    <row r="331" spans="1:21" ht="18.75" customHeight="1">
      <c r="A331" s="39" t="s">
        <v>616</v>
      </c>
      <c r="B331" s="29" t="s">
        <v>35</v>
      </c>
      <c r="C331" s="30"/>
      <c r="D331" s="21"/>
      <c r="E331" s="27"/>
      <c r="F331" s="31">
        <f>IF(D331="no",E331,E331/1.1)</f>
        <v>0</v>
      </c>
      <c r="G331" s="27">
        <f>IF(D331="no",0,F331*0.1)</f>
        <v>0</v>
      </c>
      <c r="H331" s="112"/>
      <c r="I331" s="113">
        <f t="shared" si="169"/>
        <v>0</v>
      </c>
      <c r="J331" s="114"/>
      <c r="K331" s="111">
        <f t="shared" si="170"/>
        <v>0</v>
      </c>
      <c r="L331" s="88"/>
      <c r="M331" s="586"/>
      <c r="N331" s="587"/>
      <c r="O331" s="1"/>
      <c r="P331" s="3"/>
      <c r="Q331" s="1"/>
      <c r="R331" s="1"/>
      <c r="S331" s="1"/>
      <c r="T331" s="1"/>
      <c r="U331" s="4"/>
    </row>
    <row r="332" spans="1:21" ht="18.75" customHeight="1">
      <c r="A332" s="39" t="s">
        <v>616</v>
      </c>
      <c r="B332" s="29" t="s">
        <v>64</v>
      </c>
      <c r="C332" s="30"/>
      <c r="D332" s="21"/>
      <c r="E332" s="27"/>
      <c r="F332" s="31"/>
      <c r="G332" s="27"/>
      <c r="H332" s="112">
        <v>0</v>
      </c>
      <c r="I332" s="113">
        <f t="shared" si="169"/>
        <v>0</v>
      </c>
      <c r="J332" s="114"/>
      <c r="K332" s="111">
        <f t="shared" si="170"/>
        <v>0</v>
      </c>
      <c r="L332" s="88"/>
      <c r="M332" s="655"/>
      <c r="N332" s="656"/>
      <c r="O332" s="1"/>
      <c r="P332" s="3"/>
      <c r="Q332" s="1"/>
      <c r="R332" s="1"/>
      <c r="S332" s="1"/>
      <c r="T332" s="1"/>
      <c r="U332" s="4"/>
    </row>
    <row r="333" spans="1:21" s="374" customFormat="1" ht="18.75" customHeight="1">
      <c r="A333" s="39" t="s">
        <v>616</v>
      </c>
      <c r="B333" s="29" t="s">
        <v>491</v>
      </c>
      <c r="C333" s="30"/>
      <c r="D333" s="375"/>
      <c r="E333" s="27"/>
      <c r="F333" s="31"/>
      <c r="G333" s="27"/>
      <c r="H333" s="32">
        <v>1000000</v>
      </c>
      <c r="I333" s="33">
        <f t="shared" si="169"/>
        <v>33000</v>
      </c>
      <c r="J333" s="26"/>
      <c r="K333" s="27">
        <f t="shared" si="170"/>
        <v>967000</v>
      </c>
      <c r="L333" s="1"/>
      <c r="M333" s="655" t="s">
        <v>830</v>
      </c>
      <c r="N333" s="656"/>
      <c r="O333" s="1"/>
      <c r="P333" s="3"/>
      <c r="Q333" s="1"/>
      <c r="R333" s="1"/>
      <c r="S333" s="1"/>
      <c r="T333" s="1"/>
      <c r="U333" s="4"/>
    </row>
    <row r="334" spans="1:21" s="399" customFormat="1" ht="18.75" customHeight="1">
      <c r="A334" s="39" t="s">
        <v>616</v>
      </c>
      <c r="B334" s="29" t="s">
        <v>39</v>
      </c>
      <c r="C334" s="30"/>
      <c r="D334" s="400"/>
      <c r="E334" s="27"/>
      <c r="F334" s="31"/>
      <c r="G334" s="27"/>
      <c r="H334" s="37">
        <v>2000000</v>
      </c>
      <c r="I334" s="33">
        <f t="shared" si="169"/>
        <v>66000</v>
      </c>
      <c r="J334" s="26"/>
      <c r="K334" s="27">
        <f t="shared" si="170"/>
        <v>1934000</v>
      </c>
      <c r="L334" s="27"/>
      <c r="M334" s="572"/>
      <c r="N334" s="564"/>
      <c r="O334" s="1"/>
      <c r="P334" s="3"/>
      <c r="Q334" s="1"/>
      <c r="R334" s="1"/>
      <c r="S334" s="1"/>
      <c r="T334" s="1"/>
      <c r="U334" s="4"/>
    </row>
    <row r="335" spans="1:21" ht="18.75" customHeight="1">
      <c r="A335" s="39" t="s">
        <v>616</v>
      </c>
      <c r="B335" s="29" t="s">
        <v>402</v>
      </c>
      <c r="C335" s="30"/>
      <c r="D335" s="21"/>
      <c r="E335" s="27"/>
      <c r="F335" s="31">
        <f>IF(D335="no",E335,E335/1.1)</f>
        <v>0</v>
      </c>
      <c r="G335" s="27">
        <f>IF(D335="no",0,F335*0.1)</f>
        <v>0</v>
      </c>
      <c r="H335" s="37">
        <v>400000</v>
      </c>
      <c r="I335" s="33">
        <f t="shared" si="169"/>
        <v>13200</v>
      </c>
      <c r="J335" s="26"/>
      <c r="K335" s="27">
        <f t="shared" si="170"/>
        <v>386800</v>
      </c>
      <c r="L335" s="27"/>
      <c r="M335" s="591"/>
      <c r="N335" s="658"/>
      <c r="O335" s="1"/>
      <c r="P335" s="3"/>
      <c r="Q335" s="1"/>
      <c r="R335" s="1"/>
      <c r="S335" s="1"/>
      <c r="T335" s="1"/>
      <c r="U335" s="4"/>
    </row>
    <row r="336" spans="1:21" ht="18.75" customHeight="1">
      <c r="A336" s="575" t="s">
        <v>42</v>
      </c>
      <c r="B336" s="576"/>
      <c r="C336" s="576"/>
      <c r="D336" s="577"/>
      <c r="E336" s="42">
        <f t="shared" ref="E336:L336" si="171">SUM(E308:E335)</f>
        <v>40989300</v>
      </c>
      <c r="F336" s="17">
        <f>SUM(F308:F335)</f>
        <v>37263000</v>
      </c>
      <c r="G336" s="42">
        <f t="shared" si="171"/>
        <v>3726300</v>
      </c>
      <c r="H336" s="43">
        <f t="shared" si="171"/>
        <v>22031500</v>
      </c>
      <c r="I336" s="42">
        <f t="shared" si="171"/>
        <v>727039.5</v>
      </c>
      <c r="J336" s="43">
        <f t="shared" si="171"/>
        <v>5000000</v>
      </c>
      <c r="K336" s="42">
        <f t="shared" si="171"/>
        <v>16304460.5</v>
      </c>
      <c r="L336" s="42">
        <f t="shared" si="171"/>
        <v>0</v>
      </c>
      <c r="M336" s="44"/>
      <c r="N336" s="45"/>
      <c r="O336" s="1"/>
      <c r="P336" s="3"/>
      <c r="Q336" s="1"/>
      <c r="R336" s="1"/>
      <c r="S336" s="1"/>
      <c r="T336" s="1"/>
      <c r="U336" s="4"/>
    </row>
    <row r="337" spans="1:21" ht="18.75" customHeight="1">
      <c r="A337" s="46" t="s">
        <v>37</v>
      </c>
      <c r="B337" s="47" t="s">
        <v>43</v>
      </c>
      <c r="C337" s="48">
        <f>D306</f>
        <v>6</v>
      </c>
      <c r="D337" s="47" t="s">
        <v>44</v>
      </c>
      <c r="E337" s="49"/>
      <c r="F337" s="50" t="s">
        <v>66</v>
      </c>
      <c r="G337" s="51">
        <f>C337+C369+C399+C418+C441</f>
        <v>29</v>
      </c>
      <c r="H337" s="49"/>
      <c r="I337" s="53" t="s">
        <v>46</v>
      </c>
      <c r="J337" s="54">
        <v>106500</v>
      </c>
      <c r="K337" s="50"/>
      <c r="L337" s="55"/>
      <c r="M337" s="63"/>
      <c r="N337" s="64"/>
      <c r="O337" s="1"/>
      <c r="P337" s="3"/>
      <c r="Q337" s="1"/>
      <c r="R337" s="1"/>
      <c r="S337" s="1"/>
      <c r="T337" s="1"/>
      <c r="U337" s="4"/>
    </row>
    <row r="338" spans="1:21" ht="18.75" customHeight="1" thickBot="1">
      <c r="A338" s="56" t="s">
        <v>48</v>
      </c>
      <c r="B338" s="57" t="s">
        <v>49</v>
      </c>
      <c r="C338" s="58">
        <f>ROUND(F336/10000,0)</f>
        <v>3726</v>
      </c>
      <c r="D338" s="57" t="s">
        <v>50</v>
      </c>
      <c r="E338" s="52"/>
      <c r="F338" s="59" t="s">
        <v>67</v>
      </c>
      <c r="G338" s="60">
        <f>C338+C370+C400+C419+C442</f>
        <v>7060</v>
      </c>
      <c r="H338" s="52"/>
      <c r="I338" s="59"/>
      <c r="J338" s="61"/>
      <c r="K338" s="59"/>
      <c r="L338" s="62"/>
      <c r="M338" s="63"/>
      <c r="N338" s="64"/>
      <c r="O338" s="1"/>
      <c r="P338" s="3"/>
      <c r="Q338" s="1"/>
      <c r="R338" s="1"/>
      <c r="S338" s="1"/>
      <c r="T338" s="1"/>
      <c r="U338" s="4"/>
    </row>
    <row r="339" spans="1:21" ht="18.75" customHeight="1" thickBot="1">
      <c r="A339" s="566" t="s">
        <v>52</v>
      </c>
      <c r="B339" s="567"/>
      <c r="C339" s="567"/>
      <c r="D339" s="568"/>
      <c r="E339" s="65"/>
      <c r="F339" s="569" t="s">
        <v>53</v>
      </c>
      <c r="G339" s="568"/>
      <c r="H339" s="66">
        <f>H336-J337-J338</f>
        <v>21925000</v>
      </c>
      <c r="I339" s="67">
        <f>H339*3.3%</f>
        <v>723525</v>
      </c>
      <c r="J339" s="68">
        <f>SUM(J336)</f>
        <v>5000000</v>
      </c>
      <c r="K339" s="69">
        <f>H339-I339-J339</f>
        <v>16201475</v>
      </c>
      <c r="L339" s="70"/>
      <c r="M339" s="570">
        <f>K339+L339</f>
        <v>16201475</v>
      </c>
      <c r="N339" s="571"/>
      <c r="O339" s="1"/>
      <c r="P339" s="3"/>
      <c r="Q339" s="1"/>
      <c r="R339" s="1"/>
      <c r="S339" s="1"/>
      <c r="T339" s="1"/>
      <c r="U339" s="4"/>
    </row>
    <row r="340" spans="1:21" ht="18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2"/>
      <c r="L340" s="2"/>
      <c r="M340" s="1"/>
      <c r="N340" s="1"/>
      <c r="O340" s="1"/>
      <c r="P340" s="3"/>
      <c r="Q340" s="1"/>
      <c r="R340" s="1"/>
      <c r="S340" s="1"/>
      <c r="T340" s="1"/>
      <c r="U340" s="4"/>
    </row>
    <row r="341" spans="1:21" ht="18.75" customHeight="1">
      <c r="A341" s="6" t="s">
        <v>86</v>
      </c>
      <c r="B341" s="7" t="str">
        <f>$B$34</f>
        <v>1월</v>
      </c>
      <c r="C341" s="8" t="s">
        <v>1</v>
      </c>
      <c r="D341" s="9">
        <f>COUNTIF($C343:$C367,"계약")+(COUNTIF($C343:$C367,"계약2")*2)</f>
        <v>10</v>
      </c>
      <c r="E341" s="3">
        <f>COUNTIF(C343:C367,"낙찰수수료")</f>
        <v>2</v>
      </c>
      <c r="F341" s="3"/>
      <c r="G341" s="1" t="s">
        <v>87</v>
      </c>
      <c r="H341" s="11">
        <v>0.5</v>
      </c>
      <c r="I341" s="12">
        <v>3.3000000000000002E-2</v>
      </c>
      <c r="J341" s="1"/>
      <c r="K341" s="1"/>
      <c r="L341" s="1"/>
      <c r="M341" s="1"/>
      <c r="N341" s="1"/>
      <c r="O341" s="1"/>
      <c r="P341" s="3"/>
      <c r="Q341" s="1"/>
      <c r="R341" s="1"/>
      <c r="S341" s="1"/>
      <c r="T341" s="1"/>
      <c r="U341" s="4"/>
    </row>
    <row r="342" spans="1:21" ht="18.75" customHeight="1">
      <c r="A342" s="13" t="s">
        <v>3</v>
      </c>
      <c r="B342" s="14" t="s">
        <v>4</v>
      </c>
      <c r="C342" s="14" t="s">
        <v>5</v>
      </c>
      <c r="D342" s="101" t="s">
        <v>6</v>
      </c>
      <c r="E342" s="16" t="s">
        <v>7</v>
      </c>
      <c r="F342" s="17" t="s">
        <v>8</v>
      </c>
      <c r="G342" s="14" t="s">
        <v>9</v>
      </c>
      <c r="H342" s="15" t="s">
        <v>10</v>
      </c>
      <c r="I342" s="14" t="s">
        <v>11</v>
      </c>
      <c r="J342" s="15" t="s">
        <v>12</v>
      </c>
      <c r="K342" s="14" t="s">
        <v>13</v>
      </c>
      <c r="L342" s="14" t="s">
        <v>14</v>
      </c>
      <c r="M342" s="603" t="s">
        <v>15</v>
      </c>
      <c r="N342" s="581"/>
      <c r="O342" s="1"/>
      <c r="P342" s="3"/>
      <c r="Q342" s="1"/>
      <c r="R342" s="125"/>
      <c r="S342" s="1"/>
      <c r="T342" s="1"/>
      <c r="U342" s="4"/>
    </row>
    <row r="343" spans="1:21" ht="18.75" customHeight="1">
      <c r="A343" s="126">
        <v>46027</v>
      </c>
      <c r="B343" s="127" t="s">
        <v>722</v>
      </c>
      <c r="C343" s="30" t="s">
        <v>671</v>
      </c>
      <c r="D343" s="38"/>
      <c r="E343" s="27">
        <v>2200000</v>
      </c>
      <c r="F343" s="31">
        <f t="shared" ref="F343:F360" si="172">IF(D343="no",E343,E343/1.1)</f>
        <v>1999999.9999999998</v>
      </c>
      <c r="G343" s="27">
        <f t="shared" ref="G343:G360" si="173">IF(D343="no",0,F343*0.1)</f>
        <v>200000</v>
      </c>
      <c r="H343" s="32">
        <f>IF(D343="no",0,F343*H341)</f>
        <v>999999.99999999988</v>
      </c>
      <c r="I343" s="33">
        <f t="shared" ref="I343:I367" si="174">IF(D343="no",0,H343*3.3%)</f>
        <v>33000</v>
      </c>
      <c r="J343" s="26"/>
      <c r="K343" s="27">
        <f t="shared" ref="K343:K367" si="175">IF(D343="no",0,H343-I343-J343)</f>
        <v>966999.99999999988</v>
      </c>
      <c r="L343" s="27">
        <f>IF(D343="no",F343*H139-J343,0)</f>
        <v>0</v>
      </c>
      <c r="M343" s="580"/>
      <c r="N343" s="657"/>
      <c r="O343" s="1"/>
      <c r="P343" s="3"/>
      <c r="Q343" s="1"/>
      <c r="R343" s="125"/>
      <c r="S343" s="1"/>
      <c r="T343" s="1"/>
      <c r="U343" s="4"/>
    </row>
    <row r="344" spans="1:21" ht="18.75" customHeight="1">
      <c r="A344" s="39">
        <v>46028</v>
      </c>
      <c r="B344" s="127" t="s">
        <v>718</v>
      </c>
      <c r="C344" s="30" t="s">
        <v>687</v>
      </c>
      <c r="D344" s="38"/>
      <c r="E344" s="27">
        <v>550000</v>
      </c>
      <c r="F344" s="31">
        <f t="shared" si="172"/>
        <v>499999.99999999994</v>
      </c>
      <c r="G344" s="27">
        <f t="shared" si="173"/>
        <v>50000</v>
      </c>
      <c r="H344" s="32">
        <f>IF(D344="no",0,F344*H341)</f>
        <v>249999.99999999997</v>
      </c>
      <c r="I344" s="33">
        <f t="shared" si="174"/>
        <v>8250</v>
      </c>
      <c r="J344" s="26"/>
      <c r="K344" s="27">
        <f t="shared" si="175"/>
        <v>241749.99999999997</v>
      </c>
      <c r="L344" s="27">
        <f>IF(D344="no",F344*H341-J344,0)</f>
        <v>0</v>
      </c>
      <c r="M344" s="572"/>
      <c r="N344" s="564"/>
      <c r="O344" s="1"/>
      <c r="P344" s="3"/>
      <c r="Q344" s="128"/>
      <c r="R344" s="1"/>
      <c r="S344" s="1"/>
      <c r="T344" s="1"/>
      <c r="U344" s="4"/>
    </row>
    <row r="345" spans="1:21" ht="18.75" customHeight="1">
      <c r="A345" s="39">
        <v>46030</v>
      </c>
      <c r="B345" s="127" t="s">
        <v>723</v>
      </c>
      <c r="C345" s="30" t="s">
        <v>687</v>
      </c>
      <c r="D345" s="38"/>
      <c r="E345" s="27">
        <v>550000</v>
      </c>
      <c r="F345" s="31">
        <f t="shared" si="172"/>
        <v>499999.99999999994</v>
      </c>
      <c r="G345" s="27">
        <f t="shared" si="173"/>
        <v>50000</v>
      </c>
      <c r="H345" s="32">
        <f>IF(D345="no",0,F345*H341)</f>
        <v>249999.99999999997</v>
      </c>
      <c r="I345" s="33">
        <f t="shared" si="174"/>
        <v>8250</v>
      </c>
      <c r="J345" s="26"/>
      <c r="K345" s="27">
        <f t="shared" si="175"/>
        <v>241749.99999999997</v>
      </c>
      <c r="L345" s="27">
        <f>IF(D345="no",F345*H341-J345,0)</f>
        <v>0</v>
      </c>
      <c r="M345" s="572"/>
      <c r="N345" s="564"/>
      <c r="O345" s="1"/>
      <c r="P345" s="36"/>
      <c r="Q345" s="1"/>
      <c r="R345" s="1"/>
      <c r="S345" s="1"/>
      <c r="T345" s="1"/>
      <c r="U345" s="4"/>
    </row>
    <row r="346" spans="1:21" ht="18.75" customHeight="1">
      <c r="A346" s="39">
        <v>46034</v>
      </c>
      <c r="B346" s="127" t="s">
        <v>719</v>
      </c>
      <c r="C346" s="30" t="s">
        <v>687</v>
      </c>
      <c r="D346" s="38"/>
      <c r="E346" s="27">
        <v>1100000</v>
      </c>
      <c r="F346" s="31">
        <f t="shared" si="172"/>
        <v>999999.99999999988</v>
      </c>
      <c r="G346" s="27">
        <f t="shared" si="173"/>
        <v>100000</v>
      </c>
      <c r="H346" s="32">
        <f>IF(D346="no",0,F346*H341)</f>
        <v>499999.99999999994</v>
      </c>
      <c r="I346" s="33">
        <f t="shared" si="174"/>
        <v>16500</v>
      </c>
      <c r="J346" s="26"/>
      <c r="K346" s="27">
        <f t="shared" si="175"/>
        <v>483499.99999999994</v>
      </c>
      <c r="L346" s="27">
        <f>IF(D346="no",F346*H341-J346,0)</f>
        <v>0</v>
      </c>
      <c r="M346" s="613"/>
      <c r="N346" s="564"/>
      <c r="O346" s="1"/>
      <c r="P346" s="36"/>
      <c r="Q346" s="1"/>
      <c r="R346" s="1"/>
      <c r="S346" s="1"/>
      <c r="T346" s="1"/>
      <c r="U346" s="4"/>
    </row>
    <row r="347" spans="1:21" ht="18.75" customHeight="1">
      <c r="A347" s="39">
        <v>46034</v>
      </c>
      <c r="B347" s="127" t="s">
        <v>724</v>
      </c>
      <c r="C347" s="30" t="s">
        <v>686</v>
      </c>
      <c r="D347" s="38"/>
      <c r="E347" s="27">
        <v>2200000</v>
      </c>
      <c r="F347" s="31">
        <f t="shared" si="172"/>
        <v>1999999.9999999998</v>
      </c>
      <c r="G347" s="27">
        <f t="shared" si="173"/>
        <v>200000</v>
      </c>
      <c r="H347" s="32">
        <f>IF(D347="no",0,F347*H341)</f>
        <v>999999.99999999988</v>
      </c>
      <c r="I347" s="33">
        <f t="shared" si="174"/>
        <v>33000</v>
      </c>
      <c r="J347" s="26"/>
      <c r="K347" s="27">
        <f t="shared" si="175"/>
        <v>966999.99999999988</v>
      </c>
      <c r="L347" s="27">
        <f>IF(D347="no",F347*H341-J347,0)</f>
        <v>0</v>
      </c>
      <c r="M347" s="572"/>
      <c r="N347" s="564"/>
      <c r="O347" s="1"/>
      <c r="P347" s="3"/>
      <c r="Q347" s="1"/>
      <c r="R347" s="1"/>
      <c r="S347" s="1"/>
      <c r="T347" s="1"/>
      <c r="U347" s="4"/>
    </row>
    <row r="348" spans="1:21" ht="18.75" customHeight="1">
      <c r="A348" s="39">
        <v>46037</v>
      </c>
      <c r="B348" s="127" t="s">
        <v>720</v>
      </c>
      <c r="C348" s="30" t="s">
        <v>687</v>
      </c>
      <c r="D348" s="38"/>
      <c r="E348" s="27">
        <v>550000</v>
      </c>
      <c r="F348" s="31">
        <f t="shared" si="172"/>
        <v>499999.99999999994</v>
      </c>
      <c r="G348" s="27">
        <f t="shared" si="173"/>
        <v>50000</v>
      </c>
      <c r="H348" s="32">
        <f>IF(D348="no",0,F348*H341)</f>
        <v>249999.99999999997</v>
      </c>
      <c r="I348" s="33">
        <f t="shared" si="174"/>
        <v>8250</v>
      </c>
      <c r="J348" s="97"/>
      <c r="K348" s="27">
        <f t="shared" si="175"/>
        <v>241749.99999999997</v>
      </c>
      <c r="L348" s="27">
        <f t="shared" ref="L348:L349" si="176">IF(D348="no",F348*H341-J348,0)</f>
        <v>0</v>
      </c>
      <c r="M348" s="572"/>
      <c r="N348" s="564"/>
      <c r="O348" s="1"/>
      <c r="P348" s="3"/>
      <c r="Q348" s="1"/>
      <c r="R348" s="1"/>
      <c r="S348" s="1"/>
      <c r="T348" s="1"/>
      <c r="U348" s="4"/>
    </row>
    <row r="349" spans="1:21" ht="18.75" customHeight="1">
      <c r="A349" s="129">
        <v>46044</v>
      </c>
      <c r="B349" s="130" t="s">
        <v>721</v>
      </c>
      <c r="C349" s="30" t="s">
        <v>687</v>
      </c>
      <c r="D349" s="131"/>
      <c r="E349" s="132">
        <v>550000</v>
      </c>
      <c r="F349" s="133">
        <f t="shared" si="172"/>
        <v>499999.99999999994</v>
      </c>
      <c r="G349" s="132">
        <f t="shared" si="173"/>
        <v>50000</v>
      </c>
      <c r="H349" s="32">
        <f>IF(D349="no",0,F349*H341)</f>
        <v>249999.99999999997</v>
      </c>
      <c r="I349" s="134">
        <f t="shared" si="174"/>
        <v>8250</v>
      </c>
      <c r="J349" s="135"/>
      <c r="K349" s="132">
        <f t="shared" si="175"/>
        <v>241749.99999999997</v>
      </c>
      <c r="L349" s="22">
        <f t="shared" si="176"/>
        <v>0</v>
      </c>
      <c r="M349" s="563"/>
      <c r="N349" s="627"/>
      <c r="O349" s="1"/>
      <c r="P349" s="3"/>
      <c r="Q349" s="1"/>
      <c r="R349" s="1"/>
      <c r="S349" s="1"/>
      <c r="T349" s="1"/>
      <c r="U349" s="4"/>
    </row>
    <row r="350" spans="1:21" ht="18.75" customHeight="1">
      <c r="A350" s="129">
        <v>46052</v>
      </c>
      <c r="B350" s="127" t="s">
        <v>811</v>
      </c>
      <c r="C350" s="30" t="s">
        <v>687</v>
      </c>
      <c r="D350" s="38"/>
      <c r="E350" s="132">
        <v>550000</v>
      </c>
      <c r="F350" s="31">
        <f t="shared" si="172"/>
        <v>499999.99999999994</v>
      </c>
      <c r="G350" s="27">
        <f t="shared" si="173"/>
        <v>50000</v>
      </c>
      <c r="H350" s="32">
        <f>IF(D350="no",0,F350*H341)</f>
        <v>249999.99999999997</v>
      </c>
      <c r="I350" s="33">
        <f t="shared" si="174"/>
        <v>8250</v>
      </c>
      <c r="J350" s="26"/>
      <c r="K350" s="27">
        <f t="shared" si="175"/>
        <v>241749.99999999997</v>
      </c>
      <c r="L350" s="27">
        <f>IF(D350="no",F350*H341-J350,0)</f>
        <v>0</v>
      </c>
      <c r="M350" s="572"/>
      <c r="N350" s="564"/>
      <c r="O350" s="1"/>
      <c r="P350" s="3"/>
      <c r="Q350" s="1"/>
      <c r="R350" s="1"/>
      <c r="S350" s="1"/>
      <c r="T350" s="1"/>
      <c r="U350" s="4"/>
    </row>
    <row r="351" spans="1:21" ht="18.75" customHeight="1">
      <c r="A351" s="129">
        <v>46052</v>
      </c>
      <c r="B351" s="127" t="s">
        <v>822</v>
      </c>
      <c r="C351" s="30" t="s">
        <v>823</v>
      </c>
      <c r="D351" s="38"/>
      <c r="E351" s="27">
        <v>2200000</v>
      </c>
      <c r="F351" s="31">
        <f t="shared" si="172"/>
        <v>1999999.9999999998</v>
      </c>
      <c r="G351" s="27">
        <f t="shared" si="173"/>
        <v>200000</v>
      </c>
      <c r="H351" s="32">
        <f>IF(D351="no",0,F351*H341)</f>
        <v>999999.99999999988</v>
      </c>
      <c r="I351" s="33">
        <f t="shared" si="174"/>
        <v>33000</v>
      </c>
      <c r="J351" s="26"/>
      <c r="K351" s="27">
        <f t="shared" si="175"/>
        <v>966999.99999999988</v>
      </c>
      <c r="L351" s="27">
        <f>IF(D351="no",F351*H341-J351,0)</f>
        <v>0</v>
      </c>
      <c r="M351" s="572"/>
      <c r="N351" s="564"/>
      <c r="O351" s="1"/>
      <c r="P351" s="3"/>
      <c r="Q351" s="1"/>
      <c r="R351" s="1"/>
      <c r="S351" s="1"/>
      <c r="T351" s="1"/>
      <c r="U351" s="4"/>
    </row>
    <row r="352" spans="1:21" ht="18.75" customHeight="1">
      <c r="A352" s="129">
        <v>46053</v>
      </c>
      <c r="B352" s="127" t="s">
        <v>840</v>
      </c>
      <c r="C352" s="30" t="s">
        <v>823</v>
      </c>
      <c r="D352" s="38"/>
      <c r="E352" s="27">
        <v>2200000</v>
      </c>
      <c r="F352" s="31">
        <f t="shared" si="172"/>
        <v>1999999.9999999998</v>
      </c>
      <c r="G352" s="27">
        <f t="shared" si="173"/>
        <v>200000</v>
      </c>
      <c r="H352" s="32">
        <f>IF(D352="no",0,F352*H341)</f>
        <v>999999.99999999988</v>
      </c>
      <c r="I352" s="33">
        <f t="shared" si="174"/>
        <v>33000</v>
      </c>
      <c r="J352" s="26"/>
      <c r="K352" s="27">
        <f t="shared" si="175"/>
        <v>966999.99999999988</v>
      </c>
      <c r="L352" s="27">
        <f t="shared" ref="L352:L354" si="177">IF(D352="no",F352*H341-J352,0)</f>
        <v>0</v>
      </c>
      <c r="M352" s="563"/>
      <c r="N352" s="564"/>
      <c r="O352" s="1"/>
      <c r="P352" s="3"/>
      <c r="Q352" s="1"/>
      <c r="R352" s="1"/>
      <c r="S352" s="1"/>
      <c r="T352" s="1"/>
      <c r="U352" s="4"/>
    </row>
    <row r="353" spans="1:21" ht="18.75" hidden="1" customHeight="1">
      <c r="A353" s="39"/>
      <c r="B353" s="127"/>
      <c r="C353" s="30"/>
      <c r="D353" s="38"/>
      <c r="E353" s="27"/>
      <c r="F353" s="31">
        <f t="shared" si="172"/>
        <v>0</v>
      </c>
      <c r="G353" s="27">
        <f t="shared" si="173"/>
        <v>0</v>
      </c>
      <c r="H353" s="32">
        <f>IF(D353="no",0,F353*H341)</f>
        <v>0</v>
      </c>
      <c r="I353" s="33">
        <f t="shared" si="174"/>
        <v>0</v>
      </c>
      <c r="J353" s="26"/>
      <c r="K353" s="27">
        <f t="shared" si="175"/>
        <v>0</v>
      </c>
      <c r="L353" s="27">
        <f t="shared" si="177"/>
        <v>0</v>
      </c>
      <c r="M353" s="563"/>
      <c r="N353" s="564"/>
      <c r="O353" s="1"/>
      <c r="P353" s="3"/>
      <c r="Q353" s="1"/>
      <c r="R353" s="1"/>
      <c r="S353" s="1"/>
      <c r="T353" s="1"/>
      <c r="U353" s="4"/>
    </row>
    <row r="354" spans="1:21" ht="18.75" hidden="1" customHeight="1">
      <c r="A354" s="39"/>
      <c r="B354" s="127"/>
      <c r="C354" s="30"/>
      <c r="D354" s="38"/>
      <c r="E354" s="27"/>
      <c r="F354" s="31">
        <f t="shared" si="172"/>
        <v>0</v>
      </c>
      <c r="G354" s="27">
        <f t="shared" si="173"/>
        <v>0</v>
      </c>
      <c r="H354" s="32">
        <f>IF(D354="no",0,F354*H341)</f>
        <v>0</v>
      </c>
      <c r="I354" s="33">
        <f t="shared" si="174"/>
        <v>0</v>
      </c>
      <c r="J354" s="26"/>
      <c r="K354" s="27">
        <f t="shared" si="175"/>
        <v>0</v>
      </c>
      <c r="L354" s="27">
        <f t="shared" si="177"/>
        <v>0</v>
      </c>
      <c r="M354" s="563"/>
      <c r="N354" s="564"/>
      <c r="O354" s="1"/>
      <c r="P354" s="3"/>
      <c r="Q354" s="1"/>
      <c r="R354" s="1"/>
      <c r="S354" s="1"/>
      <c r="T354" s="1"/>
      <c r="U354" s="4"/>
    </row>
    <row r="355" spans="1:21" s="453" customFormat="1" ht="18.75" hidden="1" customHeight="1">
      <c r="A355" s="39"/>
      <c r="B355" s="127"/>
      <c r="C355" s="30"/>
      <c r="D355" s="451"/>
      <c r="E355" s="27"/>
      <c r="F355" s="31">
        <f t="shared" si="172"/>
        <v>0</v>
      </c>
      <c r="G355" s="27">
        <f t="shared" si="173"/>
        <v>0</v>
      </c>
      <c r="H355" s="32">
        <f>IF(D355="no",0,F355*H341)</f>
        <v>0</v>
      </c>
      <c r="I355" s="33">
        <f t="shared" ref="I355" si="178">IF(D355="no",0,H355*3.3%)</f>
        <v>0</v>
      </c>
      <c r="J355" s="26"/>
      <c r="K355" s="27">
        <f t="shared" ref="K355" si="179">IF(D355="no",0,H355-I355-J355)</f>
        <v>0</v>
      </c>
      <c r="L355" s="27">
        <f t="shared" ref="L355" si="180">IF(D355="no",F355*H344-J355,0)</f>
        <v>0</v>
      </c>
      <c r="M355" s="449"/>
      <c r="N355" s="448"/>
      <c r="O355" s="1"/>
      <c r="P355" s="3"/>
      <c r="Q355" s="1"/>
      <c r="R355" s="1"/>
      <c r="S355" s="1"/>
      <c r="T355" s="1"/>
      <c r="U355" s="4"/>
    </row>
    <row r="356" spans="1:21" ht="18.75" hidden="1" customHeight="1">
      <c r="A356" s="39"/>
      <c r="B356" s="127"/>
      <c r="C356" s="30"/>
      <c r="D356" s="38"/>
      <c r="E356" s="27"/>
      <c r="F356" s="31">
        <f t="shared" si="172"/>
        <v>0</v>
      </c>
      <c r="G356" s="27">
        <f t="shared" si="173"/>
        <v>0</v>
      </c>
      <c r="H356" s="32">
        <f>IF(D356="no",0,F356*H341)</f>
        <v>0</v>
      </c>
      <c r="I356" s="33">
        <f t="shared" si="174"/>
        <v>0</v>
      </c>
      <c r="J356" s="26"/>
      <c r="K356" s="27">
        <f t="shared" si="175"/>
        <v>0</v>
      </c>
      <c r="L356" s="27">
        <f>IF(D356="no",F356*H344-J356,0)</f>
        <v>0</v>
      </c>
      <c r="M356" s="124"/>
      <c r="N356" s="38"/>
      <c r="O356" s="1"/>
      <c r="P356" s="3"/>
      <c r="Q356" s="1"/>
      <c r="R356" s="1"/>
      <c r="S356" s="1"/>
      <c r="T356" s="1"/>
      <c r="U356" s="4"/>
    </row>
    <row r="357" spans="1:21" ht="18.75" hidden="1" customHeight="1">
      <c r="A357" s="39"/>
      <c r="B357" s="127"/>
      <c r="C357" s="30"/>
      <c r="D357" s="38"/>
      <c r="E357" s="27"/>
      <c r="F357" s="31">
        <f t="shared" si="172"/>
        <v>0</v>
      </c>
      <c r="G357" s="27">
        <f t="shared" si="173"/>
        <v>0</v>
      </c>
      <c r="H357" s="32">
        <f>IF(D357="no",0,F357*H341)</f>
        <v>0</v>
      </c>
      <c r="I357" s="33">
        <f t="shared" si="174"/>
        <v>0</v>
      </c>
      <c r="J357" s="26"/>
      <c r="K357" s="27">
        <f t="shared" si="175"/>
        <v>0</v>
      </c>
      <c r="L357" s="27">
        <f>IF(D357="no",F357*H345-J357,0)</f>
        <v>0</v>
      </c>
      <c r="M357" s="124"/>
      <c r="N357" s="38"/>
      <c r="O357" s="1"/>
      <c r="P357" s="3"/>
      <c r="Q357" s="1"/>
      <c r="R357" s="1"/>
      <c r="S357" s="1"/>
      <c r="T357" s="1"/>
      <c r="U357" s="4"/>
    </row>
    <row r="358" spans="1:21" s="283" customFormat="1" ht="18.75" hidden="1" customHeight="1">
      <c r="A358" s="39"/>
      <c r="B358" s="127"/>
      <c r="C358" s="30"/>
      <c r="D358" s="284"/>
      <c r="E358" s="27"/>
      <c r="F358" s="31">
        <f t="shared" si="172"/>
        <v>0</v>
      </c>
      <c r="G358" s="27">
        <f t="shared" si="173"/>
        <v>0</v>
      </c>
      <c r="H358" s="32">
        <f>IF(D358="no",0,F358*H341)</f>
        <v>0</v>
      </c>
      <c r="I358" s="33">
        <f t="shared" ref="I358" si="181">IF(D358="no",0,H358*3.3%)</f>
        <v>0</v>
      </c>
      <c r="J358" s="26"/>
      <c r="K358" s="27">
        <f t="shared" ref="K358" si="182">IF(D358="no",0,H358-I358-J358)</f>
        <v>0</v>
      </c>
      <c r="L358" s="27">
        <f t="shared" ref="L358" si="183">IF(D358="no",F358*H346-J358,0)</f>
        <v>0</v>
      </c>
      <c r="M358" s="282"/>
      <c r="N358" s="284"/>
      <c r="O358" s="1"/>
      <c r="P358" s="3"/>
      <c r="Q358" s="1"/>
      <c r="R358" s="1"/>
      <c r="S358" s="1"/>
      <c r="T358" s="1"/>
      <c r="U358" s="4"/>
    </row>
    <row r="359" spans="1:21" s="396" customFormat="1" ht="18.75" hidden="1" customHeight="1">
      <c r="A359" s="129"/>
      <c r="B359" s="130"/>
      <c r="C359" s="30"/>
      <c r="D359" s="131"/>
      <c r="E359" s="132"/>
      <c r="F359" s="133">
        <f t="shared" si="172"/>
        <v>0</v>
      </c>
      <c r="G359" s="132">
        <f t="shared" si="173"/>
        <v>0</v>
      </c>
      <c r="H359" s="32">
        <f>IF(D359="no",0,F359*H341)</f>
        <v>0</v>
      </c>
      <c r="I359" s="134">
        <f t="shared" si="174"/>
        <v>0</v>
      </c>
      <c r="J359" s="135"/>
      <c r="K359" s="132">
        <f t="shared" si="175"/>
        <v>0</v>
      </c>
      <c r="L359" s="132">
        <f>IF(D359="no",F359*H346-J359,0)</f>
        <v>0</v>
      </c>
      <c r="M359" s="390"/>
      <c r="N359" s="131"/>
      <c r="O359" s="394"/>
      <c r="P359" s="393"/>
      <c r="Q359" s="394"/>
      <c r="R359" s="394"/>
      <c r="S359" s="394"/>
      <c r="T359" s="394"/>
      <c r="U359" s="395"/>
    </row>
    <row r="360" spans="1:21" ht="18.75" hidden="1" customHeight="1">
      <c r="A360" s="129"/>
      <c r="B360" s="127"/>
      <c r="C360" s="30"/>
      <c r="D360" s="38"/>
      <c r="E360" s="27"/>
      <c r="F360" s="31">
        <f t="shared" si="172"/>
        <v>0</v>
      </c>
      <c r="G360" s="27">
        <f t="shared" si="173"/>
        <v>0</v>
      </c>
      <c r="H360" s="32">
        <f>IF(D360="no",0,F360*H341)</f>
        <v>0</v>
      </c>
      <c r="I360" s="134">
        <f t="shared" ref="I360" si="184">IF(D360="no",0,H360*3.3%)</f>
        <v>0</v>
      </c>
      <c r="J360" s="135"/>
      <c r="K360" s="132">
        <f t="shared" ref="K360" si="185">IF(D360="no",0,H360-I360-J360)</f>
        <v>0</v>
      </c>
      <c r="L360" s="132">
        <f>IF(D360="no",F360*H347-J360,0)</f>
        <v>0</v>
      </c>
      <c r="M360" s="124"/>
      <c r="N360" s="38"/>
      <c r="O360" s="1"/>
      <c r="P360" s="3"/>
      <c r="Q360" s="1"/>
      <c r="R360" s="1"/>
      <c r="S360" s="1"/>
      <c r="T360" s="1"/>
      <c r="U360" s="4"/>
    </row>
    <row r="361" spans="1:21" ht="18.75" customHeight="1">
      <c r="A361" s="39"/>
      <c r="B361" s="127"/>
      <c r="C361" s="30"/>
      <c r="D361" s="38"/>
      <c r="E361" s="27"/>
      <c r="F361" s="31"/>
      <c r="G361" s="27"/>
      <c r="H361" s="32">
        <f>IF(D361="no",0,F361*H341)</f>
        <v>0</v>
      </c>
      <c r="I361" s="33">
        <f t="shared" si="174"/>
        <v>0</v>
      </c>
      <c r="J361" s="26"/>
      <c r="K361" s="27">
        <f t="shared" si="175"/>
        <v>0</v>
      </c>
      <c r="L361" s="27">
        <f t="shared" ref="L361" si="186">IF(D361="no",F361*H343-J361,0)</f>
        <v>0</v>
      </c>
      <c r="M361" s="572"/>
      <c r="N361" s="564"/>
      <c r="O361" s="1"/>
      <c r="P361" s="3"/>
      <c r="Q361" s="1"/>
      <c r="R361" s="1"/>
      <c r="S361" s="1"/>
      <c r="T361" s="1"/>
      <c r="U361" s="4"/>
    </row>
    <row r="362" spans="1:21" ht="18.75" customHeight="1">
      <c r="A362" s="39" t="s">
        <v>616</v>
      </c>
      <c r="B362" s="29" t="s">
        <v>79</v>
      </c>
      <c r="C362" s="30"/>
      <c r="D362" s="21"/>
      <c r="E362" s="27"/>
      <c r="F362" s="31"/>
      <c r="G362" s="27"/>
      <c r="H362" s="32">
        <f>IF(D362="no",0,F362*H341)</f>
        <v>0</v>
      </c>
      <c r="I362" s="33">
        <f t="shared" si="174"/>
        <v>0</v>
      </c>
      <c r="J362" s="26">
        <v>0</v>
      </c>
      <c r="K362" s="27">
        <f t="shared" si="175"/>
        <v>0</v>
      </c>
      <c r="L362" s="27">
        <f>IF(D362="no",F362*H341-J362,0)</f>
        <v>0</v>
      </c>
      <c r="M362" s="574"/>
      <c r="N362" s="583"/>
      <c r="O362" s="1"/>
      <c r="P362" s="3"/>
      <c r="Q362" s="1"/>
      <c r="R362" s="1"/>
      <c r="S362" s="1"/>
      <c r="T362" s="1"/>
      <c r="U362" s="4"/>
    </row>
    <row r="363" spans="1:21" ht="18.75" customHeight="1">
      <c r="A363" s="39" t="s">
        <v>616</v>
      </c>
      <c r="B363" s="127" t="s">
        <v>61</v>
      </c>
      <c r="C363" s="30"/>
      <c r="D363" s="38"/>
      <c r="E363" s="27"/>
      <c r="F363" s="31">
        <f t="shared" ref="F363:F364" si="187">IF(D363="no",E363,E363/1.1)</f>
        <v>0</v>
      </c>
      <c r="G363" s="27">
        <f t="shared" ref="G363:G364" si="188">IF(D363="no",0,F363*0.1)</f>
        <v>0</v>
      </c>
      <c r="H363" s="32"/>
      <c r="I363" s="33">
        <f t="shared" si="174"/>
        <v>0</v>
      </c>
      <c r="J363" s="26"/>
      <c r="K363" s="27">
        <f t="shared" si="175"/>
        <v>0</v>
      </c>
      <c r="L363" s="27">
        <f>IF(D363="no",F363*H344-J363,0)</f>
        <v>0</v>
      </c>
      <c r="M363" s="572"/>
      <c r="N363" s="564"/>
      <c r="O363" s="1"/>
      <c r="P363" s="3"/>
      <c r="Q363" s="1"/>
      <c r="R363" s="1"/>
      <c r="S363" s="1"/>
      <c r="T363" s="1"/>
      <c r="U363" s="4"/>
    </row>
    <row r="364" spans="1:21" ht="18.75" customHeight="1">
      <c r="A364" s="39" t="s">
        <v>616</v>
      </c>
      <c r="B364" s="127" t="s">
        <v>35</v>
      </c>
      <c r="C364" s="30"/>
      <c r="D364" s="21"/>
      <c r="E364" s="27"/>
      <c r="F364" s="31">
        <f t="shared" si="187"/>
        <v>0</v>
      </c>
      <c r="G364" s="27">
        <f t="shared" si="188"/>
        <v>0</v>
      </c>
      <c r="H364" s="32">
        <v>0</v>
      </c>
      <c r="I364" s="33">
        <f t="shared" si="174"/>
        <v>0</v>
      </c>
      <c r="J364" s="97"/>
      <c r="K364" s="27">
        <f t="shared" si="175"/>
        <v>0</v>
      </c>
      <c r="L364" s="27">
        <f>IF(D364="no",F364*H346-J364,0)</f>
        <v>0</v>
      </c>
      <c r="M364" s="572"/>
      <c r="N364" s="564"/>
      <c r="O364" s="1"/>
      <c r="P364" s="3"/>
      <c r="Q364" s="1"/>
      <c r="R364" s="1"/>
      <c r="S364" s="1"/>
      <c r="T364" s="1"/>
      <c r="U364" s="4"/>
    </row>
    <row r="365" spans="1:21" ht="18.75" customHeight="1">
      <c r="A365" s="39" t="s">
        <v>616</v>
      </c>
      <c r="B365" s="127" t="s">
        <v>37</v>
      </c>
      <c r="C365" s="30"/>
      <c r="D365" s="21"/>
      <c r="E365" s="27"/>
      <c r="F365" s="31"/>
      <c r="G365" s="27"/>
      <c r="H365" s="32">
        <v>500000</v>
      </c>
      <c r="I365" s="33"/>
      <c r="J365" s="97"/>
      <c r="K365" s="27">
        <f t="shared" si="175"/>
        <v>500000</v>
      </c>
      <c r="L365" s="27">
        <f>IF(D365="no",F365*H347-J365,0)</f>
        <v>0</v>
      </c>
      <c r="M365" s="572" t="s">
        <v>831</v>
      </c>
      <c r="N365" s="564"/>
      <c r="O365" s="1"/>
      <c r="P365" s="3"/>
      <c r="Q365" s="1"/>
      <c r="R365" s="1"/>
      <c r="S365" s="1"/>
      <c r="T365" s="1"/>
      <c r="U365" s="4"/>
    </row>
    <row r="366" spans="1:21" s="374" customFormat="1" ht="18.75" customHeight="1">
      <c r="A366" s="39" t="s">
        <v>616</v>
      </c>
      <c r="B366" s="29" t="s">
        <v>404</v>
      </c>
      <c r="C366" s="30"/>
      <c r="D366" s="375"/>
      <c r="E366" s="27"/>
      <c r="F366" s="31"/>
      <c r="G366" s="27"/>
      <c r="H366" s="32">
        <v>150000</v>
      </c>
      <c r="I366" s="33">
        <f t="shared" si="174"/>
        <v>4950</v>
      </c>
      <c r="J366" s="26"/>
      <c r="K366" s="27">
        <f t="shared" si="175"/>
        <v>145050</v>
      </c>
      <c r="L366" s="27">
        <f>IF(D366="no",F366*H348-J366,0)</f>
        <v>0</v>
      </c>
      <c r="M366" s="572"/>
      <c r="N366" s="564"/>
      <c r="O366" s="1"/>
      <c r="P366" s="3"/>
      <c r="Q366" s="1"/>
      <c r="R366" s="1"/>
      <c r="S366" s="1"/>
      <c r="T366" s="1"/>
      <c r="U366" s="4"/>
    </row>
    <row r="367" spans="1:21" ht="18.75" customHeight="1">
      <c r="A367" s="39" t="s">
        <v>616</v>
      </c>
      <c r="B367" s="127" t="s">
        <v>88</v>
      </c>
      <c r="C367" s="30"/>
      <c r="D367" s="21"/>
      <c r="E367" s="27"/>
      <c r="F367" s="31">
        <f>IF(D367="no",E367,E367/1.1)</f>
        <v>0</v>
      </c>
      <c r="G367" s="27">
        <f>IF(D367="no",0,F367*0.1)</f>
        <v>0</v>
      </c>
      <c r="H367" s="32">
        <v>0</v>
      </c>
      <c r="I367" s="33">
        <f t="shared" si="174"/>
        <v>0</v>
      </c>
      <c r="J367" s="26"/>
      <c r="K367" s="27">
        <f t="shared" si="175"/>
        <v>0</v>
      </c>
      <c r="L367" s="27">
        <f>IF(D367="no",F367*H367-J367,0)</f>
        <v>0</v>
      </c>
      <c r="M367" s="578"/>
      <c r="N367" s="593"/>
      <c r="O367" s="1"/>
      <c r="P367" s="3"/>
      <c r="Q367" s="1"/>
      <c r="R367" s="1"/>
      <c r="S367" s="1"/>
      <c r="T367" s="1"/>
      <c r="U367" s="4"/>
    </row>
    <row r="368" spans="1:21" ht="18.75" customHeight="1">
      <c r="A368" s="575" t="s">
        <v>42</v>
      </c>
      <c r="B368" s="576"/>
      <c r="C368" s="576"/>
      <c r="D368" s="577"/>
      <c r="E368" s="42">
        <f t="shared" ref="E368:L368" si="189">SUM(E343:E367)</f>
        <v>12650000</v>
      </c>
      <c r="F368" s="17">
        <f t="shared" si="189"/>
        <v>11499999.999999998</v>
      </c>
      <c r="G368" s="42">
        <f t="shared" si="189"/>
        <v>1150000</v>
      </c>
      <c r="H368" s="43">
        <f t="shared" si="189"/>
        <v>6399999.9999999991</v>
      </c>
      <c r="I368" s="42">
        <f t="shared" si="189"/>
        <v>194700</v>
      </c>
      <c r="J368" s="43">
        <f t="shared" si="189"/>
        <v>0</v>
      </c>
      <c r="K368" s="42">
        <f t="shared" si="189"/>
        <v>6205299.9999999991</v>
      </c>
      <c r="L368" s="42">
        <f t="shared" si="189"/>
        <v>0</v>
      </c>
      <c r="M368" s="44"/>
      <c r="N368" s="45"/>
      <c r="O368" s="1"/>
      <c r="P368" s="3"/>
      <c r="Q368" s="1"/>
      <c r="R368" s="1"/>
      <c r="S368" s="1"/>
      <c r="T368" s="1"/>
      <c r="U368" s="4"/>
    </row>
    <row r="369" spans="1:21" ht="18.75" customHeight="1">
      <c r="A369" s="46" t="s">
        <v>37</v>
      </c>
      <c r="B369" s="47" t="s">
        <v>43</v>
      </c>
      <c r="C369" s="48">
        <f>D341</f>
        <v>10</v>
      </c>
      <c r="D369" s="47" t="s">
        <v>44</v>
      </c>
      <c r="E369" s="49"/>
      <c r="F369" s="84"/>
      <c r="G369" s="85"/>
      <c r="H369" s="49"/>
      <c r="I369" s="53" t="s">
        <v>46</v>
      </c>
      <c r="J369" s="54">
        <v>96000</v>
      </c>
      <c r="K369" s="50"/>
      <c r="L369" s="55"/>
      <c r="M369" s="63"/>
      <c r="N369" s="64"/>
      <c r="O369" s="1"/>
      <c r="P369" s="3"/>
      <c r="Q369" s="1"/>
      <c r="R369" s="1"/>
      <c r="S369" s="1"/>
      <c r="T369" s="1"/>
      <c r="U369" s="4"/>
    </row>
    <row r="370" spans="1:21" ht="16.5" customHeight="1" thickBot="1">
      <c r="A370" s="56" t="s">
        <v>48</v>
      </c>
      <c r="B370" s="57" t="s">
        <v>49</v>
      </c>
      <c r="C370" s="58">
        <f>ROUND(F368/10000,0)</f>
        <v>1150</v>
      </c>
      <c r="D370" s="57" t="s">
        <v>50</v>
      </c>
      <c r="E370" s="52"/>
      <c r="F370" s="86"/>
      <c r="G370" s="87"/>
      <c r="H370" s="52"/>
      <c r="I370" s="59"/>
      <c r="J370" s="61"/>
      <c r="K370" s="59"/>
      <c r="L370" s="62"/>
      <c r="M370" s="63"/>
      <c r="N370" s="64"/>
      <c r="O370" s="1"/>
      <c r="P370" s="3"/>
      <c r="Q370" s="1"/>
      <c r="R370" s="1"/>
      <c r="S370" s="1"/>
      <c r="T370" s="1"/>
      <c r="U370" s="4"/>
    </row>
    <row r="371" spans="1:21" ht="18.75" customHeight="1" thickBot="1">
      <c r="A371" s="566" t="s">
        <v>52</v>
      </c>
      <c r="B371" s="567"/>
      <c r="C371" s="567"/>
      <c r="D371" s="568"/>
      <c r="E371" s="65"/>
      <c r="F371" s="569" t="s">
        <v>53</v>
      </c>
      <c r="G371" s="568"/>
      <c r="H371" s="66">
        <f>H368-J369</f>
        <v>6303999.9999999991</v>
      </c>
      <c r="I371" s="67">
        <f>H371*3.3%</f>
        <v>208031.99999999997</v>
      </c>
      <c r="J371" s="68">
        <f>SUM(J368)</f>
        <v>0</v>
      </c>
      <c r="K371" s="69">
        <f>H371-I371-J371</f>
        <v>6095967.9999999991</v>
      </c>
      <c r="L371" s="70"/>
      <c r="M371" s="570">
        <f>K371+L371</f>
        <v>6095967.9999999991</v>
      </c>
      <c r="N371" s="571"/>
      <c r="O371" s="1"/>
      <c r="P371" s="3"/>
      <c r="Q371" s="1"/>
      <c r="R371" s="1"/>
      <c r="S371" s="1"/>
      <c r="T371" s="1"/>
      <c r="U371" s="4"/>
    </row>
    <row r="372" spans="1:21" ht="18.75" customHeight="1">
      <c r="A372" s="1"/>
      <c r="B372" s="1"/>
      <c r="C372" s="1"/>
      <c r="D372" s="1"/>
      <c r="E372" s="1"/>
      <c r="F372" s="1"/>
      <c r="G372" s="1"/>
      <c r="H372" s="141">
        <v>1</v>
      </c>
      <c r="I372" s="1"/>
      <c r="J372" s="1"/>
      <c r="K372" s="2"/>
      <c r="L372" s="2"/>
      <c r="M372" s="1"/>
      <c r="N372" s="1"/>
      <c r="O372" s="1"/>
      <c r="P372" s="3"/>
      <c r="Q372" s="1"/>
      <c r="R372" s="1"/>
      <c r="S372" s="1"/>
      <c r="T372" s="1"/>
      <c r="U372" s="4"/>
    </row>
    <row r="373" spans="1:21" ht="18.75" customHeight="1">
      <c r="A373" s="6" t="s">
        <v>89</v>
      </c>
      <c r="B373" s="7" t="str">
        <f>$B$34</f>
        <v>1월</v>
      </c>
      <c r="C373" s="8" t="s">
        <v>1</v>
      </c>
      <c r="D373" s="557">
        <f>COUNTIF($C375:$C397,"계약")+(COUNTIF($C375:$C397,"계약2")*2)</f>
        <v>2</v>
      </c>
      <c r="E373" s="3">
        <f>COUNTIF(C377:C397,"낙찰수수료")</f>
        <v>0</v>
      </c>
      <c r="F373" s="10"/>
      <c r="G373" s="89" t="s">
        <v>90</v>
      </c>
      <c r="H373" s="11">
        <v>0.5</v>
      </c>
      <c r="I373" s="12">
        <v>3.3000000000000002E-2</v>
      </c>
      <c r="J373" s="1"/>
      <c r="K373" s="1"/>
      <c r="L373" s="1"/>
      <c r="M373" s="1"/>
      <c r="N373" s="1"/>
      <c r="O373" s="1"/>
      <c r="P373" s="3"/>
      <c r="Q373" s="1"/>
      <c r="R373" s="1"/>
      <c r="S373" s="1"/>
      <c r="T373" s="1"/>
      <c r="U373" s="4"/>
    </row>
    <row r="374" spans="1:21" ht="18.75" customHeight="1">
      <c r="A374" s="13" t="s">
        <v>3</v>
      </c>
      <c r="B374" s="14" t="s">
        <v>4</v>
      </c>
      <c r="C374" s="14" t="s">
        <v>5</v>
      </c>
      <c r="D374" s="15" t="s">
        <v>6</v>
      </c>
      <c r="E374" s="16" t="s">
        <v>7</v>
      </c>
      <c r="F374" s="17" t="s">
        <v>8</v>
      </c>
      <c r="G374" s="14" t="s">
        <v>9</v>
      </c>
      <c r="H374" s="15" t="s">
        <v>10</v>
      </c>
      <c r="I374" s="14" t="s">
        <v>11</v>
      </c>
      <c r="J374" s="15" t="s">
        <v>12</v>
      </c>
      <c r="K374" s="14" t="s">
        <v>13</v>
      </c>
      <c r="L374" s="14" t="s">
        <v>14</v>
      </c>
      <c r="M374" s="603" t="s">
        <v>15</v>
      </c>
      <c r="N374" s="581"/>
      <c r="O374" s="1"/>
      <c r="P374" s="3"/>
      <c r="Q374" s="1"/>
      <c r="R374" s="1"/>
      <c r="S374" s="1"/>
      <c r="T374" s="1"/>
      <c r="U374" s="4"/>
    </row>
    <row r="375" spans="1:21" ht="18.75" customHeight="1">
      <c r="A375" s="126">
        <v>46029</v>
      </c>
      <c r="B375" s="29" t="s">
        <v>725</v>
      </c>
      <c r="C375" s="30" t="s">
        <v>56</v>
      </c>
      <c r="D375" s="38"/>
      <c r="E375" s="27">
        <v>2772000</v>
      </c>
      <c r="F375" s="31">
        <f t="shared" ref="F375:F386" si="190">IF(D375="no",E375,E375/1.1)</f>
        <v>2520000</v>
      </c>
      <c r="G375" s="27">
        <f t="shared" ref="G375:G392" si="191">IF(D375="no",0,F375*0.1)</f>
        <v>252000</v>
      </c>
      <c r="H375" s="32">
        <f>IF(D375="no",0,F375*H373)</f>
        <v>1260000</v>
      </c>
      <c r="I375" s="33">
        <f t="shared" ref="I375:I392" si="192">IF(D375="no",0,H375*3.3%)</f>
        <v>41580</v>
      </c>
      <c r="J375" s="26"/>
      <c r="K375" s="27">
        <f t="shared" ref="K375:K392" si="193">IF(D375="no",0,H375-I375-J375)</f>
        <v>1218420</v>
      </c>
      <c r="L375" s="27">
        <f>IF(D375="no",F375*H306-J375,0)</f>
        <v>0</v>
      </c>
      <c r="M375" s="580"/>
      <c r="N375" s="581"/>
      <c r="O375" s="1"/>
      <c r="P375" s="3"/>
      <c r="Q375" s="1"/>
      <c r="R375" s="1"/>
      <c r="S375" s="1"/>
      <c r="T375" s="1"/>
      <c r="U375" s="4"/>
    </row>
    <row r="376" spans="1:21" ht="18.75" customHeight="1">
      <c r="A376" s="39">
        <v>46031</v>
      </c>
      <c r="B376" s="29" t="s">
        <v>726</v>
      </c>
      <c r="C376" s="30" t="s">
        <v>671</v>
      </c>
      <c r="D376" s="38"/>
      <c r="E376" s="27">
        <v>2200000</v>
      </c>
      <c r="F376" s="31">
        <f t="shared" si="190"/>
        <v>1999999.9999999998</v>
      </c>
      <c r="G376" s="27">
        <f t="shared" si="191"/>
        <v>200000</v>
      </c>
      <c r="H376" s="32">
        <f>IF(D376="no",0,F376*H373)</f>
        <v>999999.99999999988</v>
      </c>
      <c r="I376" s="33">
        <f t="shared" si="192"/>
        <v>33000</v>
      </c>
      <c r="J376" s="26"/>
      <c r="K376" s="27">
        <f t="shared" si="193"/>
        <v>966999.99999999988</v>
      </c>
      <c r="L376" s="27">
        <f>IF(D376="no",F376*H306-J376,0)</f>
        <v>0</v>
      </c>
      <c r="M376" s="572"/>
      <c r="N376" s="564"/>
      <c r="O376" s="1"/>
      <c r="P376" s="3"/>
      <c r="Q376" s="1"/>
      <c r="R376" s="1"/>
      <c r="S376" s="1"/>
      <c r="T376" s="1"/>
      <c r="U376" s="4"/>
    </row>
    <row r="377" spans="1:21" ht="18.75" customHeight="1">
      <c r="A377" s="39">
        <v>46035</v>
      </c>
      <c r="B377" s="1" t="s">
        <v>727</v>
      </c>
      <c r="C377" s="30" t="s">
        <v>693</v>
      </c>
      <c r="D377" s="21"/>
      <c r="E377" s="553">
        <v>30000</v>
      </c>
      <c r="F377" s="31">
        <f t="shared" si="190"/>
        <v>27272.727272727272</v>
      </c>
      <c r="G377" s="27">
        <f t="shared" si="191"/>
        <v>2727.2727272727275</v>
      </c>
      <c r="H377" s="495">
        <f>IF(D377="no",0,F377*H372)</f>
        <v>27272.727272727272</v>
      </c>
      <c r="I377" s="33">
        <f t="shared" si="192"/>
        <v>900</v>
      </c>
      <c r="J377" s="26"/>
      <c r="K377" s="27">
        <f t="shared" si="193"/>
        <v>26372.727272727272</v>
      </c>
      <c r="L377" s="27">
        <f t="shared" ref="L377:L378" si="194">IF(D377="no",F377*H373-J377,0)</f>
        <v>0</v>
      </c>
      <c r="M377" s="572"/>
      <c r="N377" s="564"/>
      <c r="O377" s="1"/>
      <c r="P377" s="3"/>
      <c r="Q377" s="1"/>
      <c r="R377" s="1"/>
      <c r="S377" s="1"/>
      <c r="T377" s="1"/>
      <c r="U377" s="4"/>
    </row>
    <row r="378" spans="1:21" ht="18.75" customHeight="1">
      <c r="A378" s="39">
        <v>46045</v>
      </c>
      <c r="B378" s="29" t="s">
        <v>728</v>
      </c>
      <c r="C378" s="30" t="s">
        <v>729</v>
      </c>
      <c r="D378" s="21"/>
      <c r="E378" s="27">
        <v>220000</v>
      </c>
      <c r="F378" s="31">
        <f t="shared" si="190"/>
        <v>199999.99999999997</v>
      </c>
      <c r="G378" s="27">
        <f t="shared" si="191"/>
        <v>20000</v>
      </c>
      <c r="H378" s="32">
        <f>IF(D378="no",0,F378*H373)</f>
        <v>99999.999999999985</v>
      </c>
      <c r="I378" s="33">
        <f t="shared" si="192"/>
        <v>3299.9999999999995</v>
      </c>
      <c r="J378" s="26"/>
      <c r="K378" s="27">
        <f t="shared" si="193"/>
        <v>96699.999999999985</v>
      </c>
      <c r="L378" s="27">
        <f t="shared" si="194"/>
        <v>0</v>
      </c>
      <c r="M378" s="572"/>
      <c r="N378" s="564"/>
      <c r="O378" s="1"/>
      <c r="P378" s="3"/>
      <c r="Q378" s="1"/>
      <c r="R378" s="1"/>
      <c r="S378" s="1"/>
      <c r="T378" s="1"/>
      <c r="U378" s="4"/>
    </row>
    <row r="379" spans="1:21" ht="18.75" hidden="1" customHeight="1">
      <c r="A379" s="540"/>
      <c r="B379" s="73"/>
      <c r="C379" s="20"/>
      <c r="D379" s="539"/>
      <c r="E379" s="22"/>
      <c r="F379" s="23">
        <f t="shared" si="190"/>
        <v>0</v>
      </c>
      <c r="G379" s="22">
        <f t="shared" si="191"/>
        <v>0</v>
      </c>
      <c r="H379" s="24">
        <f>IF(D379="no",0,F379*H373)</f>
        <v>0</v>
      </c>
      <c r="I379" s="25">
        <f t="shared" si="192"/>
        <v>0</v>
      </c>
      <c r="J379" s="26"/>
      <c r="K379" s="22">
        <f t="shared" si="193"/>
        <v>0</v>
      </c>
      <c r="L379" s="1"/>
      <c r="M379" s="572"/>
      <c r="N379" s="564"/>
      <c r="O379" s="1"/>
      <c r="P379" s="3"/>
      <c r="Q379" s="1"/>
      <c r="R379" s="1"/>
      <c r="S379" s="1"/>
      <c r="T379" s="1"/>
      <c r="U379" s="4"/>
    </row>
    <row r="380" spans="1:21" ht="18.75" hidden="1" customHeight="1">
      <c r="A380" s="39"/>
      <c r="B380" s="1"/>
      <c r="C380" s="30"/>
      <c r="D380" s="21"/>
      <c r="E380" s="27"/>
      <c r="F380" s="31">
        <f t="shared" si="190"/>
        <v>0</v>
      </c>
      <c r="G380" s="27">
        <f t="shared" si="191"/>
        <v>0</v>
      </c>
      <c r="H380" s="112">
        <f>IF(D380="no",0,F380*H373)</f>
        <v>0</v>
      </c>
      <c r="I380" s="33">
        <f t="shared" si="192"/>
        <v>0</v>
      </c>
      <c r="J380" s="26"/>
      <c r="K380" s="27">
        <f t="shared" si="193"/>
        <v>0</v>
      </c>
      <c r="L380" s="27">
        <f>IF(D380="no",F380*H374-J380,0)</f>
        <v>0</v>
      </c>
      <c r="M380" s="572"/>
      <c r="N380" s="564"/>
      <c r="O380" s="1"/>
      <c r="P380" s="3"/>
      <c r="Q380" s="1"/>
      <c r="S380" s="1"/>
      <c r="T380" s="1"/>
      <c r="U380" s="4"/>
    </row>
    <row r="381" spans="1:21" ht="18.75" hidden="1" customHeight="1">
      <c r="A381" s="39"/>
      <c r="B381" s="1"/>
      <c r="C381" s="30"/>
      <c r="D381" s="21"/>
      <c r="E381" s="27"/>
      <c r="F381" s="31">
        <f t="shared" si="190"/>
        <v>0</v>
      </c>
      <c r="G381" s="27">
        <f t="shared" si="191"/>
        <v>0</v>
      </c>
      <c r="H381" s="32">
        <f>IF(D381="no",0,F381*H373)</f>
        <v>0</v>
      </c>
      <c r="I381" s="33">
        <f t="shared" si="192"/>
        <v>0</v>
      </c>
      <c r="J381" s="26"/>
      <c r="K381" s="27">
        <f t="shared" si="193"/>
        <v>0</v>
      </c>
      <c r="L381" s="27">
        <f>IF(D381="no",F381*H373-J381,0)</f>
        <v>0</v>
      </c>
      <c r="M381" s="572"/>
      <c r="N381" s="564"/>
      <c r="O381" s="1"/>
      <c r="P381" s="3"/>
      <c r="Q381" s="1"/>
      <c r="R381" s="1"/>
      <c r="S381" s="1"/>
      <c r="T381" s="1"/>
      <c r="U381" s="4"/>
    </row>
    <row r="382" spans="1:21" ht="18.75" hidden="1" customHeight="1">
      <c r="A382" s="39"/>
      <c r="B382" s="1"/>
      <c r="C382" s="30"/>
      <c r="D382" s="21"/>
      <c r="E382" s="27"/>
      <c r="F382" s="31">
        <f t="shared" si="190"/>
        <v>0</v>
      </c>
      <c r="G382" s="27">
        <f t="shared" si="191"/>
        <v>0</v>
      </c>
      <c r="H382" s="32">
        <f>IF(D382="no",0,F382*H373)</f>
        <v>0</v>
      </c>
      <c r="I382" s="33">
        <f t="shared" si="192"/>
        <v>0</v>
      </c>
      <c r="J382" s="26"/>
      <c r="K382" s="27">
        <f t="shared" si="193"/>
        <v>0</v>
      </c>
      <c r="L382" s="27">
        <f>IF(D382="no",F382*H373-J382,0)</f>
        <v>0</v>
      </c>
      <c r="M382" s="572"/>
      <c r="N382" s="564"/>
      <c r="O382" s="1"/>
      <c r="P382" s="3"/>
      <c r="Q382" s="1"/>
      <c r="R382" s="1"/>
      <c r="S382" s="1"/>
      <c r="T382" s="1"/>
      <c r="U382" s="4"/>
    </row>
    <row r="383" spans="1:21" ht="18.75" hidden="1" customHeight="1">
      <c r="A383" s="39"/>
      <c r="B383" s="1"/>
      <c r="C383" s="30"/>
      <c r="D383" s="21"/>
      <c r="E383" s="27"/>
      <c r="F383" s="31">
        <f t="shared" si="190"/>
        <v>0</v>
      </c>
      <c r="G383" s="27">
        <f t="shared" si="191"/>
        <v>0</v>
      </c>
      <c r="H383" s="32">
        <f>IF(D383="no",0,F383*H373)</f>
        <v>0</v>
      </c>
      <c r="I383" s="33">
        <f t="shared" si="192"/>
        <v>0</v>
      </c>
      <c r="J383" s="26"/>
      <c r="K383" s="27">
        <f t="shared" si="193"/>
        <v>0</v>
      </c>
      <c r="L383" s="27">
        <f>IF(D383="no",F383*H331-J383,0)</f>
        <v>0</v>
      </c>
      <c r="M383" s="572"/>
      <c r="N383" s="564"/>
      <c r="O383" s="1"/>
      <c r="P383" s="3"/>
      <c r="Q383" s="1"/>
      <c r="R383" s="1"/>
      <c r="S383" s="1"/>
      <c r="T383" s="1"/>
      <c r="U383" s="4"/>
    </row>
    <row r="384" spans="1:21" ht="18.75" hidden="1" customHeight="1">
      <c r="A384" s="39"/>
      <c r="B384" s="1"/>
      <c r="C384" s="30"/>
      <c r="D384" s="21"/>
      <c r="E384" s="27"/>
      <c r="F384" s="31">
        <f t="shared" si="190"/>
        <v>0</v>
      </c>
      <c r="G384" s="27">
        <f t="shared" si="191"/>
        <v>0</v>
      </c>
      <c r="H384" s="32">
        <f>IF(D384="no",0,F384*H373)</f>
        <v>0</v>
      </c>
      <c r="I384" s="33">
        <f t="shared" si="192"/>
        <v>0</v>
      </c>
      <c r="J384" s="26"/>
      <c r="K384" s="27">
        <f t="shared" si="193"/>
        <v>0</v>
      </c>
      <c r="L384" s="27">
        <f>IF(D384="no",F384*H373-J384,0)</f>
        <v>0</v>
      </c>
      <c r="M384" s="572"/>
      <c r="N384" s="564"/>
      <c r="O384" s="1"/>
      <c r="P384" s="3"/>
      <c r="Q384" s="1"/>
      <c r="R384" s="1"/>
      <c r="S384" s="1"/>
      <c r="T384" s="1"/>
      <c r="U384" s="4"/>
    </row>
    <row r="385" spans="1:21" s="396" customFormat="1" ht="18.75" hidden="1" customHeight="1">
      <c r="A385" s="129"/>
      <c r="B385" s="394"/>
      <c r="C385" s="398"/>
      <c r="D385" s="278"/>
      <c r="E385" s="132"/>
      <c r="F385" s="133">
        <f t="shared" si="190"/>
        <v>0</v>
      </c>
      <c r="G385" s="132">
        <f t="shared" si="191"/>
        <v>0</v>
      </c>
      <c r="H385" s="32">
        <f>IF(D385="no",0,F385*H373)</f>
        <v>0</v>
      </c>
      <c r="I385" s="134">
        <f t="shared" si="192"/>
        <v>0</v>
      </c>
      <c r="J385" s="135"/>
      <c r="K385" s="132">
        <f t="shared" si="193"/>
        <v>0</v>
      </c>
      <c r="L385" s="132">
        <f>IF(D385="no",F385*H373-J385,0)</f>
        <v>0</v>
      </c>
      <c r="M385" s="590"/>
      <c r="N385" s="564"/>
      <c r="O385" s="394"/>
      <c r="P385" s="393"/>
      <c r="Q385" s="394"/>
      <c r="R385" s="394"/>
      <c r="S385" s="394"/>
      <c r="T385" s="394"/>
      <c r="U385" s="395"/>
    </row>
    <row r="386" spans="1:21" ht="18.75" hidden="1" customHeight="1">
      <c r="A386" s="39"/>
      <c r="B386" s="1"/>
      <c r="C386" s="30"/>
      <c r="D386" s="96"/>
      <c r="E386" s="27"/>
      <c r="F386" s="31">
        <f t="shared" si="190"/>
        <v>0</v>
      </c>
      <c r="G386" s="27">
        <f t="shared" si="191"/>
        <v>0</v>
      </c>
      <c r="H386" s="3">
        <f>IF(D386="no",0,F386*H373)</f>
        <v>0</v>
      </c>
      <c r="I386" s="33">
        <f t="shared" si="192"/>
        <v>0</v>
      </c>
      <c r="J386" s="97"/>
      <c r="K386" s="27">
        <f t="shared" si="193"/>
        <v>0</v>
      </c>
      <c r="L386" s="27">
        <f>IF(D386="no",F386*H373-J386,0)</f>
        <v>0</v>
      </c>
      <c r="M386" s="572"/>
      <c r="N386" s="564"/>
      <c r="O386" s="1"/>
      <c r="P386" s="3"/>
      <c r="Q386" s="1"/>
      <c r="R386" s="1"/>
      <c r="S386" s="1"/>
      <c r="T386" s="1"/>
      <c r="U386" s="4"/>
    </row>
    <row r="387" spans="1:21" ht="18.75" hidden="1" customHeight="1">
      <c r="A387" s="39"/>
      <c r="B387" s="1"/>
      <c r="C387" s="30"/>
      <c r="D387" s="21"/>
      <c r="E387" s="27"/>
      <c r="F387" s="31"/>
      <c r="G387" s="27">
        <f t="shared" si="191"/>
        <v>0</v>
      </c>
      <c r="H387" s="32">
        <f>IF(D387="no",0,F387*H373)</f>
        <v>0</v>
      </c>
      <c r="I387" s="33">
        <f t="shared" si="192"/>
        <v>0</v>
      </c>
      <c r="J387" s="26"/>
      <c r="K387" s="27">
        <f t="shared" si="193"/>
        <v>0</v>
      </c>
      <c r="L387" s="27">
        <f>IF(D387="no",F387*H373-J387,0)</f>
        <v>0</v>
      </c>
      <c r="M387" s="572"/>
      <c r="N387" s="564"/>
      <c r="O387" s="1"/>
      <c r="P387" s="3"/>
      <c r="Q387" s="1"/>
      <c r="R387" s="1"/>
      <c r="S387" s="1"/>
      <c r="T387" s="1"/>
      <c r="U387" s="4"/>
    </row>
    <row r="388" spans="1:21" ht="18.75" hidden="1" customHeight="1">
      <c r="A388" s="39"/>
      <c r="B388" s="1"/>
      <c r="C388" s="30"/>
      <c r="D388" s="21"/>
      <c r="E388" s="27"/>
      <c r="F388" s="31"/>
      <c r="G388" s="27">
        <f t="shared" si="191"/>
        <v>0</v>
      </c>
      <c r="H388" s="32">
        <f>IF(D388="no",0,F388*H373)</f>
        <v>0</v>
      </c>
      <c r="I388" s="33">
        <f t="shared" si="192"/>
        <v>0</v>
      </c>
      <c r="J388" s="26"/>
      <c r="K388" s="27">
        <f t="shared" si="193"/>
        <v>0</v>
      </c>
      <c r="L388" s="27">
        <f t="shared" ref="L388:L389" si="195">IF(D388="no",F388*H373-J388,0)</f>
        <v>0</v>
      </c>
      <c r="M388" s="572"/>
      <c r="N388" s="564"/>
      <c r="O388" s="1"/>
      <c r="P388" s="3"/>
      <c r="Q388" s="1"/>
      <c r="R388" s="1"/>
      <c r="S388" s="1"/>
      <c r="T388" s="1"/>
      <c r="U388" s="4"/>
    </row>
    <row r="389" spans="1:21" ht="18.75" hidden="1" customHeight="1">
      <c r="A389" s="39"/>
      <c r="B389" s="1"/>
      <c r="C389" s="30"/>
      <c r="D389" s="21"/>
      <c r="E389" s="27"/>
      <c r="F389" s="31"/>
      <c r="G389" s="27">
        <f t="shared" si="191"/>
        <v>0</v>
      </c>
      <c r="H389" s="32">
        <f>IF(D389="no",0,F389*H373)</f>
        <v>0</v>
      </c>
      <c r="I389" s="33">
        <f t="shared" si="192"/>
        <v>0</v>
      </c>
      <c r="J389" s="26"/>
      <c r="K389" s="27">
        <f t="shared" si="193"/>
        <v>0</v>
      </c>
      <c r="L389" s="27">
        <f t="shared" si="195"/>
        <v>0</v>
      </c>
      <c r="M389" s="572"/>
      <c r="N389" s="564"/>
      <c r="O389" s="1"/>
      <c r="P389" s="3"/>
      <c r="Q389" s="1"/>
      <c r="R389" s="1"/>
      <c r="S389" s="1"/>
      <c r="T389" s="1"/>
      <c r="U389" s="4"/>
    </row>
    <row r="390" spans="1:21" ht="18.75" hidden="1" customHeight="1">
      <c r="A390" s="39"/>
      <c r="B390" s="1"/>
      <c r="C390" s="30"/>
      <c r="D390" s="21"/>
      <c r="E390" s="27"/>
      <c r="F390" s="31"/>
      <c r="G390" s="27">
        <f t="shared" si="191"/>
        <v>0</v>
      </c>
      <c r="H390" s="32">
        <f>IF(D390="no",0,F390*H373)</f>
        <v>0</v>
      </c>
      <c r="I390" s="33">
        <f t="shared" si="192"/>
        <v>0</v>
      </c>
      <c r="J390" s="26"/>
      <c r="K390" s="27">
        <f t="shared" si="193"/>
        <v>0</v>
      </c>
      <c r="L390" s="27">
        <f>IF(D390="no",F390*H373-J390,0)</f>
        <v>0</v>
      </c>
      <c r="M390" s="572"/>
      <c r="N390" s="564"/>
      <c r="O390" s="1"/>
      <c r="P390" s="3"/>
      <c r="Q390" s="1"/>
      <c r="R390" s="1"/>
      <c r="S390" s="1"/>
      <c r="T390" s="1"/>
      <c r="U390" s="4"/>
    </row>
    <row r="391" spans="1:21" ht="18.75" hidden="1" customHeight="1">
      <c r="A391" s="39"/>
      <c r="B391" s="1"/>
      <c r="C391" s="30"/>
      <c r="D391" s="21"/>
      <c r="E391" s="27"/>
      <c r="F391" s="31"/>
      <c r="G391" s="27">
        <f t="shared" si="191"/>
        <v>0</v>
      </c>
      <c r="H391" s="32">
        <f>IF(D391="no",0,F391*H373)</f>
        <v>0</v>
      </c>
      <c r="I391" s="33">
        <f t="shared" si="192"/>
        <v>0</v>
      </c>
      <c r="J391" s="26"/>
      <c r="K391" s="27">
        <f t="shared" si="193"/>
        <v>0</v>
      </c>
      <c r="L391" s="27"/>
      <c r="M391" s="572"/>
      <c r="N391" s="564"/>
      <c r="O391" s="1"/>
      <c r="P391" s="3"/>
      <c r="Q391" s="1"/>
      <c r="R391" s="1"/>
      <c r="S391" s="1"/>
      <c r="T391" s="1"/>
      <c r="U391" s="4"/>
    </row>
    <row r="392" spans="1:21" ht="18.75" hidden="1" customHeight="1">
      <c r="A392" s="39"/>
      <c r="B392" s="1"/>
      <c r="C392" s="30"/>
      <c r="D392" s="21"/>
      <c r="E392" s="27"/>
      <c r="F392" s="31"/>
      <c r="G392" s="27">
        <f t="shared" si="191"/>
        <v>0</v>
      </c>
      <c r="H392" s="32">
        <f>IF(D392="no",0,F392*H373)</f>
        <v>0</v>
      </c>
      <c r="I392" s="33">
        <f t="shared" si="192"/>
        <v>0</v>
      </c>
      <c r="J392" s="26"/>
      <c r="K392" s="27">
        <f t="shared" si="193"/>
        <v>0</v>
      </c>
      <c r="L392" s="27"/>
      <c r="M392" s="572"/>
      <c r="N392" s="564"/>
      <c r="O392" s="1"/>
      <c r="P392" s="3"/>
      <c r="Q392" s="1"/>
      <c r="R392" s="1"/>
      <c r="S392" s="1"/>
      <c r="T392" s="1"/>
      <c r="U392" s="4"/>
    </row>
    <row r="393" spans="1:21" ht="18.75" customHeight="1">
      <c r="A393" s="39"/>
      <c r="B393" s="1"/>
      <c r="C393" s="30"/>
      <c r="D393" s="21"/>
      <c r="E393" s="27"/>
      <c r="F393" s="31"/>
      <c r="G393" s="27"/>
      <c r="H393" s="32"/>
      <c r="I393" s="33"/>
      <c r="J393" s="26"/>
      <c r="K393" s="27"/>
      <c r="L393" s="27"/>
      <c r="M393" s="572"/>
      <c r="N393" s="564"/>
      <c r="O393" s="1"/>
      <c r="P393" s="3"/>
      <c r="Q393" s="1"/>
      <c r="R393" s="1"/>
      <c r="S393" s="1"/>
      <c r="T393" s="1"/>
      <c r="U393" s="4"/>
    </row>
    <row r="394" spans="1:21" ht="18.75" customHeight="1">
      <c r="A394" s="39" t="s">
        <v>616</v>
      </c>
      <c r="B394" s="127" t="s">
        <v>61</v>
      </c>
      <c r="C394" s="30"/>
      <c r="D394" s="38"/>
      <c r="E394" s="27"/>
      <c r="F394" s="31"/>
      <c r="G394" s="27"/>
      <c r="H394" s="37">
        <v>0</v>
      </c>
      <c r="I394" s="33">
        <f t="shared" ref="I394:I397" si="196">IF(D394="no",0,H394*3.3%)</f>
        <v>0</v>
      </c>
      <c r="J394" s="26"/>
      <c r="K394" s="27">
        <f t="shared" ref="K394:K397" si="197">IF(D394="no",0,H394-I394-J394)</f>
        <v>0</v>
      </c>
      <c r="L394" s="27">
        <f>IF(D394="no",F394*H377-J394,0)</f>
        <v>0</v>
      </c>
      <c r="M394" s="572"/>
      <c r="N394" s="564"/>
      <c r="O394" s="1"/>
      <c r="P394" s="3"/>
      <c r="Q394" s="1"/>
      <c r="R394" s="1"/>
      <c r="S394" s="1"/>
      <c r="T394" s="1"/>
      <c r="U394" s="4"/>
    </row>
    <row r="395" spans="1:21" ht="18.75" customHeight="1">
      <c r="A395" s="39" t="s">
        <v>616</v>
      </c>
      <c r="B395" s="127" t="s">
        <v>35</v>
      </c>
      <c r="C395" s="30"/>
      <c r="D395" s="21"/>
      <c r="E395" s="27"/>
      <c r="F395" s="31"/>
      <c r="G395" s="27"/>
      <c r="H395" s="37">
        <v>0</v>
      </c>
      <c r="I395" s="33">
        <f t="shared" si="196"/>
        <v>0</v>
      </c>
      <c r="J395" s="97"/>
      <c r="K395" s="27">
        <f t="shared" si="197"/>
        <v>0</v>
      </c>
      <c r="L395" s="27">
        <f>IF(D395="no",F395*H372-J395,0)</f>
        <v>0</v>
      </c>
      <c r="M395" s="572"/>
      <c r="N395" s="564"/>
      <c r="O395" s="1"/>
      <c r="P395" s="3"/>
      <c r="Q395" s="1"/>
      <c r="R395" s="1"/>
      <c r="S395" s="1"/>
      <c r="T395" s="1"/>
      <c r="U395" s="4"/>
    </row>
    <row r="396" spans="1:21" s="374" customFormat="1" ht="18.75" customHeight="1">
      <c r="A396" s="39" t="s">
        <v>616</v>
      </c>
      <c r="B396" s="29" t="s">
        <v>404</v>
      </c>
      <c r="C396" s="30"/>
      <c r="D396" s="375"/>
      <c r="E396" s="27"/>
      <c r="F396" s="31"/>
      <c r="G396" s="27"/>
      <c r="H396" s="32">
        <v>150000</v>
      </c>
      <c r="I396" s="33">
        <f t="shared" si="196"/>
        <v>4950</v>
      </c>
      <c r="J396" s="26"/>
      <c r="K396" s="27">
        <f t="shared" si="197"/>
        <v>145050</v>
      </c>
      <c r="L396" s="1"/>
      <c r="M396" s="572"/>
      <c r="N396" s="564"/>
      <c r="O396" s="1"/>
      <c r="P396" s="3"/>
      <c r="Q396" s="1"/>
      <c r="R396" s="1"/>
      <c r="S396" s="1"/>
      <c r="T396" s="1"/>
      <c r="U396" s="4"/>
    </row>
    <row r="397" spans="1:21" ht="18.75" customHeight="1">
      <c r="A397" s="39" t="s">
        <v>616</v>
      </c>
      <c r="B397" s="127" t="s">
        <v>64</v>
      </c>
      <c r="C397" s="30"/>
      <c r="D397" s="21"/>
      <c r="E397" s="27"/>
      <c r="F397" s="31">
        <f>IF(D397="no",E397,E397/1.1)</f>
        <v>0</v>
      </c>
      <c r="G397" s="27">
        <f>IF(D397="no",0,F397*0.1)</f>
        <v>0</v>
      </c>
      <c r="H397" s="37"/>
      <c r="I397" s="33">
        <f t="shared" si="196"/>
        <v>0</v>
      </c>
      <c r="J397" s="26"/>
      <c r="K397" s="27">
        <f t="shared" si="197"/>
        <v>0</v>
      </c>
      <c r="L397" s="27"/>
      <c r="M397" s="572"/>
      <c r="N397" s="564"/>
      <c r="O397" s="1"/>
      <c r="P397" s="3"/>
      <c r="Q397" s="1"/>
      <c r="R397" s="1"/>
      <c r="S397" s="1"/>
      <c r="T397" s="1"/>
      <c r="U397" s="4"/>
    </row>
    <row r="398" spans="1:21" ht="18.75" customHeight="1">
      <c r="A398" s="575" t="s">
        <v>42</v>
      </c>
      <c r="B398" s="576"/>
      <c r="C398" s="576"/>
      <c r="D398" s="577"/>
      <c r="E398" s="42">
        <f t="shared" ref="E398:L398" si="198">SUM(E375:E397)</f>
        <v>5222000</v>
      </c>
      <c r="F398" s="17">
        <f t="shared" si="198"/>
        <v>4747272.7272727275</v>
      </c>
      <c r="G398" s="42">
        <f t="shared" si="198"/>
        <v>474727.27272727271</v>
      </c>
      <c r="H398" s="42">
        <f t="shared" si="198"/>
        <v>2537272.7272727271</v>
      </c>
      <c r="I398" s="42">
        <f t="shared" si="198"/>
        <v>83730</v>
      </c>
      <c r="J398" s="42">
        <f t="shared" si="198"/>
        <v>0</v>
      </c>
      <c r="K398" s="42">
        <f t="shared" si="198"/>
        <v>2453542.7272727271</v>
      </c>
      <c r="L398" s="42">
        <f t="shared" si="198"/>
        <v>0</v>
      </c>
      <c r="M398" s="44"/>
      <c r="N398" s="45"/>
      <c r="O398" s="1"/>
      <c r="P398" s="3"/>
      <c r="Q398" s="1"/>
      <c r="R398" s="1"/>
      <c r="S398" s="1"/>
      <c r="T398" s="1"/>
      <c r="U398" s="4"/>
    </row>
    <row r="399" spans="1:21" ht="18.75" customHeight="1">
      <c r="A399" s="46" t="s">
        <v>37</v>
      </c>
      <c r="B399" s="47" t="s">
        <v>43</v>
      </c>
      <c r="C399" s="48">
        <f>D373</f>
        <v>2</v>
      </c>
      <c r="D399" s="47" t="s">
        <v>44</v>
      </c>
      <c r="E399" s="49"/>
      <c r="F399" s="50"/>
      <c r="G399" s="51"/>
      <c r="H399" s="49"/>
      <c r="I399" s="53" t="s">
        <v>46</v>
      </c>
      <c r="J399" s="54">
        <v>28000</v>
      </c>
      <c r="K399" s="59"/>
      <c r="L399" s="62"/>
      <c r="M399" s="654"/>
      <c r="N399" s="581"/>
      <c r="O399" s="1"/>
      <c r="P399" s="3"/>
      <c r="Q399" s="1"/>
      <c r="R399" s="1"/>
      <c r="S399" s="1"/>
      <c r="T399" s="1"/>
      <c r="U399" s="4"/>
    </row>
    <row r="400" spans="1:21" ht="14.25" customHeight="1" thickBot="1">
      <c r="A400" s="56" t="s">
        <v>48</v>
      </c>
      <c r="B400" s="57" t="s">
        <v>49</v>
      </c>
      <c r="C400" s="58">
        <f>ROUND(F398/10000,0)</f>
        <v>475</v>
      </c>
      <c r="D400" s="57" t="s">
        <v>50</v>
      </c>
      <c r="E400" s="52"/>
      <c r="F400" s="59"/>
      <c r="G400" s="60"/>
      <c r="H400" s="52"/>
      <c r="I400" s="59"/>
      <c r="J400" s="61"/>
      <c r="K400" s="59"/>
      <c r="L400" s="62"/>
      <c r="M400" s="59"/>
      <c r="N400" s="64"/>
      <c r="O400" s="1"/>
      <c r="P400" s="3"/>
      <c r="Q400" s="1"/>
      <c r="R400" s="1"/>
      <c r="S400" s="1"/>
      <c r="T400" s="1"/>
      <c r="U400" s="4"/>
    </row>
    <row r="401" spans="1:21" ht="20.25" customHeight="1" thickBot="1">
      <c r="A401" s="566" t="s">
        <v>52</v>
      </c>
      <c r="B401" s="567"/>
      <c r="C401" s="567"/>
      <c r="D401" s="568"/>
      <c r="E401" s="65"/>
      <c r="F401" s="569" t="s">
        <v>53</v>
      </c>
      <c r="G401" s="568"/>
      <c r="H401" s="66">
        <f>H398-J399</f>
        <v>2509272.7272727271</v>
      </c>
      <c r="I401" s="67">
        <f>H401*3.3%</f>
        <v>82806</v>
      </c>
      <c r="J401" s="68">
        <f>SUM(J398)</f>
        <v>0</v>
      </c>
      <c r="K401" s="69">
        <f>H401-I401</f>
        <v>2426466.7272727271</v>
      </c>
      <c r="L401" s="70">
        <f>L398+SUM(H399:H400)+J400</f>
        <v>0</v>
      </c>
      <c r="M401" s="570">
        <f>K401+L401</f>
        <v>2426466.7272727271</v>
      </c>
      <c r="N401" s="571"/>
      <c r="O401" s="1"/>
      <c r="P401" s="3"/>
      <c r="Q401" s="1"/>
      <c r="R401" s="1"/>
      <c r="S401" s="1"/>
      <c r="T401" s="1"/>
      <c r="U401" s="4"/>
    </row>
    <row r="402" spans="1:21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3"/>
      <c r="Q402" s="1"/>
      <c r="R402" s="1"/>
      <c r="S402" s="1"/>
      <c r="T402" s="1"/>
      <c r="U402" s="4"/>
    </row>
    <row r="403" spans="1:21" ht="18.75" customHeight="1">
      <c r="A403" s="6" t="s">
        <v>520</v>
      </c>
      <c r="B403" s="7" t="str">
        <f>$B$34</f>
        <v>1월</v>
      </c>
      <c r="C403" s="8" t="s">
        <v>1</v>
      </c>
      <c r="D403" s="9">
        <f>COUNTIF($C405:$C416,"계약")+(COUNTIF($C405:$C416,"계약2")*2)</f>
        <v>3</v>
      </c>
      <c r="E403" s="3">
        <f>COUNTIF(C405:C416,"낙찰수수료")</f>
        <v>0</v>
      </c>
      <c r="F403" s="3"/>
      <c r="G403" s="89" t="s">
        <v>521</v>
      </c>
      <c r="H403" s="11">
        <v>0.5</v>
      </c>
      <c r="I403" s="12">
        <v>3.3000000000000002E-2</v>
      </c>
      <c r="J403" s="1"/>
      <c r="K403" s="1"/>
      <c r="L403" s="1"/>
      <c r="M403" s="1"/>
      <c r="N403" s="1"/>
      <c r="O403" s="1"/>
      <c r="P403" s="3"/>
      <c r="Q403" s="1"/>
      <c r="R403" s="1"/>
      <c r="S403" s="1"/>
      <c r="T403" s="1"/>
      <c r="U403" s="4"/>
    </row>
    <row r="404" spans="1:21" ht="18.75" customHeight="1">
      <c r="A404" s="13" t="s">
        <v>3</v>
      </c>
      <c r="B404" s="14" t="s">
        <v>4</v>
      </c>
      <c r="C404" s="14" t="s">
        <v>5</v>
      </c>
      <c r="D404" s="101" t="s">
        <v>6</v>
      </c>
      <c r="E404" s="16" t="s">
        <v>7</v>
      </c>
      <c r="F404" s="17" t="s">
        <v>8</v>
      </c>
      <c r="G404" s="14" t="s">
        <v>9</v>
      </c>
      <c r="H404" s="15" t="s">
        <v>10</v>
      </c>
      <c r="I404" s="14" t="s">
        <v>11</v>
      </c>
      <c r="J404" s="15" t="s">
        <v>12</v>
      </c>
      <c r="K404" s="14" t="s">
        <v>13</v>
      </c>
      <c r="L404" s="14" t="s">
        <v>14</v>
      </c>
      <c r="M404" s="579" t="s">
        <v>15</v>
      </c>
      <c r="N404" s="577"/>
      <c r="O404" s="1"/>
      <c r="P404" s="3"/>
      <c r="Q404" s="1"/>
      <c r="R404" s="1"/>
      <c r="S404" s="1"/>
      <c r="T404" s="1"/>
      <c r="U404" s="4"/>
    </row>
    <row r="405" spans="1:21" ht="18.75" customHeight="1">
      <c r="A405" s="28">
        <v>46024</v>
      </c>
      <c r="B405" s="29" t="s">
        <v>730</v>
      </c>
      <c r="C405" s="30" t="s">
        <v>687</v>
      </c>
      <c r="D405" s="38"/>
      <c r="E405" s="27">
        <v>2200000</v>
      </c>
      <c r="F405" s="31">
        <f t="shared" ref="F405:F412" si="199">IF(D405="no",E405,E405/1.1)</f>
        <v>1999999.9999999998</v>
      </c>
      <c r="G405" s="27">
        <f t="shared" ref="G405:G412" si="200">IF(D405="no",0,F405*0.1)</f>
        <v>200000</v>
      </c>
      <c r="H405" s="32">
        <f>IF(D405="no",0,F405*H403)</f>
        <v>999999.99999999988</v>
      </c>
      <c r="I405" s="33">
        <f t="shared" ref="I405:I416" si="201">IF(D405="no",0,H405*3.3%)</f>
        <v>33000</v>
      </c>
      <c r="J405" s="26"/>
      <c r="K405" s="27">
        <f t="shared" ref="K405:K416" si="202">IF(D405="no",0,H405-I405-J405)</f>
        <v>966999.99999999988</v>
      </c>
      <c r="L405" s="27">
        <f>IF(D405="no",F405*H403-J405,0)</f>
        <v>0</v>
      </c>
      <c r="M405" s="580"/>
      <c r="N405" s="581"/>
      <c r="O405" s="1"/>
      <c r="P405" s="3"/>
      <c r="Q405" s="1"/>
      <c r="R405" s="1"/>
      <c r="S405" s="1"/>
      <c r="T405" s="1"/>
      <c r="U405" s="4"/>
    </row>
    <row r="406" spans="1:21" ht="18.75" customHeight="1">
      <c r="A406" s="39">
        <v>46041</v>
      </c>
      <c r="B406" s="29" t="s">
        <v>731</v>
      </c>
      <c r="C406" s="30" t="s">
        <v>683</v>
      </c>
      <c r="D406" s="95"/>
      <c r="E406" s="27">
        <v>110000</v>
      </c>
      <c r="F406" s="31">
        <f t="shared" si="199"/>
        <v>99999.999999999985</v>
      </c>
      <c r="G406" s="27">
        <f t="shared" si="200"/>
        <v>10000</v>
      </c>
      <c r="H406" s="32">
        <f>IF(D406="no",0,F406*H403)</f>
        <v>49999.999999999993</v>
      </c>
      <c r="I406" s="33">
        <f t="shared" si="201"/>
        <v>1649.9999999999998</v>
      </c>
      <c r="J406" s="26"/>
      <c r="K406" s="27">
        <f t="shared" si="202"/>
        <v>48349.999999999993</v>
      </c>
      <c r="L406" s="27">
        <f>IF(D406="no",F406*H403-J406,0)</f>
        <v>0</v>
      </c>
      <c r="M406" s="572"/>
      <c r="N406" s="564"/>
      <c r="O406" s="1"/>
      <c r="P406" s="3"/>
      <c r="Q406" s="1"/>
      <c r="R406" s="1"/>
      <c r="S406" s="1"/>
      <c r="T406" s="1"/>
      <c r="U406" s="4"/>
    </row>
    <row r="407" spans="1:21" ht="18.75" customHeight="1">
      <c r="A407" s="39">
        <v>46041</v>
      </c>
      <c r="B407" s="29" t="s">
        <v>732</v>
      </c>
      <c r="C407" s="30" t="s">
        <v>55</v>
      </c>
      <c r="D407" s="95"/>
      <c r="E407" s="102">
        <v>110000</v>
      </c>
      <c r="F407" s="31">
        <f t="shared" si="199"/>
        <v>99999.999999999985</v>
      </c>
      <c r="G407" s="27">
        <f t="shared" si="200"/>
        <v>10000</v>
      </c>
      <c r="H407" s="32">
        <f>IF(D407="no",0,F407*H403)</f>
        <v>49999.999999999993</v>
      </c>
      <c r="I407" s="33">
        <f t="shared" si="201"/>
        <v>1649.9999999999998</v>
      </c>
      <c r="J407" s="26"/>
      <c r="K407" s="27">
        <f t="shared" si="202"/>
        <v>48349.999999999993</v>
      </c>
      <c r="L407" s="27">
        <f>IF(D407="no",F407*H403-J407,0)</f>
        <v>0</v>
      </c>
      <c r="M407" s="572"/>
      <c r="N407" s="564"/>
      <c r="O407" s="1"/>
      <c r="P407" s="3"/>
      <c r="Q407" s="1"/>
      <c r="R407" s="1"/>
      <c r="S407" s="1"/>
      <c r="T407" s="1"/>
      <c r="U407" s="4"/>
    </row>
    <row r="408" spans="1:21" ht="18.75" customHeight="1">
      <c r="A408" s="39">
        <v>46046</v>
      </c>
      <c r="B408" s="29" t="s">
        <v>733</v>
      </c>
      <c r="C408" s="30" t="s">
        <v>55</v>
      </c>
      <c r="D408" s="545"/>
      <c r="E408" s="102">
        <v>220000</v>
      </c>
      <c r="F408" s="31">
        <f t="shared" si="199"/>
        <v>199999.99999999997</v>
      </c>
      <c r="G408" s="27">
        <f t="shared" si="200"/>
        <v>20000</v>
      </c>
      <c r="H408" s="32">
        <f>IF(D408="no",0,F408*H403)</f>
        <v>99999.999999999985</v>
      </c>
      <c r="I408" s="33">
        <f t="shared" si="201"/>
        <v>3299.9999999999995</v>
      </c>
      <c r="J408" s="26"/>
      <c r="K408" s="27">
        <f t="shared" si="202"/>
        <v>96699.999999999985</v>
      </c>
      <c r="L408" s="27">
        <f>IF(D408="no",F408*H403-J408,0)</f>
        <v>0</v>
      </c>
      <c r="M408" s="572"/>
      <c r="N408" s="564"/>
      <c r="O408" s="1"/>
      <c r="P408" s="3"/>
      <c r="Q408" s="1"/>
      <c r="R408" s="1"/>
      <c r="S408" s="1"/>
      <c r="T408" s="1"/>
      <c r="U408" s="4"/>
    </row>
    <row r="409" spans="1:21" ht="18.75" customHeight="1">
      <c r="A409" s="39">
        <v>46047</v>
      </c>
      <c r="B409" s="29" t="s">
        <v>734</v>
      </c>
      <c r="C409" s="30" t="s">
        <v>55</v>
      </c>
      <c r="D409" s="38"/>
      <c r="E409" s="27">
        <v>220000</v>
      </c>
      <c r="F409" s="31">
        <f t="shared" si="199"/>
        <v>199999.99999999997</v>
      </c>
      <c r="G409" s="27">
        <f t="shared" si="200"/>
        <v>20000</v>
      </c>
      <c r="H409" s="32">
        <f>IF(D409="no",0,F409*H403)</f>
        <v>99999.999999999985</v>
      </c>
      <c r="I409" s="33">
        <f t="shared" si="201"/>
        <v>3299.9999999999995</v>
      </c>
      <c r="J409" s="26"/>
      <c r="K409" s="27">
        <f t="shared" si="202"/>
        <v>96699.999999999985</v>
      </c>
      <c r="L409" s="27">
        <f t="shared" ref="L409:L410" si="203">IF(D409="no",F409*H403-J409,0)</f>
        <v>0</v>
      </c>
      <c r="M409" s="563"/>
      <c r="N409" s="564"/>
      <c r="O409" s="1"/>
      <c r="P409" s="3"/>
      <c r="Q409" s="1"/>
      <c r="R409" s="1"/>
      <c r="S409" s="1"/>
      <c r="T409" s="1"/>
      <c r="U409" s="4"/>
    </row>
    <row r="410" spans="1:21" ht="18.75" customHeight="1">
      <c r="A410" s="28">
        <v>46049</v>
      </c>
      <c r="B410" s="29" t="s">
        <v>735</v>
      </c>
      <c r="C410" s="30" t="s">
        <v>687</v>
      </c>
      <c r="D410" s="21"/>
      <c r="E410" s="27">
        <v>550000</v>
      </c>
      <c r="F410" s="31">
        <f t="shared" si="199"/>
        <v>499999.99999999994</v>
      </c>
      <c r="G410" s="27">
        <f t="shared" si="200"/>
        <v>50000</v>
      </c>
      <c r="H410" s="32">
        <f>IF(D410="no",0,F410*H403)</f>
        <v>249999.99999999997</v>
      </c>
      <c r="I410" s="33">
        <f t="shared" si="201"/>
        <v>8250</v>
      </c>
      <c r="J410" s="26"/>
      <c r="K410" s="27">
        <f t="shared" si="202"/>
        <v>241749.99999999997</v>
      </c>
      <c r="L410" s="27">
        <f t="shared" si="203"/>
        <v>0</v>
      </c>
      <c r="M410" s="572"/>
      <c r="N410" s="564"/>
      <c r="O410" s="1"/>
      <c r="P410" s="3"/>
      <c r="Q410" s="1"/>
      <c r="R410" s="1"/>
      <c r="S410" s="1"/>
      <c r="T410" s="1"/>
      <c r="U410" s="4"/>
    </row>
    <row r="411" spans="1:21" ht="18.75" customHeight="1">
      <c r="A411" s="28">
        <v>46051</v>
      </c>
      <c r="B411" s="29" t="s">
        <v>812</v>
      </c>
      <c r="C411" s="30" t="s">
        <v>687</v>
      </c>
      <c r="D411" s="38"/>
      <c r="E411" s="27">
        <v>440000</v>
      </c>
      <c r="F411" s="31">
        <f t="shared" si="199"/>
        <v>399999.99999999994</v>
      </c>
      <c r="G411" s="27">
        <f t="shared" si="200"/>
        <v>40000</v>
      </c>
      <c r="H411" s="32">
        <f>IF(D411="no",0,F411*H403)</f>
        <v>199999.99999999997</v>
      </c>
      <c r="I411" s="33">
        <f t="shared" si="201"/>
        <v>6599.9999999999991</v>
      </c>
      <c r="J411" s="26"/>
      <c r="K411" s="27">
        <f t="shared" si="202"/>
        <v>193399.99999999997</v>
      </c>
      <c r="L411" s="27">
        <f>IF(D411="no",F411*H403-J411,0)</f>
        <v>0</v>
      </c>
      <c r="M411" s="572"/>
      <c r="N411" s="564"/>
      <c r="O411" s="1"/>
      <c r="P411" s="3"/>
      <c r="Q411" s="1"/>
      <c r="R411" s="1"/>
      <c r="S411" s="1"/>
      <c r="T411" s="1"/>
      <c r="U411" s="4"/>
    </row>
    <row r="412" spans="1:21" ht="18.75" customHeight="1">
      <c r="A412" s="28"/>
      <c r="B412" s="29"/>
      <c r="C412" s="30"/>
      <c r="D412" s="21"/>
      <c r="E412" s="27"/>
      <c r="F412" s="31">
        <f t="shared" si="199"/>
        <v>0</v>
      </c>
      <c r="G412" s="27">
        <f t="shared" si="200"/>
        <v>0</v>
      </c>
      <c r="H412" s="32"/>
      <c r="I412" s="33">
        <f t="shared" si="201"/>
        <v>0</v>
      </c>
      <c r="J412" s="26"/>
      <c r="K412" s="27">
        <f t="shared" si="202"/>
        <v>0</v>
      </c>
      <c r="L412" s="1"/>
      <c r="M412" s="573"/>
      <c r="N412" s="564"/>
      <c r="O412" s="1"/>
      <c r="P412" s="3"/>
      <c r="Q412" s="1"/>
      <c r="R412" s="1"/>
      <c r="S412" s="1"/>
      <c r="T412" s="1"/>
      <c r="U412" s="4"/>
    </row>
    <row r="413" spans="1:21" ht="18.75" customHeight="1">
      <c r="A413" s="39" t="s">
        <v>616</v>
      </c>
      <c r="B413" s="29" t="s">
        <v>61</v>
      </c>
      <c r="C413" s="30"/>
      <c r="D413" s="38"/>
      <c r="E413" s="27"/>
      <c r="F413" s="31"/>
      <c r="G413" s="27"/>
      <c r="H413" s="37">
        <v>0</v>
      </c>
      <c r="I413" s="33">
        <f t="shared" si="201"/>
        <v>0</v>
      </c>
      <c r="J413" s="26"/>
      <c r="K413" s="27">
        <f t="shared" si="202"/>
        <v>0</v>
      </c>
      <c r="L413" s="27">
        <f>IF(D413="no",F413*H185-J413,0)</f>
        <v>0</v>
      </c>
      <c r="M413" s="572"/>
      <c r="N413" s="564"/>
      <c r="O413" s="1"/>
      <c r="P413" s="3"/>
      <c r="Q413" s="1"/>
      <c r="R413" s="1"/>
      <c r="S413" s="1"/>
      <c r="T413" s="1"/>
      <c r="U413" s="4"/>
    </row>
    <row r="414" spans="1:21" ht="18.75" customHeight="1">
      <c r="A414" s="39" t="s">
        <v>616</v>
      </c>
      <c r="B414" s="29" t="s">
        <v>35</v>
      </c>
      <c r="C414" s="30"/>
      <c r="D414" s="21"/>
      <c r="E414" s="27"/>
      <c r="F414" s="31">
        <f t="shared" ref="F414:F416" si="204">IF(D414="no",E414,E414/1.1)</f>
        <v>0</v>
      </c>
      <c r="G414" s="27">
        <f t="shared" ref="G414:G416" si="205">IF(D414="no",0,F414*0.1)</f>
        <v>0</v>
      </c>
      <c r="H414" s="32">
        <v>0</v>
      </c>
      <c r="I414" s="33">
        <f t="shared" si="201"/>
        <v>0</v>
      </c>
      <c r="J414" s="26"/>
      <c r="K414" s="27">
        <f t="shared" si="202"/>
        <v>0</v>
      </c>
      <c r="L414" s="1"/>
      <c r="M414" s="574"/>
      <c r="N414" s="564"/>
      <c r="O414" s="1"/>
      <c r="P414" s="3"/>
      <c r="Q414" s="1"/>
      <c r="R414" s="1"/>
      <c r="S414" s="1"/>
      <c r="T414" s="1"/>
      <c r="U414" s="4"/>
    </row>
    <row r="415" spans="1:21" s="374" customFormat="1" ht="18.75" customHeight="1">
      <c r="A415" s="39" t="s">
        <v>616</v>
      </c>
      <c r="B415" s="29" t="s">
        <v>404</v>
      </c>
      <c r="C415" s="30"/>
      <c r="D415" s="375"/>
      <c r="E415" s="27"/>
      <c r="F415" s="31"/>
      <c r="G415" s="27"/>
      <c r="H415" s="32">
        <v>150000</v>
      </c>
      <c r="I415" s="33">
        <f t="shared" si="201"/>
        <v>4950</v>
      </c>
      <c r="J415" s="26"/>
      <c r="K415" s="27">
        <f t="shared" si="202"/>
        <v>145050</v>
      </c>
      <c r="L415" s="1"/>
      <c r="M415" s="572"/>
      <c r="N415" s="564"/>
      <c r="O415" s="1"/>
      <c r="P415" s="3"/>
      <c r="Q415" s="1"/>
      <c r="R415" s="1"/>
      <c r="S415" s="1"/>
      <c r="T415" s="1"/>
      <c r="U415" s="4"/>
    </row>
    <row r="416" spans="1:21" ht="18.75" customHeight="1">
      <c r="A416" s="39" t="s">
        <v>616</v>
      </c>
      <c r="B416" s="29" t="s">
        <v>37</v>
      </c>
      <c r="C416" s="30"/>
      <c r="D416" s="21"/>
      <c r="E416" s="27"/>
      <c r="F416" s="31">
        <f t="shared" si="204"/>
        <v>0</v>
      </c>
      <c r="G416" s="27">
        <f t="shared" si="205"/>
        <v>0</v>
      </c>
      <c r="H416" s="37">
        <v>0</v>
      </c>
      <c r="I416" s="33">
        <f t="shared" si="201"/>
        <v>0</v>
      </c>
      <c r="J416" s="26"/>
      <c r="K416" s="27">
        <f t="shared" si="202"/>
        <v>0</v>
      </c>
      <c r="L416" s="27"/>
      <c r="M416" s="572"/>
      <c r="N416" s="564"/>
      <c r="O416" s="1"/>
      <c r="P416" s="3"/>
      <c r="Q416" s="1"/>
      <c r="R416" s="1"/>
      <c r="S416" s="1"/>
      <c r="T416" s="1"/>
      <c r="U416" s="4"/>
    </row>
    <row r="417" spans="1:21" ht="18.75" customHeight="1">
      <c r="A417" s="575" t="s">
        <v>42</v>
      </c>
      <c r="B417" s="576"/>
      <c r="C417" s="576"/>
      <c r="D417" s="577"/>
      <c r="E417" s="42">
        <f t="shared" ref="E417:L417" si="206">SUM(E405:E416)</f>
        <v>3850000</v>
      </c>
      <c r="F417" s="17">
        <f t="shared" si="206"/>
        <v>3499999.9999999995</v>
      </c>
      <c r="G417" s="42">
        <f t="shared" si="206"/>
        <v>350000</v>
      </c>
      <c r="H417" s="43">
        <f t="shared" si="206"/>
        <v>1899999.9999999998</v>
      </c>
      <c r="I417" s="42">
        <f t="shared" si="206"/>
        <v>62700</v>
      </c>
      <c r="J417" s="43">
        <f t="shared" si="206"/>
        <v>0</v>
      </c>
      <c r="K417" s="42">
        <f t="shared" si="206"/>
        <v>1837299.9999999998</v>
      </c>
      <c r="L417" s="42">
        <f t="shared" si="206"/>
        <v>0</v>
      </c>
      <c r="M417" s="44"/>
      <c r="N417" s="45"/>
      <c r="O417" s="1"/>
      <c r="P417" s="3"/>
      <c r="Q417" s="1"/>
      <c r="R417" s="1"/>
      <c r="S417" s="1"/>
      <c r="T417" s="1"/>
      <c r="U417" s="4"/>
    </row>
    <row r="418" spans="1:21" ht="18.75" customHeight="1">
      <c r="A418" s="46" t="s">
        <v>37</v>
      </c>
      <c r="B418" s="47" t="s">
        <v>43</v>
      </c>
      <c r="C418" s="48">
        <f>D403</f>
        <v>3</v>
      </c>
      <c r="D418" s="47" t="s">
        <v>44</v>
      </c>
      <c r="E418" s="49"/>
      <c r="F418" s="84"/>
      <c r="G418" s="85"/>
      <c r="H418" s="49"/>
      <c r="I418" s="53" t="s">
        <v>46</v>
      </c>
      <c r="J418" s="54">
        <v>155300</v>
      </c>
      <c r="K418" s="50"/>
      <c r="L418" s="55"/>
      <c r="M418" s="63"/>
      <c r="N418" s="64"/>
      <c r="O418" s="1"/>
      <c r="P418" s="3"/>
      <c r="Q418" s="1"/>
      <c r="R418" s="1"/>
      <c r="S418" s="1"/>
      <c r="T418" s="1"/>
      <c r="U418" s="4"/>
    </row>
    <row r="419" spans="1:21" ht="16.5" customHeight="1" thickBot="1">
      <c r="A419" s="56" t="s">
        <v>48</v>
      </c>
      <c r="B419" s="57" t="s">
        <v>49</v>
      </c>
      <c r="C419" s="58">
        <f>ROUND(F417/10000,0)</f>
        <v>350</v>
      </c>
      <c r="D419" s="57" t="s">
        <v>50</v>
      </c>
      <c r="E419" s="52"/>
      <c r="F419" s="86"/>
      <c r="G419" s="87"/>
      <c r="H419" s="52"/>
      <c r="I419" s="59"/>
      <c r="J419" s="61"/>
      <c r="K419" s="59"/>
      <c r="L419" s="62"/>
      <c r="M419" s="63"/>
      <c r="N419" s="64"/>
      <c r="O419" s="1"/>
      <c r="P419" s="3"/>
      <c r="Q419" s="1"/>
      <c r="R419" s="1"/>
      <c r="S419" s="1"/>
      <c r="T419" s="1"/>
      <c r="U419" s="4"/>
    </row>
    <row r="420" spans="1:21" ht="18.75" customHeight="1" thickBot="1">
      <c r="A420" s="566" t="s">
        <v>52</v>
      </c>
      <c r="B420" s="567"/>
      <c r="C420" s="567"/>
      <c r="D420" s="568"/>
      <c r="E420" s="65"/>
      <c r="F420" s="569" t="s">
        <v>53</v>
      </c>
      <c r="G420" s="568"/>
      <c r="H420" s="66">
        <f>H417-J418</f>
        <v>1744699.9999999998</v>
      </c>
      <c r="I420" s="67">
        <f>H420*3.3%</f>
        <v>57575.1</v>
      </c>
      <c r="J420" s="68">
        <f>SUM(J417)</f>
        <v>0</v>
      </c>
      <c r="K420" s="69">
        <f>H420-I420-J420</f>
        <v>1687124.8999999997</v>
      </c>
      <c r="L420" s="70">
        <f>L417+SUM(H418:H419)+J419</f>
        <v>0</v>
      </c>
      <c r="M420" s="570">
        <f>K420+L420</f>
        <v>1687124.8999999997</v>
      </c>
      <c r="N420" s="571"/>
      <c r="O420" s="1"/>
      <c r="P420" s="3"/>
      <c r="Q420" s="1"/>
      <c r="R420" s="1"/>
      <c r="S420" s="1"/>
      <c r="T420" s="1"/>
      <c r="U420" s="4"/>
    </row>
    <row r="421" spans="1:21" s="512" customFormat="1" ht="21" customHeight="1">
      <c r="A421" s="1"/>
      <c r="B421" s="1"/>
      <c r="C421" s="1"/>
      <c r="D421" s="1"/>
      <c r="E421" s="1"/>
      <c r="F421" s="1"/>
      <c r="G421" s="1"/>
      <c r="H421" s="544"/>
      <c r="I421" s="1"/>
      <c r="J421" s="1"/>
      <c r="K421" s="1"/>
      <c r="L421" s="1"/>
      <c r="M421" s="1"/>
      <c r="N421" s="1"/>
      <c r="O421" s="1"/>
      <c r="P421" s="3"/>
      <c r="Q421" s="1"/>
      <c r="R421" s="1"/>
      <c r="S421" s="1"/>
      <c r="T421" s="1"/>
      <c r="U421" s="4"/>
    </row>
    <row r="422" spans="1:21" s="512" customFormat="1" ht="18.75" customHeight="1">
      <c r="A422" s="6" t="s">
        <v>552</v>
      </c>
      <c r="B422" s="7" t="str">
        <f>$B$34</f>
        <v>1월</v>
      </c>
      <c r="C422" s="8" t="s">
        <v>1</v>
      </c>
      <c r="D422" s="9">
        <f>COUNTIF($C424:$C439,"계약")+(COUNTIF($C424:$C439,"계약2")*2)</f>
        <v>8</v>
      </c>
      <c r="E422" s="3">
        <f>COUNTIF(C424:C439,"낙찰수수료")</f>
        <v>3</v>
      </c>
      <c r="F422" s="3"/>
      <c r="G422" s="89" t="s">
        <v>553</v>
      </c>
      <c r="H422" s="11">
        <v>0.5</v>
      </c>
      <c r="I422" s="12">
        <v>3.3000000000000002E-2</v>
      </c>
      <c r="J422" s="1"/>
      <c r="K422" s="1"/>
      <c r="L422" s="1"/>
      <c r="M422" s="1"/>
      <c r="N422" s="1"/>
      <c r="O422" s="1"/>
      <c r="P422" s="3"/>
      <c r="Q422" s="1"/>
      <c r="R422" s="1"/>
      <c r="S422" s="1"/>
      <c r="T422" s="1"/>
      <c r="U422" s="4"/>
    </row>
    <row r="423" spans="1:21" s="512" customFormat="1" ht="18.75" customHeight="1">
      <c r="A423" s="511" t="s">
        <v>3</v>
      </c>
      <c r="B423" s="14" t="s">
        <v>4</v>
      </c>
      <c r="C423" s="14" t="s">
        <v>5</v>
      </c>
      <c r="D423" s="101" t="s">
        <v>6</v>
      </c>
      <c r="E423" s="16" t="s">
        <v>7</v>
      </c>
      <c r="F423" s="17" t="s">
        <v>8</v>
      </c>
      <c r="G423" s="14" t="s">
        <v>9</v>
      </c>
      <c r="H423" s="15" t="s">
        <v>10</v>
      </c>
      <c r="I423" s="14" t="s">
        <v>11</v>
      </c>
      <c r="J423" s="15" t="s">
        <v>12</v>
      </c>
      <c r="K423" s="14" t="s">
        <v>13</v>
      </c>
      <c r="L423" s="14" t="s">
        <v>14</v>
      </c>
      <c r="M423" s="579" t="s">
        <v>15</v>
      </c>
      <c r="N423" s="577"/>
      <c r="O423" s="1"/>
      <c r="P423" s="3"/>
      <c r="Q423" s="1"/>
      <c r="R423" s="1"/>
      <c r="S423" s="1"/>
      <c r="T423" s="1"/>
      <c r="U423" s="4"/>
    </row>
    <row r="424" spans="1:21" s="512" customFormat="1" ht="18.75" customHeight="1">
      <c r="A424" s="28">
        <v>46024</v>
      </c>
      <c r="B424" s="29" t="s">
        <v>736</v>
      </c>
      <c r="C424" s="30" t="s">
        <v>685</v>
      </c>
      <c r="D424" s="516"/>
      <c r="E424" s="27">
        <v>550000</v>
      </c>
      <c r="F424" s="31">
        <f t="shared" ref="F424:F431" si="207">IF(D424="no",E424,E424/1.1)</f>
        <v>499999.99999999994</v>
      </c>
      <c r="G424" s="27">
        <f t="shared" ref="G424:G431" si="208">IF(D424="no",0,F424*0.1)</f>
        <v>50000</v>
      </c>
      <c r="H424" s="112">
        <f>IF(D424="no",0,F424*H422)</f>
        <v>249999.99999999997</v>
      </c>
      <c r="I424" s="33">
        <f t="shared" ref="I424:I439" si="209">IF(D424="no",0,H424*3.3%)</f>
        <v>8250</v>
      </c>
      <c r="J424" s="26"/>
      <c r="K424" s="27">
        <f t="shared" ref="K424:K439" si="210">IF(D424="no",0,H424-I424-J424)</f>
        <v>241749.99999999997</v>
      </c>
      <c r="L424" s="27">
        <f>IF(D424="no",F424*H422-J424,0)</f>
        <v>0</v>
      </c>
      <c r="M424" s="580"/>
      <c r="N424" s="581"/>
      <c r="O424" s="1"/>
      <c r="P424" s="3"/>
      <c r="Q424" s="141"/>
      <c r="R424" s="1"/>
      <c r="S424" s="1"/>
      <c r="T424" s="1"/>
      <c r="U424" s="4"/>
    </row>
    <row r="425" spans="1:21" s="512" customFormat="1" ht="18.75" customHeight="1">
      <c r="A425" s="39">
        <v>46029</v>
      </c>
      <c r="B425" s="29" t="s">
        <v>737</v>
      </c>
      <c r="C425" s="30" t="s">
        <v>55</v>
      </c>
      <c r="D425" s="514"/>
      <c r="E425" s="27">
        <v>220000</v>
      </c>
      <c r="F425" s="31">
        <f t="shared" si="207"/>
        <v>199999.99999999997</v>
      </c>
      <c r="G425" s="27">
        <f t="shared" si="208"/>
        <v>20000</v>
      </c>
      <c r="H425" s="112">
        <f>IF(D425="no",0,F425*H422)</f>
        <v>99999.999999999985</v>
      </c>
      <c r="I425" s="33">
        <f t="shared" si="209"/>
        <v>3299.9999999999995</v>
      </c>
      <c r="J425" s="26"/>
      <c r="K425" s="27">
        <f t="shared" si="210"/>
        <v>96699.999999999985</v>
      </c>
      <c r="L425" s="27">
        <f>IF(D425="no",F425*H422-J425,0)</f>
        <v>0</v>
      </c>
      <c r="M425" s="572"/>
      <c r="N425" s="564"/>
      <c r="O425" s="1"/>
      <c r="P425" s="3"/>
      <c r="Q425" s="141"/>
      <c r="R425" s="74"/>
      <c r="S425" s="1"/>
      <c r="T425" s="1"/>
      <c r="U425" s="4"/>
    </row>
    <row r="426" spans="1:21" s="512" customFormat="1" ht="18.75" customHeight="1">
      <c r="A426" s="39">
        <v>46032</v>
      </c>
      <c r="B426" s="29" t="s">
        <v>738</v>
      </c>
      <c r="C426" s="30" t="s">
        <v>687</v>
      </c>
      <c r="D426" s="514"/>
      <c r="E426" s="102">
        <v>550000</v>
      </c>
      <c r="F426" s="31">
        <f t="shared" si="207"/>
        <v>499999.99999999994</v>
      </c>
      <c r="G426" s="27">
        <f t="shared" si="208"/>
        <v>50000</v>
      </c>
      <c r="H426" s="112">
        <f>IF(D426="no",0,F426*H422)</f>
        <v>249999.99999999997</v>
      </c>
      <c r="I426" s="33">
        <f t="shared" si="209"/>
        <v>8250</v>
      </c>
      <c r="J426" s="26"/>
      <c r="K426" s="27">
        <f t="shared" si="210"/>
        <v>241749.99999999997</v>
      </c>
      <c r="L426" s="27">
        <f>IF(D426="no",F426*H422-J426,0)</f>
        <v>0</v>
      </c>
      <c r="M426" s="572"/>
      <c r="N426" s="564"/>
      <c r="O426" s="1"/>
      <c r="P426" s="3"/>
      <c r="Q426" s="1"/>
      <c r="R426" s="1"/>
      <c r="S426" s="1"/>
      <c r="T426" s="1"/>
      <c r="U426" s="4"/>
    </row>
    <row r="427" spans="1:21" s="512" customFormat="1" ht="18.75" customHeight="1">
      <c r="A427" s="39">
        <v>46034</v>
      </c>
      <c r="B427" s="29" t="s">
        <v>739</v>
      </c>
      <c r="C427" s="30" t="s">
        <v>687</v>
      </c>
      <c r="D427" s="516"/>
      <c r="E427" s="102">
        <v>550000</v>
      </c>
      <c r="F427" s="31">
        <f t="shared" si="207"/>
        <v>499999.99999999994</v>
      </c>
      <c r="G427" s="27">
        <f t="shared" si="208"/>
        <v>50000</v>
      </c>
      <c r="H427" s="112">
        <f>IF(D427="no",0,F427*H422)</f>
        <v>249999.99999999997</v>
      </c>
      <c r="I427" s="33">
        <f t="shared" si="209"/>
        <v>8250</v>
      </c>
      <c r="J427" s="26"/>
      <c r="K427" s="27">
        <f t="shared" si="210"/>
        <v>241749.99999999997</v>
      </c>
      <c r="L427" s="27">
        <f>IF(D427="no",F427*H422-J427,0)</f>
        <v>0</v>
      </c>
      <c r="M427" s="572"/>
      <c r="N427" s="564"/>
      <c r="O427" s="1"/>
      <c r="P427" s="3"/>
      <c r="Q427" s="1"/>
      <c r="R427" s="1"/>
      <c r="S427" s="1"/>
      <c r="T427" s="1"/>
      <c r="U427" s="4"/>
    </row>
    <row r="428" spans="1:21" s="512" customFormat="1" ht="18.75" customHeight="1">
      <c r="A428" s="28">
        <v>46038</v>
      </c>
      <c r="B428" s="29" t="s">
        <v>740</v>
      </c>
      <c r="C428" s="30" t="s">
        <v>56</v>
      </c>
      <c r="D428" s="516"/>
      <c r="E428" s="27">
        <v>2200000</v>
      </c>
      <c r="F428" s="31">
        <f t="shared" si="207"/>
        <v>1999999.9999999998</v>
      </c>
      <c r="G428" s="27">
        <f t="shared" si="208"/>
        <v>200000</v>
      </c>
      <c r="H428" s="112">
        <f>IF(D428="no",0,F428*H422)</f>
        <v>999999.99999999988</v>
      </c>
      <c r="I428" s="33">
        <f t="shared" si="209"/>
        <v>33000</v>
      </c>
      <c r="J428" s="26"/>
      <c r="K428" s="27">
        <f t="shared" si="210"/>
        <v>966999.99999999988</v>
      </c>
      <c r="L428" s="27">
        <f t="shared" ref="L428:L429" si="211">IF(D428="no",F428*H422-J428,0)</f>
        <v>0</v>
      </c>
      <c r="M428" s="563"/>
      <c r="N428" s="564"/>
      <c r="O428" s="1"/>
      <c r="P428" s="3"/>
      <c r="Q428" s="1"/>
      <c r="R428" s="1"/>
      <c r="S428" s="1"/>
      <c r="T428" s="1"/>
      <c r="U428" s="4"/>
    </row>
    <row r="429" spans="1:21" s="512" customFormat="1" ht="18.75" customHeight="1">
      <c r="A429" s="28">
        <v>46041</v>
      </c>
      <c r="B429" s="29" t="s">
        <v>741</v>
      </c>
      <c r="C429" s="30" t="s">
        <v>746</v>
      </c>
      <c r="D429" s="515"/>
      <c r="E429" s="27">
        <v>2200000</v>
      </c>
      <c r="F429" s="31">
        <f t="shared" si="207"/>
        <v>1999999.9999999998</v>
      </c>
      <c r="G429" s="27">
        <f t="shared" si="208"/>
        <v>200000</v>
      </c>
      <c r="H429" s="112">
        <f>IF(D429="no",0,F429*H422)</f>
        <v>999999.99999999988</v>
      </c>
      <c r="I429" s="33">
        <f t="shared" si="209"/>
        <v>33000</v>
      </c>
      <c r="J429" s="26"/>
      <c r="K429" s="27">
        <f t="shared" si="210"/>
        <v>966999.99999999988</v>
      </c>
      <c r="L429" s="27">
        <f t="shared" si="211"/>
        <v>0</v>
      </c>
      <c r="M429" s="572"/>
      <c r="N429" s="564"/>
      <c r="O429" s="1"/>
      <c r="P429" s="3"/>
      <c r="Q429" s="1"/>
      <c r="R429" s="1"/>
      <c r="S429" s="1"/>
      <c r="T429" s="1"/>
      <c r="U429" s="4"/>
    </row>
    <row r="430" spans="1:21" s="512" customFormat="1" ht="18.75" customHeight="1">
      <c r="A430" s="28">
        <v>46042</v>
      </c>
      <c r="B430" s="29" t="s">
        <v>742</v>
      </c>
      <c r="C430" s="30" t="s">
        <v>747</v>
      </c>
      <c r="D430" s="516"/>
      <c r="E430" s="27">
        <v>550000</v>
      </c>
      <c r="F430" s="31">
        <f t="shared" si="207"/>
        <v>499999.99999999994</v>
      </c>
      <c r="G430" s="27">
        <f t="shared" si="208"/>
        <v>50000</v>
      </c>
      <c r="H430" s="112">
        <f>IF(D430="no",0,F430*H422)</f>
        <v>249999.99999999997</v>
      </c>
      <c r="I430" s="33">
        <f t="shared" si="209"/>
        <v>8250</v>
      </c>
      <c r="J430" s="26"/>
      <c r="K430" s="27">
        <f t="shared" si="210"/>
        <v>241749.99999999997</v>
      </c>
      <c r="L430" s="27">
        <f>IF(D430="no",F430*H422-J430,0)</f>
        <v>0</v>
      </c>
      <c r="M430" s="572"/>
      <c r="N430" s="564"/>
      <c r="O430" s="1"/>
      <c r="P430" s="3"/>
      <c r="Q430" s="1"/>
      <c r="R430" s="1"/>
      <c r="S430" s="1"/>
      <c r="T430" s="1"/>
      <c r="U430" s="4"/>
    </row>
    <row r="431" spans="1:21" s="512" customFormat="1" ht="18.75" customHeight="1">
      <c r="A431" s="28">
        <v>46042</v>
      </c>
      <c r="B431" s="29" t="s">
        <v>743</v>
      </c>
      <c r="C431" s="30" t="s">
        <v>747</v>
      </c>
      <c r="D431" s="515"/>
      <c r="E431" s="27">
        <v>550000</v>
      </c>
      <c r="F431" s="31">
        <f t="shared" si="207"/>
        <v>499999.99999999994</v>
      </c>
      <c r="G431" s="27">
        <f t="shared" si="208"/>
        <v>50000</v>
      </c>
      <c r="H431" s="112">
        <f>IF(D431="no",0,F431*H422)</f>
        <v>249999.99999999997</v>
      </c>
      <c r="I431" s="33">
        <f t="shared" si="209"/>
        <v>8250</v>
      </c>
      <c r="J431" s="26"/>
      <c r="K431" s="27">
        <f t="shared" si="210"/>
        <v>241749.99999999997</v>
      </c>
      <c r="L431" s="1"/>
      <c r="M431" s="573"/>
      <c r="N431" s="564"/>
      <c r="O431" s="1"/>
      <c r="P431" s="3"/>
      <c r="Q431" s="1"/>
      <c r="R431" s="1"/>
      <c r="S431" s="1"/>
      <c r="T431" s="1"/>
      <c r="U431" s="4"/>
    </row>
    <row r="432" spans="1:21" s="548" customFormat="1" ht="18.75" customHeight="1">
      <c r="A432" s="28">
        <v>46043</v>
      </c>
      <c r="B432" s="29" t="s">
        <v>744</v>
      </c>
      <c r="C432" s="30" t="s">
        <v>55</v>
      </c>
      <c r="D432" s="547"/>
      <c r="E432" s="27">
        <v>110000</v>
      </c>
      <c r="F432" s="31">
        <f t="shared" ref="F432:F435" si="212">IF(D432="no",E432,E432/1.1)</f>
        <v>99999.999999999985</v>
      </c>
      <c r="G432" s="27">
        <f t="shared" ref="G432:G435" si="213">IF(D432="no",0,F432*0.1)</f>
        <v>10000</v>
      </c>
      <c r="H432" s="112">
        <f>IF(D432="no",0,F432*H422)</f>
        <v>49999.999999999993</v>
      </c>
      <c r="I432" s="33">
        <f t="shared" ref="I432:I435" si="214">IF(D432="no",0,H432*3.3%)</f>
        <v>1649.9999999999998</v>
      </c>
      <c r="J432" s="26"/>
      <c r="K432" s="27">
        <f t="shared" ref="K432:K435" si="215">IF(D432="no",0,H432-I432-J432)</f>
        <v>48349.999999999993</v>
      </c>
      <c r="L432" s="27">
        <f t="shared" ref="L432:L433" si="216">IF(D432="no",F432*H426-J432,0)</f>
        <v>0</v>
      </c>
      <c r="M432" s="563"/>
      <c r="N432" s="564"/>
      <c r="O432" s="1"/>
      <c r="P432" s="3"/>
      <c r="Q432" s="1"/>
      <c r="R432" s="1"/>
      <c r="S432" s="1"/>
      <c r="T432" s="1"/>
      <c r="U432" s="4"/>
    </row>
    <row r="433" spans="1:21" s="548" customFormat="1" ht="18.75" customHeight="1">
      <c r="A433" s="28">
        <v>46045</v>
      </c>
      <c r="B433" s="29" t="s">
        <v>745</v>
      </c>
      <c r="C433" s="30" t="s">
        <v>687</v>
      </c>
      <c r="D433" s="549"/>
      <c r="E433" s="27">
        <v>550000</v>
      </c>
      <c r="F433" s="31">
        <f t="shared" si="212"/>
        <v>499999.99999999994</v>
      </c>
      <c r="G433" s="27">
        <f t="shared" si="213"/>
        <v>50000</v>
      </c>
      <c r="H433" s="112">
        <f>IF(D433="no",0,F433*H422)</f>
        <v>249999.99999999997</v>
      </c>
      <c r="I433" s="33">
        <f t="shared" si="214"/>
        <v>8250</v>
      </c>
      <c r="J433" s="26"/>
      <c r="K433" s="27">
        <f t="shared" si="215"/>
        <v>241749.99999999997</v>
      </c>
      <c r="L433" s="27">
        <f t="shared" si="216"/>
        <v>0</v>
      </c>
      <c r="M433" s="572"/>
      <c r="N433" s="564"/>
      <c r="O433" s="1"/>
      <c r="P433" s="3"/>
      <c r="Q433" s="1"/>
      <c r="R433" s="1"/>
      <c r="S433" s="1"/>
      <c r="T433" s="1"/>
      <c r="U433" s="4"/>
    </row>
    <row r="434" spans="1:21" s="548" customFormat="1" ht="18.75" customHeight="1">
      <c r="A434" s="28">
        <v>46050</v>
      </c>
      <c r="B434" s="29" t="s">
        <v>739</v>
      </c>
      <c r="C434" s="30" t="s">
        <v>56</v>
      </c>
      <c r="D434" s="547"/>
      <c r="E434" s="27">
        <v>2200000</v>
      </c>
      <c r="F434" s="31">
        <f t="shared" si="212"/>
        <v>1999999.9999999998</v>
      </c>
      <c r="G434" s="27">
        <f t="shared" si="213"/>
        <v>200000</v>
      </c>
      <c r="H434" s="112">
        <f>IF(D434="no",0,F434*H422)</f>
        <v>999999.99999999988</v>
      </c>
      <c r="I434" s="33">
        <f t="shared" si="214"/>
        <v>33000</v>
      </c>
      <c r="J434" s="26"/>
      <c r="K434" s="27">
        <f t="shared" si="215"/>
        <v>966999.99999999988</v>
      </c>
      <c r="L434" s="27">
        <f>IF(D434="no",F434*H426-J434,0)</f>
        <v>0</v>
      </c>
      <c r="M434" s="572"/>
      <c r="N434" s="564"/>
      <c r="O434" s="1"/>
      <c r="P434" s="3"/>
      <c r="Q434" s="1"/>
      <c r="R434" s="1"/>
      <c r="S434" s="1"/>
      <c r="T434" s="1"/>
      <c r="U434" s="4"/>
    </row>
    <row r="435" spans="1:21" s="548" customFormat="1" ht="18.75" customHeight="1">
      <c r="A435" s="28">
        <v>46050</v>
      </c>
      <c r="B435" s="29" t="s">
        <v>745</v>
      </c>
      <c r="C435" s="30" t="s">
        <v>56</v>
      </c>
      <c r="D435" s="549"/>
      <c r="E435" s="27">
        <v>4722300</v>
      </c>
      <c r="F435" s="31">
        <f t="shared" si="212"/>
        <v>4293000</v>
      </c>
      <c r="G435" s="27">
        <f t="shared" si="213"/>
        <v>429300</v>
      </c>
      <c r="H435" s="112">
        <f>IF(D435="no",0,F435*H422)</f>
        <v>2146500</v>
      </c>
      <c r="I435" s="33">
        <f t="shared" si="214"/>
        <v>70834.5</v>
      </c>
      <c r="J435" s="26"/>
      <c r="K435" s="27">
        <f t="shared" si="215"/>
        <v>2075665.5</v>
      </c>
      <c r="L435" s="1"/>
      <c r="M435" s="573"/>
      <c r="N435" s="564"/>
      <c r="O435" s="1"/>
      <c r="P435" s="3"/>
      <c r="Q435" s="1"/>
      <c r="R435" s="1"/>
      <c r="S435" s="1"/>
      <c r="T435" s="1"/>
      <c r="U435" s="4"/>
    </row>
    <row r="436" spans="1:21" s="512" customFormat="1" ht="18.75" customHeight="1">
      <c r="A436" s="39"/>
      <c r="B436" s="29"/>
      <c r="C436" s="30"/>
      <c r="D436" s="516"/>
      <c r="E436" s="27"/>
      <c r="F436" s="31"/>
      <c r="G436" s="27"/>
      <c r="H436" s="37">
        <v>0</v>
      </c>
      <c r="I436" s="33">
        <f t="shared" si="209"/>
        <v>0</v>
      </c>
      <c r="J436" s="26"/>
      <c r="K436" s="27">
        <f t="shared" si="210"/>
        <v>0</v>
      </c>
      <c r="L436" s="27">
        <f>IF(D436="no",F436*H204-J436,0)</f>
        <v>0</v>
      </c>
      <c r="M436" s="572"/>
      <c r="N436" s="564"/>
      <c r="O436" s="1"/>
      <c r="P436" s="3"/>
      <c r="Q436" s="1"/>
      <c r="R436" s="1"/>
      <c r="S436" s="1"/>
      <c r="T436" s="1"/>
      <c r="U436" s="4"/>
    </row>
    <row r="437" spans="1:21" s="512" customFormat="1" ht="18.75" customHeight="1">
      <c r="A437" s="39" t="s">
        <v>616</v>
      </c>
      <c r="B437" s="29" t="s">
        <v>35</v>
      </c>
      <c r="C437" s="30"/>
      <c r="D437" s="515"/>
      <c r="E437" s="27"/>
      <c r="F437" s="31">
        <f t="shared" ref="F437" si="217">IF(D437="no",E437,E437/1.1)</f>
        <v>0</v>
      </c>
      <c r="G437" s="27">
        <f t="shared" ref="G437" si="218">IF(D437="no",0,F437*0.1)</f>
        <v>0</v>
      </c>
      <c r="H437" s="32">
        <v>0</v>
      </c>
      <c r="I437" s="33">
        <f t="shared" si="209"/>
        <v>0</v>
      </c>
      <c r="J437" s="26"/>
      <c r="K437" s="27">
        <f t="shared" si="210"/>
        <v>0</v>
      </c>
      <c r="L437" s="1"/>
      <c r="M437" s="574"/>
      <c r="N437" s="564"/>
      <c r="O437" s="1"/>
      <c r="P437" s="3"/>
      <c r="Q437" s="1"/>
      <c r="R437" s="1"/>
      <c r="S437" s="1"/>
      <c r="T437" s="1"/>
      <c r="U437" s="4"/>
    </row>
    <row r="438" spans="1:21" s="512" customFormat="1" ht="18.75" customHeight="1">
      <c r="A438" s="39" t="s">
        <v>616</v>
      </c>
      <c r="B438" s="29" t="s">
        <v>404</v>
      </c>
      <c r="C438" s="30"/>
      <c r="D438" s="515"/>
      <c r="E438" s="27"/>
      <c r="F438" s="31"/>
      <c r="G438" s="27"/>
      <c r="H438" s="32">
        <v>150000</v>
      </c>
      <c r="I438" s="33">
        <f t="shared" si="209"/>
        <v>4950</v>
      </c>
      <c r="J438" s="26"/>
      <c r="K438" s="27">
        <f t="shared" si="210"/>
        <v>145050</v>
      </c>
      <c r="L438" s="1"/>
      <c r="M438" s="572"/>
      <c r="N438" s="564"/>
      <c r="O438" s="1"/>
      <c r="P438" s="3"/>
      <c r="Q438" s="1"/>
      <c r="R438" s="1"/>
      <c r="S438" s="1"/>
      <c r="T438" s="1"/>
      <c r="U438" s="4"/>
    </row>
    <row r="439" spans="1:21" s="512" customFormat="1" ht="18.75" customHeight="1">
      <c r="A439" s="39" t="s">
        <v>616</v>
      </c>
      <c r="B439" s="29" t="s">
        <v>37</v>
      </c>
      <c r="C439" s="30"/>
      <c r="D439" s="515"/>
      <c r="E439" s="27"/>
      <c r="F439" s="31">
        <f t="shared" ref="F439" si="219">IF(D439="no",E439,E439/1.1)</f>
        <v>0</v>
      </c>
      <c r="G439" s="27">
        <f t="shared" ref="G439" si="220">IF(D439="no",0,F439*0.1)</f>
        <v>0</v>
      </c>
      <c r="H439" s="37">
        <v>0</v>
      </c>
      <c r="I439" s="33">
        <f t="shared" si="209"/>
        <v>0</v>
      </c>
      <c r="J439" s="26"/>
      <c r="K439" s="27">
        <f t="shared" si="210"/>
        <v>0</v>
      </c>
      <c r="L439" s="27"/>
      <c r="M439" s="572"/>
      <c r="N439" s="564"/>
      <c r="O439" s="1"/>
      <c r="P439" s="3"/>
      <c r="Q439" s="1"/>
      <c r="R439" s="1"/>
      <c r="S439" s="1"/>
      <c r="T439" s="1"/>
      <c r="U439" s="4"/>
    </row>
    <row r="440" spans="1:21" s="512" customFormat="1" ht="18.75" customHeight="1">
      <c r="A440" s="575" t="s">
        <v>42</v>
      </c>
      <c r="B440" s="576"/>
      <c r="C440" s="576"/>
      <c r="D440" s="577"/>
      <c r="E440" s="42">
        <f t="shared" ref="E440:L440" si="221">SUM(E424:E439)</f>
        <v>14952300</v>
      </c>
      <c r="F440" s="17">
        <f t="shared" si="221"/>
        <v>13592999.999999998</v>
      </c>
      <c r="G440" s="42">
        <f t="shared" si="221"/>
        <v>1359300</v>
      </c>
      <c r="H440" s="43">
        <f t="shared" si="221"/>
        <v>6946499.9999999991</v>
      </c>
      <c r="I440" s="42">
        <f t="shared" si="221"/>
        <v>229234.5</v>
      </c>
      <c r="J440" s="43">
        <f t="shared" si="221"/>
        <v>0</v>
      </c>
      <c r="K440" s="42">
        <f t="shared" si="221"/>
        <v>6717265.4999999991</v>
      </c>
      <c r="L440" s="42">
        <f t="shared" si="221"/>
        <v>0</v>
      </c>
      <c r="M440" s="44"/>
      <c r="N440" s="45"/>
      <c r="O440" s="1"/>
      <c r="P440" s="3"/>
      <c r="Q440" s="1"/>
      <c r="R440" s="1"/>
      <c r="S440" s="1"/>
      <c r="T440" s="1"/>
      <c r="U440" s="4"/>
    </row>
    <row r="441" spans="1:21" s="512" customFormat="1" ht="18.75" customHeight="1">
      <c r="A441" s="46" t="s">
        <v>37</v>
      </c>
      <c r="B441" s="47" t="s">
        <v>43</v>
      </c>
      <c r="C441" s="48">
        <f>D422</f>
        <v>8</v>
      </c>
      <c r="D441" s="47" t="s">
        <v>44</v>
      </c>
      <c r="E441" s="49"/>
      <c r="F441" s="84"/>
      <c r="G441" s="85"/>
      <c r="H441" s="49"/>
      <c r="I441" s="53" t="s">
        <v>46</v>
      </c>
      <c r="J441" s="54">
        <v>126900</v>
      </c>
      <c r="K441" s="517"/>
      <c r="L441" s="55"/>
      <c r="M441" s="63"/>
      <c r="N441" s="64"/>
      <c r="O441" s="1"/>
      <c r="P441" s="3"/>
      <c r="Q441" s="1"/>
      <c r="R441" s="1"/>
      <c r="S441" s="1"/>
      <c r="T441" s="1"/>
      <c r="U441" s="4"/>
    </row>
    <row r="442" spans="1:21" s="512" customFormat="1" ht="16.5" customHeight="1" thickBot="1">
      <c r="A442" s="56" t="s">
        <v>48</v>
      </c>
      <c r="B442" s="57" t="s">
        <v>49</v>
      </c>
      <c r="C442" s="58">
        <f>ROUND(F440/10000,0)</f>
        <v>1359</v>
      </c>
      <c r="D442" s="57" t="s">
        <v>50</v>
      </c>
      <c r="E442" s="52"/>
      <c r="F442" s="86"/>
      <c r="G442" s="87"/>
      <c r="H442" s="52"/>
      <c r="I442" s="513"/>
      <c r="J442" s="61"/>
      <c r="K442" s="513"/>
      <c r="L442" s="62"/>
      <c r="M442" s="63"/>
      <c r="N442" s="64"/>
      <c r="O442" s="1"/>
      <c r="P442" s="3"/>
      <c r="Q442" s="1"/>
      <c r="R442" s="1"/>
      <c r="S442" s="1"/>
      <c r="T442" s="1"/>
      <c r="U442" s="4"/>
    </row>
    <row r="443" spans="1:21" s="512" customFormat="1" ht="18.75" customHeight="1" thickBot="1">
      <c r="A443" s="566" t="s">
        <v>52</v>
      </c>
      <c r="B443" s="567"/>
      <c r="C443" s="567"/>
      <c r="D443" s="568"/>
      <c r="E443" s="65"/>
      <c r="F443" s="569" t="s">
        <v>53</v>
      </c>
      <c r="G443" s="568"/>
      <c r="H443" s="66">
        <f>H440-J441</f>
        <v>6819599.9999999991</v>
      </c>
      <c r="I443" s="67">
        <f>H443*3.3%</f>
        <v>225046.8</v>
      </c>
      <c r="J443" s="68">
        <f>SUM(J440)</f>
        <v>0</v>
      </c>
      <c r="K443" s="69">
        <f>H443-I443-J443</f>
        <v>6594553.1999999993</v>
      </c>
      <c r="L443" s="70">
        <f>L440+SUM(H441:H442)+J442</f>
        <v>0</v>
      </c>
      <c r="M443" s="570">
        <f>K443+L443</f>
        <v>6594553.1999999993</v>
      </c>
      <c r="N443" s="571"/>
      <c r="O443" s="1"/>
      <c r="P443" s="3"/>
      <c r="Q443" s="1"/>
      <c r="R443" s="1"/>
      <c r="S443" s="1"/>
      <c r="T443" s="1"/>
      <c r="U443" s="4"/>
    </row>
    <row r="444" spans="1:21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4"/>
    </row>
    <row r="445" spans="1:21" ht="18.75" customHeight="1">
      <c r="A445" s="6" t="s">
        <v>93</v>
      </c>
      <c r="B445" s="7" t="str">
        <f>$B$34</f>
        <v>1월</v>
      </c>
      <c r="C445" s="8" t="s">
        <v>1</v>
      </c>
      <c r="D445" s="9">
        <f>COUNTIF($C447:$C474,"계약")+(COUNTIF($C447:$C474,"계약2")*2)</f>
        <v>3</v>
      </c>
      <c r="E445" s="3">
        <f>COUNTIF(C447:C474,"낙찰수수료")</f>
        <v>0</v>
      </c>
      <c r="F445" s="10" t="s">
        <v>503</v>
      </c>
      <c r="G445" s="1" t="s">
        <v>94</v>
      </c>
      <c r="H445" s="11">
        <v>0.5</v>
      </c>
      <c r="I445" s="12">
        <v>3.3000000000000002E-2</v>
      </c>
      <c r="J445" s="1"/>
      <c r="K445" s="1"/>
      <c r="L445" s="1"/>
      <c r="M445" s="1"/>
      <c r="N445" s="1"/>
      <c r="O445" s="1"/>
      <c r="P445" s="3"/>
      <c r="Q445" s="1"/>
      <c r="R445" s="1"/>
      <c r="S445" s="1"/>
      <c r="T445" s="1"/>
      <c r="U445" s="4"/>
    </row>
    <row r="446" spans="1:21" ht="18.75" customHeight="1">
      <c r="A446" s="13" t="s">
        <v>3</v>
      </c>
      <c r="B446" s="14" t="s">
        <v>4</v>
      </c>
      <c r="C446" s="14" t="s">
        <v>5</v>
      </c>
      <c r="D446" s="15" t="s">
        <v>6</v>
      </c>
      <c r="E446" s="16" t="s">
        <v>7</v>
      </c>
      <c r="F446" s="17" t="s">
        <v>8</v>
      </c>
      <c r="G446" s="14" t="s">
        <v>9</v>
      </c>
      <c r="H446" s="15" t="s">
        <v>10</v>
      </c>
      <c r="I446" s="14" t="s">
        <v>11</v>
      </c>
      <c r="J446" s="15" t="s">
        <v>12</v>
      </c>
      <c r="K446" s="14" t="s">
        <v>13</v>
      </c>
      <c r="L446" s="14" t="s">
        <v>14</v>
      </c>
      <c r="M446" s="579" t="s">
        <v>15</v>
      </c>
      <c r="N446" s="577"/>
      <c r="O446" s="1"/>
      <c r="P446" s="3"/>
      <c r="Q446" s="1"/>
      <c r="R446" s="1"/>
      <c r="S446" s="1"/>
      <c r="T446" s="1"/>
      <c r="U446" s="4"/>
    </row>
    <row r="447" spans="1:21" ht="18.75" customHeight="1">
      <c r="A447" s="28">
        <v>46031</v>
      </c>
      <c r="B447" s="29" t="s">
        <v>803</v>
      </c>
      <c r="C447" s="30" t="s">
        <v>672</v>
      </c>
      <c r="D447" s="21"/>
      <c r="E447" s="136">
        <v>24750000</v>
      </c>
      <c r="F447" s="31">
        <f t="shared" ref="F447:F466" si="222">IF(D447="no",E447,E447/1.1)</f>
        <v>22500000</v>
      </c>
      <c r="G447" s="27">
        <f t="shared" ref="G447:G465" si="223">IF(D447="no",0,F447*0.1)</f>
        <v>2250000</v>
      </c>
      <c r="H447" s="32">
        <f t="shared" ref="H447:H452" si="224">IF(D447="no",0,F447*H$445)</f>
        <v>11250000</v>
      </c>
      <c r="I447" s="33">
        <f t="shared" ref="I447:I461" si="225">IF(D447="no",0,H447*3.3%)</f>
        <v>371250</v>
      </c>
      <c r="J447" s="26"/>
      <c r="K447" s="27">
        <f t="shared" ref="K447:K464" si="226">IF(D447="no",0,H447-I447-J447)</f>
        <v>10878750</v>
      </c>
      <c r="L447" s="40">
        <f t="shared" ref="L447:L464" si="227">IF(D447="no",F447*$H$445-J447,0)</f>
        <v>0</v>
      </c>
      <c r="M447" s="578" t="s">
        <v>29</v>
      </c>
      <c r="N447" s="564"/>
      <c r="O447" s="1"/>
      <c r="P447" s="3"/>
      <c r="Q447" s="1"/>
      <c r="R447" s="1"/>
      <c r="S447" s="1"/>
      <c r="T447" s="1"/>
      <c r="U447" s="4"/>
    </row>
    <row r="448" spans="1:21" ht="18.75" customHeight="1">
      <c r="A448" s="28">
        <v>46038</v>
      </c>
      <c r="B448" s="29" t="s">
        <v>589</v>
      </c>
      <c r="C448" s="30" t="s">
        <v>55</v>
      </c>
      <c r="D448" s="96"/>
      <c r="E448" s="27">
        <v>110000</v>
      </c>
      <c r="F448" s="31">
        <f t="shared" si="222"/>
        <v>99999.999999999985</v>
      </c>
      <c r="G448" s="27">
        <f t="shared" si="223"/>
        <v>10000</v>
      </c>
      <c r="H448" s="32">
        <f t="shared" si="224"/>
        <v>49999.999999999993</v>
      </c>
      <c r="I448" s="33">
        <f t="shared" si="225"/>
        <v>1649.9999999999998</v>
      </c>
      <c r="J448" s="97"/>
      <c r="K448" s="27">
        <f t="shared" si="226"/>
        <v>48349.999999999993</v>
      </c>
      <c r="L448" s="40">
        <f t="shared" si="227"/>
        <v>0</v>
      </c>
      <c r="M448" s="578" t="s">
        <v>507</v>
      </c>
      <c r="N448" s="564"/>
      <c r="O448" s="1"/>
      <c r="P448" s="3"/>
      <c r="Q448" s="1"/>
      <c r="R448" s="1"/>
      <c r="S448" s="1"/>
      <c r="T448" s="1"/>
      <c r="U448" s="4"/>
    </row>
    <row r="449" spans="1:21" ht="18.75" customHeight="1">
      <c r="A449" s="522">
        <v>46043</v>
      </c>
      <c r="B449" s="523" t="s">
        <v>802</v>
      </c>
      <c r="C449" s="524" t="s">
        <v>357</v>
      </c>
      <c r="D449" s="525"/>
      <c r="E449" s="526">
        <v>550000</v>
      </c>
      <c r="F449" s="31">
        <f t="shared" si="222"/>
        <v>499999.99999999994</v>
      </c>
      <c r="G449" s="27">
        <f t="shared" si="223"/>
        <v>50000</v>
      </c>
      <c r="H449" s="32">
        <f t="shared" si="224"/>
        <v>249999.99999999997</v>
      </c>
      <c r="I449" s="33">
        <f t="shared" si="225"/>
        <v>8250</v>
      </c>
      <c r="J449" s="26"/>
      <c r="K449" s="27">
        <f t="shared" si="226"/>
        <v>241749.99999999997</v>
      </c>
      <c r="L449" s="40">
        <f t="shared" si="227"/>
        <v>0</v>
      </c>
      <c r="M449" s="565"/>
      <c r="N449" s="564"/>
      <c r="O449" s="1"/>
      <c r="P449" s="3"/>
      <c r="Q449" s="1"/>
      <c r="R449" s="1"/>
      <c r="S449" s="1"/>
      <c r="T449" s="1"/>
      <c r="U449" s="4"/>
    </row>
    <row r="450" spans="1:21" ht="18.75" customHeight="1">
      <c r="A450" s="28">
        <v>46051</v>
      </c>
      <c r="B450" s="29" t="s">
        <v>804</v>
      </c>
      <c r="C450" s="30" t="s">
        <v>357</v>
      </c>
      <c r="D450" s="21"/>
      <c r="E450" s="33">
        <v>1100000</v>
      </c>
      <c r="F450" s="31">
        <f t="shared" si="222"/>
        <v>999999.99999999988</v>
      </c>
      <c r="G450" s="27">
        <f t="shared" si="223"/>
        <v>100000</v>
      </c>
      <c r="H450" s="32">
        <f t="shared" si="224"/>
        <v>499999.99999999994</v>
      </c>
      <c r="I450" s="33">
        <f t="shared" si="225"/>
        <v>16500</v>
      </c>
      <c r="J450" s="26"/>
      <c r="K450" s="27">
        <f t="shared" si="226"/>
        <v>483499.99999999994</v>
      </c>
      <c r="L450" s="40">
        <f t="shared" si="227"/>
        <v>0</v>
      </c>
      <c r="M450" s="572"/>
      <c r="N450" s="564"/>
      <c r="O450" s="1"/>
      <c r="P450" s="3"/>
      <c r="Q450" s="1"/>
      <c r="R450" s="1"/>
      <c r="S450" s="1"/>
      <c r="T450" s="1"/>
      <c r="U450" s="4"/>
    </row>
    <row r="451" spans="1:21" ht="18.75" customHeight="1">
      <c r="A451" s="28">
        <v>46052</v>
      </c>
      <c r="B451" s="29" t="s">
        <v>805</v>
      </c>
      <c r="C451" s="30" t="s">
        <v>357</v>
      </c>
      <c r="D451" s="21"/>
      <c r="E451" s="526">
        <v>1100000</v>
      </c>
      <c r="F451" s="31">
        <f t="shared" si="222"/>
        <v>999999.99999999988</v>
      </c>
      <c r="G451" s="27">
        <f t="shared" si="223"/>
        <v>100000</v>
      </c>
      <c r="H451" s="32">
        <f t="shared" si="224"/>
        <v>499999.99999999994</v>
      </c>
      <c r="I451" s="33">
        <f t="shared" si="225"/>
        <v>16500</v>
      </c>
      <c r="J451" s="26"/>
      <c r="K451" s="27">
        <f t="shared" si="226"/>
        <v>483499.99999999994</v>
      </c>
      <c r="L451" s="40">
        <f t="shared" si="227"/>
        <v>0</v>
      </c>
      <c r="M451" s="563"/>
      <c r="N451" s="564"/>
      <c r="O451" s="1"/>
      <c r="P451" s="3"/>
      <c r="Q451" s="1"/>
      <c r="R451" s="1"/>
      <c r="S451" s="1"/>
      <c r="T451" s="1"/>
      <c r="U451" s="4"/>
    </row>
    <row r="452" spans="1:21" ht="18.75" hidden="1" customHeight="1">
      <c r="A452" s="28"/>
      <c r="B452" s="29"/>
      <c r="C452" s="30"/>
      <c r="D452" s="21"/>
      <c r="E452" s="33"/>
      <c r="F452" s="31">
        <f t="shared" si="222"/>
        <v>0</v>
      </c>
      <c r="G452" s="27">
        <f t="shared" si="223"/>
        <v>0</v>
      </c>
      <c r="H452" s="32">
        <f t="shared" si="224"/>
        <v>0</v>
      </c>
      <c r="I452" s="33">
        <f t="shared" si="225"/>
        <v>0</v>
      </c>
      <c r="J452" s="26"/>
      <c r="K452" s="27">
        <f t="shared" si="226"/>
        <v>0</v>
      </c>
      <c r="L452" s="40">
        <f t="shared" si="227"/>
        <v>0</v>
      </c>
      <c r="M452" s="563"/>
      <c r="N452" s="564"/>
      <c r="O452" s="1"/>
      <c r="P452" s="3"/>
      <c r="Q452" s="1"/>
      <c r="R452" s="1"/>
      <c r="S452" s="1"/>
      <c r="T452" s="1"/>
      <c r="U452" s="4"/>
    </row>
    <row r="453" spans="1:21" s="263" customFormat="1" ht="18.75" hidden="1" customHeight="1">
      <c r="A453" s="28"/>
      <c r="B453" s="29"/>
      <c r="C453" s="30"/>
      <c r="D453" s="262"/>
      <c r="E453" s="33"/>
      <c r="F453" s="31">
        <f t="shared" si="222"/>
        <v>0</v>
      </c>
      <c r="G453" s="27">
        <f t="shared" ref="G453" si="228">IF(D453="no",0,F453*0.1)</f>
        <v>0</v>
      </c>
      <c r="H453" s="32">
        <f t="shared" ref="H453:H458" si="229">IF(D453="no",0,F453*H$445)</f>
        <v>0</v>
      </c>
      <c r="I453" s="33">
        <f t="shared" si="225"/>
        <v>0</v>
      </c>
      <c r="J453" s="26"/>
      <c r="K453" s="27">
        <f t="shared" ref="K453" si="230">IF(D453="no",0,H453-I453-J453)</f>
        <v>0</v>
      </c>
      <c r="L453" s="40">
        <f t="shared" ref="L453" si="231">IF(D453="no",F453*$H$445-J453,0)</f>
        <v>0</v>
      </c>
      <c r="M453" s="608"/>
      <c r="N453" s="564"/>
      <c r="O453" s="1"/>
      <c r="P453" s="3"/>
      <c r="Q453" s="1"/>
      <c r="R453" s="1"/>
      <c r="S453" s="1"/>
      <c r="T453" s="1"/>
      <c r="U453" s="4"/>
    </row>
    <row r="454" spans="1:21" ht="18.75" hidden="1" customHeight="1">
      <c r="A454" s="28"/>
      <c r="B454" s="29"/>
      <c r="C454" s="30"/>
      <c r="D454" s="21"/>
      <c r="E454" s="33"/>
      <c r="F454" s="31">
        <f t="shared" si="222"/>
        <v>0</v>
      </c>
      <c r="G454" s="27">
        <f t="shared" si="223"/>
        <v>0</v>
      </c>
      <c r="H454" s="32">
        <f t="shared" si="229"/>
        <v>0</v>
      </c>
      <c r="I454" s="33">
        <f t="shared" si="225"/>
        <v>0</v>
      </c>
      <c r="J454" s="26"/>
      <c r="K454" s="27">
        <f t="shared" si="226"/>
        <v>0</v>
      </c>
      <c r="L454" s="40">
        <f t="shared" si="227"/>
        <v>0</v>
      </c>
      <c r="M454" s="608"/>
      <c r="N454" s="564"/>
      <c r="O454" s="1"/>
      <c r="P454" s="3"/>
      <c r="Q454" s="1"/>
      <c r="R454" s="1"/>
      <c r="S454" s="1"/>
      <c r="T454" s="1"/>
      <c r="U454" s="4"/>
    </row>
    <row r="455" spans="1:21" ht="18.75" hidden="1" customHeight="1">
      <c r="A455" s="28"/>
      <c r="B455" s="29"/>
      <c r="C455" s="30"/>
      <c r="D455" s="21"/>
      <c r="E455" s="33"/>
      <c r="F455" s="31">
        <f t="shared" si="222"/>
        <v>0</v>
      </c>
      <c r="G455" s="27">
        <f t="shared" si="223"/>
        <v>0</v>
      </c>
      <c r="H455" s="32">
        <f t="shared" si="229"/>
        <v>0</v>
      </c>
      <c r="I455" s="33">
        <f t="shared" si="225"/>
        <v>0</v>
      </c>
      <c r="J455" s="26"/>
      <c r="K455" s="27">
        <f t="shared" si="226"/>
        <v>0</v>
      </c>
      <c r="L455" s="40">
        <f t="shared" si="227"/>
        <v>0</v>
      </c>
      <c r="M455" s="578"/>
      <c r="N455" s="564"/>
      <c r="O455" s="1"/>
      <c r="P455" s="3"/>
      <c r="Q455" s="1"/>
      <c r="R455" s="1"/>
      <c r="S455" s="1"/>
      <c r="T455" s="1"/>
      <c r="U455" s="4"/>
    </row>
    <row r="456" spans="1:21" ht="18.75" hidden="1" customHeight="1">
      <c r="A456" s="28"/>
      <c r="B456" s="29"/>
      <c r="C456" s="30"/>
      <c r="D456" s="21"/>
      <c r="E456" s="33"/>
      <c r="F456" s="31">
        <f t="shared" si="222"/>
        <v>0</v>
      </c>
      <c r="G456" s="27">
        <f t="shared" si="223"/>
        <v>0</v>
      </c>
      <c r="H456" s="32">
        <f t="shared" si="229"/>
        <v>0</v>
      </c>
      <c r="I456" s="33">
        <f t="shared" si="225"/>
        <v>0</v>
      </c>
      <c r="J456" s="26"/>
      <c r="K456" s="27">
        <f t="shared" si="226"/>
        <v>0</v>
      </c>
      <c r="L456" s="40">
        <f t="shared" si="227"/>
        <v>0</v>
      </c>
      <c r="M456" s="608"/>
      <c r="N456" s="564"/>
      <c r="O456" s="1"/>
      <c r="P456" s="3"/>
      <c r="Q456" s="1"/>
      <c r="R456" s="1"/>
      <c r="S456" s="1"/>
      <c r="T456" s="1"/>
      <c r="U456" s="4"/>
    </row>
    <row r="457" spans="1:21" ht="18.75" hidden="1" customHeight="1">
      <c r="A457" s="28"/>
      <c r="B457" s="29"/>
      <c r="C457" s="30"/>
      <c r="D457" s="21"/>
      <c r="E457" s="33"/>
      <c r="F457" s="31">
        <f t="shared" si="222"/>
        <v>0</v>
      </c>
      <c r="G457" s="27">
        <f t="shared" si="223"/>
        <v>0</v>
      </c>
      <c r="H457" s="32">
        <f t="shared" si="229"/>
        <v>0</v>
      </c>
      <c r="I457" s="33">
        <f t="shared" si="225"/>
        <v>0</v>
      </c>
      <c r="J457" s="26"/>
      <c r="K457" s="27">
        <f t="shared" si="226"/>
        <v>0</v>
      </c>
      <c r="L457" s="40">
        <f t="shared" si="227"/>
        <v>0</v>
      </c>
      <c r="M457" s="563"/>
      <c r="N457" s="564"/>
      <c r="O457" s="1"/>
      <c r="P457" s="3"/>
      <c r="Q457" s="1"/>
      <c r="R457" s="1"/>
      <c r="S457" s="1"/>
      <c r="T457" s="1"/>
      <c r="U457" s="4"/>
    </row>
    <row r="458" spans="1:21" s="116" customFormat="1" ht="18.75" hidden="1" customHeight="1">
      <c r="A458" s="121"/>
      <c r="B458" s="108"/>
      <c r="C458" s="109"/>
      <c r="D458" s="110"/>
      <c r="E458" s="113"/>
      <c r="F458" s="31">
        <f t="shared" si="222"/>
        <v>0</v>
      </c>
      <c r="G458" s="111">
        <f t="shared" si="223"/>
        <v>0</v>
      </c>
      <c r="H458" s="112">
        <f t="shared" si="229"/>
        <v>0</v>
      </c>
      <c r="I458" s="113">
        <f t="shared" si="225"/>
        <v>0</v>
      </c>
      <c r="J458" s="114"/>
      <c r="K458" s="111">
        <f t="shared" si="226"/>
        <v>0</v>
      </c>
      <c r="L458" s="357">
        <f t="shared" si="227"/>
        <v>0</v>
      </c>
      <c r="M458" s="653"/>
      <c r="N458" s="587"/>
      <c r="O458" s="88"/>
      <c r="P458" s="72"/>
      <c r="Q458" s="88"/>
      <c r="R458" s="88"/>
      <c r="S458" s="88"/>
      <c r="T458" s="88"/>
      <c r="U458" s="115"/>
    </row>
    <row r="459" spans="1:21" ht="18.75" hidden="1" customHeight="1">
      <c r="A459" s="28"/>
      <c r="B459" s="29"/>
      <c r="C459" s="30"/>
      <c r="D459" s="21"/>
      <c r="E459" s="33"/>
      <c r="F459" s="31">
        <f t="shared" si="222"/>
        <v>0</v>
      </c>
      <c r="G459" s="27">
        <f t="shared" si="223"/>
        <v>0</v>
      </c>
      <c r="H459" s="32">
        <f t="shared" ref="H459:H460" si="232">IF(D459="no",0,F459*H$445)</f>
        <v>0</v>
      </c>
      <c r="I459" s="33">
        <f t="shared" si="225"/>
        <v>0</v>
      </c>
      <c r="J459" s="26"/>
      <c r="K459" s="27">
        <f t="shared" si="226"/>
        <v>0</v>
      </c>
      <c r="L459" s="40">
        <f t="shared" si="227"/>
        <v>0</v>
      </c>
      <c r="M459" s="613"/>
      <c r="N459" s="564"/>
      <c r="O459" s="1"/>
      <c r="P459" s="3"/>
      <c r="Q459" s="1"/>
      <c r="R459" s="1"/>
      <c r="S459" s="1"/>
      <c r="T459" s="1"/>
      <c r="U459" s="4"/>
    </row>
    <row r="460" spans="1:21" ht="18.75" hidden="1" customHeight="1">
      <c r="A460" s="28"/>
      <c r="B460" s="29"/>
      <c r="C460" s="30"/>
      <c r="D460" s="21"/>
      <c r="E460" s="33"/>
      <c r="F460" s="31">
        <f t="shared" si="222"/>
        <v>0</v>
      </c>
      <c r="G460" s="27">
        <f t="shared" si="223"/>
        <v>0</v>
      </c>
      <c r="H460" s="32">
        <f t="shared" si="232"/>
        <v>0</v>
      </c>
      <c r="I460" s="33">
        <f t="shared" si="225"/>
        <v>0</v>
      </c>
      <c r="J460" s="26"/>
      <c r="K460" s="27">
        <f t="shared" si="226"/>
        <v>0</v>
      </c>
      <c r="L460" s="40">
        <f t="shared" si="227"/>
        <v>0</v>
      </c>
      <c r="M460" s="572"/>
      <c r="N460" s="564"/>
      <c r="O460" s="1"/>
      <c r="P460" s="3"/>
      <c r="Q460" s="1"/>
      <c r="R460" s="1"/>
      <c r="S460" s="1"/>
      <c r="T460" s="1"/>
      <c r="U460" s="4"/>
    </row>
    <row r="461" spans="1:21" ht="18.75" hidden="1" customHeight="1">
      <c r="A461" s="28"/>
      <c r="B461" s="29"/>
      <c r="C461" s="30"/>
      <c r="D461" s="21"/>
      <c r="E461" s="33"/>
      <c r="F461" s="31">
        <f t="shared" si="222"/>
        <v>0</v>
      </c>
      <c r="G461" s="27">
        <f t="shared" si="223"/>
        <v>0</v>
      </c>
      <c r="H461" s="32">
        <f t="shared" ref="H461:H466" si="233">IF(D461="no",0,F461*H$445)</f>
        <v>0</v>
      </c>
      <c r="I461" s="33">
        <f t="shared" si="225"/>
        <v>0</v>
      </c>
      <c r="J461" s="26"/>
      <c r="K461" s="27">
        <f t="shared" si="226"/>
        <v>0</v>
      </c>
      <c r="L461" s="40">
        <f t="shared" si="227"/>
        <v>0</v>
      </c>
      <c r="M461" s="578"/>
      <c r="N461" s="564"/>
      <c r="O461" s="1"/>
      <c r="P461" s="3"/>
      <c r="Q461" s="1"/>
      <c r="R461" s="1"/>
      <c r="S461" s="1"/>
      <c r="T461" s="1"/>
      <c r="U461" s="4"/>
    </row>
    <row r="462" spans="1:21" ht="18.75" hidden="1" customHeight="1">
      <c r="A462" s="28"/>
      <c r="B462" s="29"/>
      <c r="C462" s="30"/>
      <c r="D462" s="21"/>
      <c r="E462" s="33"/>
      <c r="F462" s="31">
        <f t="shared" si="222"/>
        <v>0</v>
      </c>
      <c r="G462" s="27">
        <f t="shared" si="223"/>
        <v>0</v>
      </c>
      <c r="H462" s="32">
        <f t="shared" si="233"/>
        <v>0</v>
      </c>
      <c r="I462" s="33">
        <f t="shared" ref="I462:I476" si="234">IF(D462="no",0,H462*3.3%)</f>
        <v>0</v>
      </c>
      <c r="J462" s="26"/>
      <c r="K462" s="27">
        <f t="shared" si="226"/>
        <v>0</v>
      </c>
      <c r="L462" s="40">
        <f t="shared" si="227"/>
        <v>0</v>
      </c>
      <c r="M462" s="572"/>
      <c r="N462" s="564"/>
      <c r="O462" s="1"/>
      <c r="P462" s="3"/>
      <c r="Q462" s="1"/>
      <c r="R462" s="1"/>
      <c r="S462" s="1"/>
      <c r="T462" s="1"/>
      <c r="U462" s="4"/>
    </row>
    <row r="463" spans="1:21" ht="18.75" hidden="1" customHeight="1">
      <c r="A463" s="28"/>
      <c r="B463" s="29"/>
      <c r="C463" s="30"/>
      <c r="D463" s="21"/>
      <c r="E463" s="33"/>
      <c r="F463" s="31">
        <f t="shared" si="222"/>
        <v>0</v>
      </c>
      <c r="G463" s="27">
        <f t="shared" si="223"/>
        <v>0</v>
      </c>
      <c r="H463" s="32">
        <f t="shared" si="233"/>
        <v>0</v>
      </c>
      <c r="I463" s="33">
        <f t="shared" si="234"/>
        <v>0</v>
      </c>
      <c r="J463" s="26"/>
      <c r="K463" s="27">
        <f t="shared" si="226"/>
        <v>0</v>
      </c>
      <c r="L463" s="40">
        <f t="shared" si="227"/>
        <v>0</v>
      </c>
      <c r="M463" s="572"/>
      <c r="N463" s="564"/>
      <c r="O463" s="1"/>
      <c r="P463" s="3"/>
      <c r="Q463" s="1"/>
      <c r="R463" s="1"/>
      <c r="S463" s="1"/>
      <c r="T463" s="1"/>
      <c r="U463" s="4"/>
    </row>
    <row r="464" spans="1:21" ht="18.75" hidden="1" customHeight="1">
      <c r="A464" s="28"/>
      <c r="B464" s="29"/>
      <c r="C464" s="30"/>
      <c r="D464" s="21"/>
      <c r="E464" s="33"/>
      <c r="F464" s="31">
        <f t="shared" si="222"/>
        <v>0</v>
      </c>
      <c r="G464" s="27">
        <f t="shared" si="223"/>
        <v>0</v>
      </c>
      <c r="H464" s="32">
        <f t="shared" si="233"/>
        <v>0</v>
      </c>
      <c r="I464" s="33">
        <f t="shared" si="234"/>
        <v>0</v>
      </c>
      <c r="J464" s="26"/>
      <c r="K464" s="27">
        <f t="shared" si="226"/>
        <v>0</v>
      </c>
      <c r="L464" s="40">
        <f t="shared" si="227"/>
        <v>0</v>
      </c>
      <c r="M464" s="572"/>
      <c r="N464" s="564"/>
      <c r="O464" s="1"/>
      <c r="P464" s="3"/>
      <c r="Q464" s="1"/>
      <c r="R464" s="1"/>
      <c r="S464" s="1"/>
      <c r="T464" s="1"/>
      <c r="U464" s="4"/>
    </row>
    <row r="465" spans="1:21" ht="18.75" hidden="1" customHeight="1">
      <c r="A465" s="39"/>
      <c r="B465" s="29"/>
      <c r="C465" s="30"/>
      <c r="D465" s="21"/>
      <c r="E465" s="27"/>
      <c r="F465" s="31">
        <f t="shared" si="222"/>
        <v>0</v>
      </c>
      <c r="G465" s="27">
        <f t="shared" si="223"/>
        <v>0</v>
      </c>
      <c r="H465" s="32">
        <f t="shared" si="233"/>
        <v>0</v>
      </c>
      <c r="I465" s="33">
        <f t="shared" si="234"/>
        <v>0</v>
      </c>
      <c r="J465" s="26"/>
      <c r="K465" s="27"/>
      <c r="L465" s="40">
        <f>IF(D465="no",F465*H80-J465,0)</f>
        <v>0</v>
      </c>
      <c r="M465" s="578"/>
      <c r="N465" s="564"/>
      <c r="O465" s="1"/>
      <c r="P465" s="3"/>
      <c r="Q465" s="1"/>
      <c r="R465" s="1"/>
      <c r="S465" s="1"/>
      <c r="T465" s="1"/>
      <c r="U465" s="4"/>
    </row>
    <row r="466" spans="1:21" ht="18.75" hidden="1" customHeight="1">
      <c r="A466" s="39"/>
      <c r="B466" s="29"/>
      <c r="C466" s="20"/>
      <c r="D466" s="21"/>
      <c r="E466" s="22"/>
      <c r="F466" s="31">
        <f t="shared" si="222"/>
        <v>0</v>
      </c>
      <c r="G466" s="27">
        <f>IF(D466="no",0,F466*0.1)</f>
        <v>0</v>
      </c>
      <c r="H466" s="32">
        <f t="shared" si="233"/>
        <v>0</v>
      </c>
      <c r="I466" s="33">
        <f t="shared" si="234"/>
        <v>0</v>
      </c>
      <c r="J466" s="26"/>
      <c r="K466" s="27">
        <f t="shared" ref="K466:K476" si="235">IF(D466="no",0,H466-I466-J466)</f>
        <v>0</v>
      </c>
      <c r="L466" s="40">
        <f>IF(D466="no",F466*H445-J466,0)</f>
        <v>0</v>
      </c>
      <c r="M466" s="563"/>
      <c r="N466" s="644"/>
      <c r="O466" s="1"/>
      <c r="P466" s="3"/>
      <c r="Q466" s="1"/>
      <c r="R466" s="1"/>
      <c r="S466" s="1"/>
      <c r="T466" s="1"/>
      <c r="U466" s="4"/>
    </row>
    <row r="467" spans="1:21" ht="18.75" customHeight="1">
      <c r="A467" s="39"/>
      <c r="B467" s="29"/>
      <c r="C467" s="30"/>
      <c r="D467" s="21"/>
      <c r="E467" s="27"/>
      <c r="F467" s="31">
        <f t="shared" ref="F467" si="236">IF(D467="no",E467,E467/1.1)</f>
        <v>0</v>
      </c>
      <c r="G467" s="27">
        <f t="shared" ref="G467" si="237">IF(D467="no",0,F467*0.1)</f>
        <v>0</v>
      </c>
      <c r="H467" s="32"/>
      <c r="I467" s="33">
        <f t="shared" si="234"/>
        <v>0</v>
      </c>
      <c r="J467" s="26"/>
      <c r="K467" s="27">
        <f t="shared" si="235"/>
        <v>0</v>
      </c>
      <c r="L467" s="40">
        <f>IF(D467="no",F467*H447-J467,0)</f>
        <v>0</v>
      </c>
      <c r="M467" s="563"/>
      <c r="N467" s="644"/>
      <c r="O467" s="1"/>
      <c r="P467" s="3"/>
      <c r="Q467" s="1"/>
      <c r="R467" s="1"/>
      <c r="S467" s="1"/>
      <c r="T467" s="1"/>
      <c r="U467" s="4"/>
    </row>
    <row r="468" spans="1:21" s="321" customFormat="1" ht="18.75" customHeight="1">
      <c r="A468" s="39" t="s">
        <v>616</v>
      </c>
      <c r="B468" s="29" t="s">
        <v>343</v>
      </c>
      <c r="C468" s="30"/>
      <c r="D468" s="320"/>
      <c r="E468" s="27"/>
      <c r="F468" s="31">
        <f t="shared" ref="F468" si="238">IF(D468="no",E468,E468/1.1)</f>
        <v>0</v>
      </c>
      <c r="G468" s="27">
        <f t="shared" ref="G468" si="239">IF(D468="no",0,F468*0.1)</f>
        <v>0</v>
      </c>
      <c r="H468" s="37">
        <f>IF(D468="no",0,F468*H445)</f>
        <v>0</v>
      </c>
      <c r="I468" s="33">
        <f t="shared" ref="I468" si="240">IF(D468="no",0,H468*3.3%)</f>
        <v>0</v>
      </c>
      <c r="J468" s="26"/>
      <c r="K468" s="27">
        <f t="shared" ref="K468" si="241">IF(D468="no",0,H468-I468-J468)</f>
        <v>0</v>
      </c>
      <c r="L468" s="40">
        <f>IF(D468="no",F468*#REF!-J468,0)</f>
        <v>0</v>
      </c>
      <c r="M468" s="590"/>
      <c r="N468" s="564"/>
      <c r="O468" s="1"/>
      <c r="P468" s="3"/>
      <c r="Q468" s="1"/>
      <c r="R468" s="1"/>
      <c r="S468" s="1"/>
      <c r="T468" s="1"/>
      <c r="U468" s="4"/>
    </row>
    <row r="469" spans="1:21" ht="18.75" customHeight="1">
      <c r="A469" s="39" t="s">
        <v>616</v>
      </c>
      <c r="B469" s="29" t="s">
        <v>77</v>
      </c>
      <c r="C469" s="30"/>
      <c r="D469" s="21"/>
      <c r="E469" s="27"/>
      <c r="F469" s="31">
        <f>IF(D469="no",E469,E469/1.1)</f>
        <v>0</v>
      </c>
      <c r="G469" s="27">
        <f>IF(D469="no",0,F469*0.1)</f>
        <v>0</v>
      </c>
      <c r="H469" s="37">
        <f>IF(D469="no",0,F469*H444)</f>
        <v>0</v>
      </c>
      <c r="I469" s="33">
        <f>IF(D469="no",0,H469*3.3%)</f>
        <v>0</v>
      </c>
      <c r="J469" s="26"/>
      <c r="K469" s="27">
        <f>IF(D469="no",0,H469-I469-J469)</f>
        <v>0</v>
      </c>
      <c r="L469" s="40">
        <f>IF(D469="no",F469*H455-J469,0)</f>
        <v>0</v>
      </c>
      <c r="M469" s="563"/>
      <c r="N469" s="564"/>
      <c r="O469" s="1"/>
      <c r="P469" s="3"/>
      <c r="Q469" s="1"/>
      <c r="R469" s="1"/>
      <c r="S469" s="1"/>
      <c r="T469" s="1"/>
      <c r="U469" s="4"/>
    </row>
    <row r="470" spans="1:21" s="268" customFormat="1" ht="18.75" customHeight="1">
      <c r="A470" s="39" t="s">
        <v>616</v>
      </c>
      <c r="B470" s="29" t="s">
        <v>35</v>
      </c>
      <c r="C470" s="30"/>
      <c r="D470" s="267"/>
      <c r="E470" s="27"/>
      <c r="F470" s="31">
        <f t="shared" ref="F470:F471" si="242">IF(D470="no",E470,E470/1.1)</f>
        <v>0</v>
      </c>
      <c r="G470" s="27">
        <f>IF(D470="no",0,F470*0.1)</f>
        <v>0</v>
      </c>
      <c r="H470" s="37">
        <f>IF(D470="no",0,F470*H445)</f>
        <v>0</v>
      </c>
      <c r="I470" s="33">
        <f>IF(D470="no",0,H470*3.3%)</f>
        <v>0</v>
      </c>
      <c r="J470" s="97"/>
      <c r="K470" s="27">
        <f>IF(D470="no",0,H470-I470-J470)</f>
        <v>0</v>
      </c>
      <c r="L470" s="27">
        <f>IF(D470="no",F470*H445-J470,0)</f>
        <v>0</v>
      </c>
      <c r="M470" s="563"/>
      <c r="N470" s="564"/>
      <c r="O470" s="1"/>
      <c r="P470" s="3"/>
      <c r="Q470" s="1"/>
      <c r="R470" s="1"/>
      <c r="S470" s="1"/>
      <c r="T470" s="1"/>
      <c r="U470" s="4"/>
    </row>
    <row r="471" spans="1:21" ht="18.75" customHeight="1">
      <c r="A471" s="39" t="s">
        <v>616</v>
      </c>
      <c r="B471" s="29" t="s">
        <v>61</v>
      </c>
      <c r="C471" s="30"/>
      <c r="D471" s="38"/>
      <c r="E471" s="27"/>
      <c r="F471" s="31">
        <f t="shared" si="242"/>
        <v>0</v>
      </c>
      <c r="G471" s="27">
        <f>IF(D471="no",0,F471*0.1)</f>
        <v>0</v>
      </c>
      <c r="H471" s="32"/>
      <c r="I471" s="33">
        <f t="shared" si="234"/>
        <v>0</v>
      </c>
      <c r="J471" s="26"/>
      <c r="K471" s="27">
        <f t="shared" si="235"/>
        <v>0</v>
      </c>
      <c r="L471" s="27">
        <f>IF(D471="no",F471*H483-J471,0)</f>
        <v>0</v>
      </c>
      <c r="M471" s="572"/>
      <c r="N471" s="564"/>
      <c r="O471" s="1"/>
      <c r="P471" s="3"/>
      <c r="Q471" s="1"/>
      <c r="R471" s="1"/>
      <c r="S471" s="1"/>
      <c r="T471" s="1"/>
      <c r="U471" s="4"/>
    </row>
    <row r="472" spans="1:21" ht="18.75" customHeight="1">
      <c r="A472" s="39" t="s">
        <v>616</v>
      </c>
      <c r="B472" s="29" t="s">
        <v>39</v>
      </c>
      <c r="C472" s="30"/>
      <c r="D472" s="21"/>
      <c r="E472" s="27"/>
      <c r="F472" s="31">
        <f t="shared" ref="F472:F473" si="243">IF(D472="no",E472,E472/1.1)</f>
        <v>0</v>
      </c>
      <c r="G472" s="27">
        <f t="shared" ref="G472:G473" si="244">IF(D472="no",0,F472*0.1)</f>
        <v>0</v>
      </c>
      <c r="H472" s="32">
        <v>2000000</v>
      </c>
      <c r="I472" s="33">
        <f t="shared" si="234"/>
        <v>66000</v>
      </c>
      <c r="J472" s="26"/>
      <c r="K472" s="27">
        <f t="shared" si="235"/>
        <v>1934000</v>
      </c>
      <c r="L472" s="40">
        <f>IF(D472="no",F472*#REF!-J472,0)</f>
        <v>0</v>
      </c>
      <c r="M472" s="650"/>
      <c r="N472" s="564"/>
      <c r="O472" s="1"/>
      <c r="P472" s="3"/>
      <c r="Q472" s="1"/>
      <c r="R472" s="1"/>
      <c r="S472" s="1"/>
      <c r="T472" s="1"/>
      <c r="U472" s="4"/>
    </row>
    <row r="473" spans="1:21" ht="18.75" customHeight="1">
      <c r="A473" s="39" t="s">
        <v>616</v>
      </c>
      <c r="B473" s="29" t="s">
        <v>71</v>
      </c>
      <c r="C473" s="30"/>
      <c r="D473" s="21"/>
      <c r="E473" s="27"/>
      <c r="F473" s="31">
        <f t="shared" si="243"/>
        <v>0</v>
      </c>
      <c r="G473" s="27">
        <f t="shared" si="244"/>
        <v>0</v>
      </c>
      <c r="H473" s="32">
        <f>100000/0.967</f>
        <v>103412.61633919338</v>
      </c>
      <c r="I473" s="33">
        <f t="shared" si="234"/>
        <v>3412.6163391933819</v>
      </c>
      <c r="J473" s="26"/>
      <c r="K473" s="27">
        <f t="shared" si="235"/>
        <v>100000</v>
      </c>
      <c r="L473" s="40">
        <f>IF(D473="no",F473*H464-J473,0)</f>
        <v>0</v>
      </c>
      <c r="M473" s="652"/>
      <c r="N473" s="564"/>
      <c r="O473" s="1"/>
      <c r="P473" s="3"/>
      <c r="Q473" s="1"/>
      <c r="R473" s="1"/>
      <c r="S473" s="1"/>
      <c r="T473" s="1"/>
      <c r="U473" s="4"/>
    </row>
    <row r="474" spans="1:21" ht="18.75" customHeight="1">
      <c r="A474" s="39" t="s">
        <v>616</v>
      </c>
      <c r="B474" s="29" t="s">
        <v>421</v>
      </c>
      <c r="C474" s="30"/>
      <c r="D474" s="21"/>
      <c r="E474" s="27"/>
      <c r="F474" s="31">
        <f>IF(D474="no",E474,E474/1.1)</f>
        <v>0</v>
      </c>
      <c r="G474" s="27">
        <f>IF(D474="no",0,F474*0.1)</f>
        <v>0</v>
      </c>
      <c r="H474" s="37">
        <v>0</v>
      </c>
      <c r="I474" s="33">
        <f>IF(D474="no",0,H474*3.3%)</f>
        <v>0</v>
      </c>
      <c r="J474" s="26"/>
      <c r="K474" s="27">
        <f>IF(D474="no",0,H474-I474-J474)</f>
        <v>0</v>
      </c>
      <c r="L474" s="40">
        <f>IF(D474="no",F474*H465-J474,0)</f>
        <v>0</v>
      </c>
      <c r="M474" s="572"/>
      <c r="N474" s="564"/>
      <c r="O474" s="1"/>
      <c r="P474" s="3"/>
      <c r="Q474" s="1"/>
      <c r="R474" s="1"/>
      <c r="S474" s="1"/>
      <c r="T474" s="1"/>
      <c r="U474" s="4"/>
    </row>
    <row r="475" spans="1:21" s="457" customFormat="1" ht="18.75" customHeight="1">
      <c r="A475" s="39" t="s">
        <v>616</v>
      </c>
      <c r="B475" s="29" t="s">
        <v>37</v>
      </c>
      <c r="C475" s="30"/>
      <c r="D475" s="458"/>
      <c r="E475" s="27"/>
      <c r="F475" s="31">
        <f>IF(D475="no",E475,E475/1.1)</f>
        <v>0</v>
      </c>
      <c r="G475" s="27">
        <f>IF(D475="no",0,F475*0.1)</f>
        <v>0</v>
      </c>
      <c r="H475" s="37">
        <v>500000</v>
      </c>
      <c r="I475" s="33">
        <f>IF(D475="no",0,H475*3.3%)</f>
        <v>16500</v>
      </c>
      <c r="J475" s="26"/>
      <c r="K475" s="27">
        <f>IF(D475="no",0,H475-I475-J475)</f>
        <v>483500</v>
      </c>
      <c r="L475" s="40">
        <f>IF(D475="no",F475*H470-J475,0)</f>
        <v>0</v>
      </c>
      <c r="M475" s="578" t="s">
        <v>829</v>
      </c>
      <c r="N475" s="564"/>
      <c r="O475" s="1"/>
      <c r="P475" s="3"/>
      <c r="Q475" s="1"/>
      <c r="R475" s="1"/>
      <c r="S475" s="1"/>
      <c r="T475" s="1"/>
      <c r="U475" s="4"/>
    </row>
    <row r="476" spans="1:21" s="268" customFormat="1" ht="18.75" customHeight="1">
      <c r="A476" s="39" t="s">
        <v>616</v>
      </c>
      <c r="B476" s="29" t="s">
        <v>106</v>
      </c>
      <c r="C476" s="30"/>
      <c r="D476" s="267"/>
      <c r="E476" s="27"/>
      <c r="F476" s="31">
        <f>IF(D476="no",E476,E476/1.1)</f>
        <v>0</v>
      </c>
      <c r="G476" s="27">
        <f>IF(D476="no",0,F476*0.1)</f>
        <v>0</v>
      </c>
      <c r="H476" s="37">
        <v>0</v>
      </c>
      <c r="I476" s="33">
        <f t="shared" si="234"/>
        <v>0</v>
      </c>
      <c r="J476" s="26"/>
      <c r="K476" s="27">
        <f t="shared" si="235"/>
        <v>0</v>
      </c>
      <c r="L476" s="40">
        <f>IF(D476="no",F476*H466-J476,0)</f>
        <v>0</v>
      </c>
      <c r="M476" s="646"/>
      <c r="N476" s="601"/>
      <c r="O476" s="1"/>
      <c r="P476" s="476">
        <f>K480/3</f>
        <v>4845657.1833333336</v>
      </c>
      <c r="Q476" s="1"/>
      <c r="R476" s="1"/>
      <c r="S476" s="1"/>
      <c r="T476" s="1"/>
      <c r="U476" s="4"/>
    </row>
    <row r="477" spans="1:21" ht="18.75" customHeight="1">
      <c r="A477" s="575" t="s">
        <v>42</v>
      </c>
      <c r="B477" s="576"/>
      <c r="C477" s="576"/>
      <c r="D477" s="577"/>
      <c r="E477" s="42">
        <f t="shared" ref="E477:K477" si="245">SUM(E447:E476)</f>
        <v>27610000</v>
      </c>
      <c r="F477" s="17">
        <f t="shared" si="245"/>
        <v>25100000</v>
      </c>
      <c r="G477" s="42">
        <f t="shared" si="245"/>
        <v>2510000</v>
      </c>
      <c r="H477" s="42">
        <f t="shared" si="245"/>
        <v>15153412.616339194</v>
      </c>
      <c r="I477" s="42">
        <f t="shared" si="245"/>
        <v>500062.61633919337</v>
      </c>
      <c r="J477" s="42">
        <f t="shared" si="245"/>
        <v>0</v>
      </c>
      <c r="K477" s="42">
        <f t="shared" si="245"/>
        <v>14653350</v>
      </c>
      <c r="L477" s="137">
        <v>0</v>
      </c>
      <c r="M477" s="44"/>
      <c r="N477" s="45"/>
      <c r="O477" s="1"/>
      <c r="P477" s="3"/>
      <c r="Q477" s="1"/>
      <c r="R477" s="1"/>
      <c r="S477" s="1"/>
      <c r="T477" s="1"/>
      <c r="U477" s="4"/>
    </row>
    <row r="478" spans="1:21" ht="18.75" customHeight="1">
      <c r="A478" s="46" t="s">
        <v>37</v>
      </c>
      <c r="B478" s="47" t="s">
        <v>43</v>
      </c>
      <c r="C478" s="48">
        <f>D445</f>
        <v>3</v>
      </c>
      <c r="D478" s="47" t="s">
        <v>44</v>
      </c>
      <c r="E478" s="49"/>
      <c r="F478" s="50" t="s">
        <v>95</v>
      </c>
      <c r="G478" s="51">
        <f>C478+C514+C541+C582+C633+C671+C698+C764+C778+C828+C881+C906+C727+C932</f>
        <v>32</v>
      </c>
      <c r="H478" s="52"/>
      <c r="I478" s="53" t="s">
        <v>46</v>
      </c>
      <c r="J478" s="54">
        <v>120350</v>
      </c>
      <c r="K478" s="59"/>
      <c r="L478" s="54"/>
      <c r="M478" s="59"/>
      <c r="N478" s="138"/>
      <c r="O478" s="1"/>
      <c r="P478" s="3"/>
      <c r="Q478" s="1"/>
      <c r="R478" s="1"/>
      <c r="S478" s="1"/>
      <c r="T478" s="1"/>
      <c r="U478" s="4"/>
    </row>
    <row r="479" spans="1:21" ht="18.75" customHeight="1" thickBot="1">
      <c r="A479" s="56" t="s">
        <v>48</v>
      </c>
      <c r="B479" s="57" t="s">
        <v>49</v>
      </c>
      <c r="C479" s="58">
        <f>ROUND(F477/10000,0)</f>
        <v>2510</v>
      </c>
      <c r="D479" s="57" t="s">
        <v>50</v>
      </c>
      <c r="E479" s="52"/>
      <c r="F479" s="59" t="s">
        <v>96</v>
      </c>
      <c r="G479" s="80">
        <f>C479+C515+C542+C583+C634+C672+C699+C765+C829+C882+C907+C728+C933</f>
        <v>12121</v>
      </c>
      <c r="H479" s="52"/>
      <c r="I479" s="59"/>
      <c r="J479" s="61"/>
      <c r="K479" s="59"/>
      <c r="L479" s="62"/>
      <c r="M479" s="59"/>
      <c r="N479" s="138"/>
      <c r="O479" s="1"/>
      <c r="P479" s="3"/>
      <c r="Q479" s="1"/>
      <c r="R479" s="1"/>
      <c r="S479" s="1"/>
      <c r="T479" s="1"/>
      <c r="U479" s="4"/>
    </row>
    <row r="480" spans="1:21" ht="18.75" customHeight="1" thickBot="1">
      <c r="A480" s="566" t="s">
        <v>52</v>
      </c>
      <c r="B480" s="567"/>
      <c r="C480" s="567"/>
      <c r="D480" s="568"/>
      <c r="E480" s="65"/>
      <c r="F480" s="569" t="s">
        <v>53</v>
      </c>
      <c r="G480" s="568"/>
      <c r="H480" s="66">
        <f>H477-J478</f>
        <v>15033062.616339194</v>
      </c>
      <c r="I480" s="67">
        <f>H480*3.3%</f>
        <v>496091.06633919344</v>
      </c>
      <c r="J480" s="68">
        <f>SUM(J477)</f>
        <v>0</v>
      </c>
      <c r="K480" s="69">
        <f>H480-I480-J480</f>
        <v>14536971.550000001</v>
      </c>
      <c r="L480" s="139">
        <v>0</v>
      </c>
      <c r="M480" s="570">
        <f>K480+L480</f>
        <v>14536971.550000001</v>
      </c>
      <c r="N480" s="571"/>
      <c r="O480" s="1"/>
      <c r="P480" s="3"/>
      <c r="Q480" s="1"/>
      <c r="R480" s="1"/>
      <c r="S480" s="1"/>
      <c r="T480" s="1"/>
      <c r="U480" s="4"/>
    </row>
    <row r="481" spans="1:21" ht="12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3"/>
      <c r="Q481" s="1"/>
      <c r="R481" s="1"/>
      <c r="S481" s="1"/>
      <c r="T481" s="1"/>
      <c r="U481" s="4"/>
    </row>
    <row r="482" spans="1:21" ht="18.75" customHeight="1">
      <c r="A482" s="6" t="s">
        <v>97</v>
      </c>
      <c r="B482" s="7" t="str">
        <f>$B$34</f>
        <v>1월</v>
      </c>
      <c r="C482" s="8" t="s">
        <v>1</v>
      </c>
      <c r="D482" s="9">
        <f>COUNTIF($C484:$C512,"계약")+(COUNTIF($C484:$C512,"계약2")*2)</f>
        <v>3</v>
      </c>
      <c r="E482" s="3">
        <f>COUNTIF(C484:C512,"낙찰수수료")</f>
        <v>1</v>
      </c>
      <c r="F482" s="10" t="s">
        <v>399</v>
      </c>
      <c r="G482" s="89" t="s">
        <v>98</v>
      </c>
      <c r="H482" s="11">
        <v>0.5</v>
      </c>
      <c r="I482" s="12">
        <v>3.3000000000000002E-2</v>
      </c>
      <c r="J482" s="1"/>
      <c r="K482" s="1"/>
      <c r="L482" s="1"/>
      <c r="M482" s="1"/>
      <c r="N482" s="1"/>
      <c r="O482" s="1"/>
      <c r="P482" s="3"/>
      <c r="Q482" s="1"/>
      <c r="R482" s="1"/>
      <c r="S482" s="1"/>
      <c r="T482" s="1"/>
      <c r="U482" s="4"/>
    </row>
    <row r="483" spans="1:21" ht="18.75" customHeight="1">
      <c r="A483" s="13" t="s">
        <v>3</v>
      </c>
      <c r="B483" s="14" t="s">
        <v>4</v>
      </c>
      <c r="C483" s="14" t="s">
        <v>5</v>
      </c>
      <c r="D483" s="15" t="s">
        <v>6</v>
      </c>
      <c r="E483" s="16" t="s">
        <v>7</v>
      </c>
      <c r="F483" s="17" t="s">
        <v>8</v>
      </c>
      <c r="G483" s="14" t="s">
        <v>9</v>
      </c>
      <c r="H483" s="15" t="s">
        <v>10</v>
      </c>
      <c r="I483" s="14" t="s">
        <v>11</v>
      </c>
      <c r="J483" s="15" t="s">
        <v>12</v>
      </c>
      <c r="K483" s="14" t="s">
        <v>13</v>
      </c>
      <c r="L483" s="14" t="s">
        <v>14</v>
      </c>
      <c r="M483" s="579" t="s">
        <v>15</v>
      </c>
      <c r="N483" s="577"/>
      <c r="O483" s="1"/>
      <c r="P483" s="3"/>
      <c r="Q483" s="1"/>
      <c r="R483" s="1"/>
      <c r="S483" s="1"/>
      <c r="T483" s="1"/>
      <c r="U483" s="4"/>
    </row>
    <row r="484" spans="1:21" ht="18.75" customHeight="1">
      <c r="A484" s="28">
        <v>46035</v>
      </c>
      <c r="B484" s="29" t="s">
        <v>796</v>
      </c>
      <c r="C484" s="30" t="s">
        <v>357</v>
      </c>
      <c r="D484" s="21"/>
      <c r="E484" s="27">
        <v>1100000</v>
      </c>
      <c r="F484" s="31">
        <f t="shared" ref="F484:F507" si="246">IF(D484="no",E484,E484/1.1)</f>
        <v>999999.99999999988</v>
      </c>
      <c r="G484" s="27">
        <f t="shared" ref="G484:G507" si="247">IF(D484="no",0,F484*0.1)</f>
        <v>100000</v>
      </c>
      <c r="H484" s="37">
        <f>IF(D484="no",0,F484*H482)</f>
        <v>499999.99999999994</v>
      </c>
      <c r="I484" s="33">
        <f t="shared" ref="I484:I509" si="248">IF(D484="no",0,H484*3.3%)</f>
        <v>16500</v>
      </c>
      <c r="J484" s="26"/>
      <c r="K484" s="27">
        <f t="shared" ref="K484:K509" si="249">IF(D484="no",0,H484-I484-J484)</f>
        <v>483499.99999999994</v>
      </c>
      <c r="L484" s="27">
        <f>IF(D484="no",F484*H482-J484,0)</f>
        <v>0</v>
      </c>
      <c r="M484" s="578"/>
      <c r="N484" s="564"/>
      <c r="O484" s="1"/>
      <c r="P484" s="3"/>
      <c r="Q484" s="1"/>
      <c r="R484" s="1"/>
      <c r="S484" s="1"/>
      <c r="T484" s="1"/>
      <c r="U484" s="4"/>
    </row>
    <row r="485" spans="1:21" ht="20.25" customHeight="1">
      <c r="A485" s="28">
        <v>46037</v>
      </c>
      <c r="B485" s="29" t="s">
        <v>797</v>
      </c>
      <c r="C485" s="30" t="s">
        <v>357</v>
      </c>
      <c r="D485" s="21"/>
      <c r="E485" s="27">
        <v>550000</v>
      </c>
      <c r="F485" s="31">
        <f t="shared" si="246"/>
        <v>499999.99999999994</v>
      </c>
      <c r="G485" s="27">
        <f t="shared" si="247"/>
        <v>50000</v>
      </c>
      <c r="H485" s="37">
        <f>IF(D485="no",0,F485*H482)</f>
        <v>249999.99999999997</v>
      </c>
      <c r="I485" s="33">
        <f t="shared" si="248"/>
        <v>8250</v>
      </c>
      <c r="J485" s="26"/>
      <c r="K485" s="27">
        <f t="shared" si="249"/>
        <v>241749.99999999997</v>
      </c>
      <c r="L485" s="27">
        <f>IF(D485="no",F485*H482-J485,0)</f>
        <v>0</v>
      </c>
      <c r="M485" s="565"/>
      <c r="N485" s="564"/>
      <c r="O485" s="1"/>
      <c r="P485" s="3"/>
      <c r="Q485" s="1"/>
      <c r="R485" s="1"/>
      <c r="S485" s="1"/>
      <c r="T485" s="1"/>
      <c r="U485" s="4"/>
    </row>
    <row r="486" spans="1:21" ht="18.75" customHeight="1">
      <c r="A486" s="28">
        <v>46042</v>
      </c>
      <c r="B486" s="29" t="s">
        <v>797</v>
      </c>
      <c r="C486" s="30" t="s">
        <v>56</v>
      </c>
      <c r="D486" s="21"/>
      <c r="E486" s="27">
        <v>4000000</v>
      </c>
      <c r="F486" s="31">
        <f t="shared" si="246"/>
        <v>3636363.6363636362</v>
      </c>
      <c r="G486" s="27">
        <f t="shared" si="247"/>
        <v>363636.36363636365</v>
      </c>
      <c r="H486" s="37">
        <f>IF(D486="no",0,F486*H482)</f>
        <v>1818181.8181818181</v>
      </c>
      <c r="I486" s="33">
        <f t="shared" si="248"/>
        <v>60000</v>
      </c>
      <c r="J486" s="26"/>
      <c r="K486" s="27">
        <f t="shared" si="249"/>
        <v>1758181.8181818181</v>
      </c>
      <c r="L486" s="27">
        <f>IF(D486="no",F486*H482-J486,0)</f>
        <v>0</v>
      </c>
      <c r="M486" s="641"/>
      <c r="N486" s="564"/>
      <c r="O486" s="1"/>
      <c r="P486" s="3"/>
      <c r="Q486" s="1"/>
      <c r="R486" s="1"/>
      <c r="S486" s="1"/>
      <c r="T486" s="1"/>
      <c r="U486" s="4"/>
    </row>
    <row r="487" spans="1:21" s="541" customFormat="1" ht="18.75" customHeight="1">
      <c r="A487" s="28">
        <v>46045</v>
      </c>
      <c r="B487" s="29" t="s">
        <v>798</v>
      </c>
      <c r="C487" s="30" t="s">
        <v>357</v>
      </c>
      <c r="D487" s="542"/>
      <c r="E487" s="27">
        <v>550000</v>
      </c>
      <c r="F487" s="31">
        <f t="shared" ref="F487" si="250">IF(D487="no",E487,E487/1.1)</f>
        <v>499999.99999999994</v>
      </c>
      <c r="G487" s="27">
        <f t="shared" ref="G487" si="251">IF(D487="no",0,F487*0.1)</f>
        <v>50000</v>
      </c>
      <c r="H487" s="37">
        <f>IF(D487="no",0,F487*H482)</f>
        <v>249999.99999999997</v>
      </c>
      <c r="I487" s="33">
        <f t="shared" ref="I487" si="252">IF(D487="no",0,H487*3.3%)</f>
        <v>8250</v>
      </c>
      <c r="J487" s="26"/>
      <c r="K487" s="27">
        <f t="shared" ref="K487" si="253">IF(D487="no",0,H487-I487-J487)</f>
        <v>241749.99999999997</v>
      </c>
      <c r="L487" s="40">
        <f>IF(D487="no",F487*H335-J487,0)</f>
        <v>0</v>
      </c>
      <c r="M487" s="565"/>
      <c r="N487" s="564"/>
      <c r="O487" s="1"/>
      <c r="P487" s="3"/>
      <c r="Q487" s="1"/>
      <c r="R487" s="1"/>
      <c r="S487" s="1"/>
      <c r="T487" s="1"/>
      <c r="U487" s="4"/>
    </row>
    <row r="488" spans="1:21" ht="18.75" customHeight="1">
      <c r="A488" s="28"/>
      <c r="B488" s="29"/>
      <c r="C488" s="30"/>
      <c r="D488" s="21"/>
      <c r="E488" s="33"/>
      <c r="F488" s="31">
        <f t="shared" si="246"/>
        <v>0</v>
      </c>
      <c r="G488" s="27">
        <f t="shared" si="247"/>
        <v>0</v>
      </c>
      <c r="H488" s="37">
        <f>IF(D488="no",0,F488*H482)</f>
        <v>0</v>
      </c>
      <c r="I488" s="33">
        <f t="shared" si="248"/>
        <v>0</v>
      </c>
      <c r="J488" s="26"/>
      <c r="K488" s="27">
        <f t="shared" si="249"/>
        <v>0</v>
      </c>
      <c r="L488" s="40">
        <f>IF(D488="no",F488*H336-J488,0)</f>
        <v>0</v>
      </c>
      <c r="M488" s="565"/>
      <c r="N488" s="564"/>
      <c r="O488" s="1"/>
      <c r="P488" s="3"/>
      <c r="Q488" s="1"/>
      <c r="R488" s="1"/>
      <c r="S488" s="1"/>
      <c r="T488" s="1"/>
      <c r="U488" s="4"/>
    </row>
    <row r="489" spans="1:21" ht="18.75" hidden="1" customHeight="1">
      <c r="A489" s="28"/>
      <c r="B489" s="29"/>
      <c r="C489" s="30"/>
      <c r="D489" s="21"/>
      <c r="E489" s="27"/>
      <c r="F489" s="31">
        <f t="shared" si="246"/>
        <v>0</v>
      </c>
      <c r="G489" s="27">
        <f t="shared" si="247"/>
        <v>0</v>
      </c>
      <c r="H489" s="37">
        <f>IF(D489="no",0,F489*H482)</f>
        <v>0</v>
      </c>
      <c r="I489" s="33">
        <f t="shared" si="248"/>
        <v>0</v>
      </c>
      <c r="J489" s="26"/>
      <c r="K489" s="27">
        <f t="shared" si="249"/>
        <v>0</v>
      </c>
      <c r="L489" s="27">
        <f>IF(D489="no",F489*H482-J489,0)</f>
        <v>0</v>
      </c>
      <c r="M489" s="572"/>
      <c r="N489" s="564"/>
      <c r="O489" s="1"/>
      <c r="P489" s="3"/>
      <c r="Q489" s="1"/>
      <c r="R489" s="1"/>
      <c r="S489" s="1"/>
      <c r="T489" s="1"/>
      <c r="U489" s="4"/>
    </row>
    <row r="490" spans="1:21" ht="18.75" hidden="1" customHeight="1">
      <c r="A490" s="28"/>
      <c r="B490" s="29"/>
      <c r="C490" s="30"/>
      <c r="D490" s="21"/>
      <c r="E490" s="27"/>
      <c r="F490" s="31">
        <f t="shared" si="246"/>
        <v>0</v>
      </c>
      <c r="G490" s="27">
        <f t="shared" si="247"/>
        <v>0</v>
      </c>
      <c r="H490" s="37">
        <f>IF(D490="no",0,F490*H482)</f>
        <v>0</v>
      </c>
      <c r="I490" s="33">
        <f t="shared" si="248"/>
        <v>0</v>
      </c>
      <c r="J490" s="140"/>
      <c r="K490" s="27">
        <f t="shared" si="249"/>
        <v>0</v>
      </c>
      <c r="L490" s="27">
        <f>IF(D490="no",F490*H482-J490,0)</f>
        <v>0</v>
      </c>
      <c r="M490" s="563"/>
      <c r="N490" s="564"/>
      <c r="O490" s="1"/>
      <c r="P490" s="3"/>
      <c r="Q490" s="1"/>
      <c r="R490" s="1"/>
      <c r="S490" s="1"/>
      <c r="T490" s="1"/>
      <c r="U490" s="4"/>
    </row>
    <row r="491" spans="1:21" s="263" customFormat="1" ht="18.75" hidden="1" customHeight="1">
      <c r="A491" s="28"/>
      <c r="B491" s="29"/>
      <c r="C491" s="30"/>
      <c r="D491" s="262"/>
      <c r="E491" s="33"/>
      <c r="F491" s="31">
        <f t="shared" ref="F491:F493" si="254">IF(D491="no",E491,E491/1.1)</f>
        <v>0</v>
      </c>
      <c r="G491" s="27">
        <f t="shared" ref="G491:G493" si="255">IF(D491="no",0,F491*0.1)</f>
        <v>0</v>
      </c>
      <c r="H491" s="37">
        <f>IF(D491="no",0,F491*H482)</f>
        <v>0</v>
      </c>
      <c r="I491" s="33">
        <f t="shared" ref="I491:I493" si="256">IF(D491="no",0,H491*3.3%)</f>
        <v>0</v>
      </c>
      <c r="J491" s="26"/>
      <c r="K491" s="27">
        <f t="shared" ref="K491:K493" si="257">IF(D491="no",0,H491-I491-J491)</f>
        <v>0</v>
      </c>
      <c r="L491" s="40">
        <f>IF(D491="no",F491*H336-J491,0)</f>
        <v>0</v>
      </c>
      <c r="M491" s="563"/>
      <c r="N491" s="564"/>
      <c r="O491" s="1"/>
      <c r="P491" s="3"/>
      <c r="Q491" s="1"/>
      <c r="R491" s="1"/>
      <c r="S491" s="1"/>
      <c r="T491" s="1"/>
      <c r="U491" s="4"/>
    </row>
    <row r="492" spans="1:21" s="263" customFormat="1" ht="18.75" hidden="1" customHeight="1">
      <c r="A492" s="28"/>
      <c r="B492" s="29"/>
      <c r="C492" s="30"/>
      <c r="D492" s="262"/>
      <c r="E492" s="27"/>
      <c r="F492" s="31">
        <f t="shared" si="254"/>
        <v>0</v>
      </c>
      <c r="G492" s="27">
        <f t="shared" si="255"/>
        <v>0</v>
      </c>
      <c r="H492" s="37">
        <f>IF(D492="no",0,F492*H482)</f>
        <v>0</v>
      </c>
      <c r="I492" s="33">
        <f t="shared" si="256"/>
        <v>0</v>
      </c>
      <c r="J492" s="26"/>
      <c r="K492" s="27">
        <f t="shared" si="257"/>
        <v>0</v>
      </c>
      <c r="L492" s="27">
        <f>IF(D492="no",F492*H479-J492,0)</f>
        <v>0</v>
      </c>
      <c r="M492" s="563"/>
      <c r="N492" s="564"/>
      <c r="O492" s="1"/>
      <c r="P492" s="3"/>
      <c r="Q492" s="1"/>
      <c r="R492" s="1"/>
      <c r="S492" s="1"/>
      <c r="T492" s="1"/>
      <c r="U492" s="4"/>
    </row>
    <row r="493" spans="1:21" s="263" customFormat="1" ht="18.75" hidden="1" customHeight="1">
      <c r="A493" s="28"/>
      <c r="B493" s="29"/>
      <c r="C493" s="30"/>
      <c r="D493" s="262"/>
      <c r="E493" s="27"/>
      <c r="F493" s="31">
        <f t="shared" si="254"/>
        <v>0</v>
      </c>
      <c r="G493" s="27">
        <f t="shared" si="255"/>
        <v>0</v>
      </c>
      <c r="H493" s="37">
        <f>IF(D493="no",0,F493*$H$482)</f>
        <v>0</v>
      </c>
      <c r="I493" s="33">
        <f t="shared" si="256"/>
        <v>0</v>
      </c>
      <c r="J493" s="140"/>
      <c r="K493" s="27">
        <f t="shared" si="257"/>
        <v>0</v>
      </c>
      <c r="L493" s="27">
        <f>IF(D493="no",F493*H479-J493,0)</f>
        <v>0</v>
      </c>
      <c r="M493" s="608"/>
      <c r="N493" s="564"/>
      <c r="O493" s="1"/>
      <c r="P493" s="3"/>
      <c r="Q493" s="1"/>
      <c r="R493" s="1"/>
      <c r="S493" s="1"/>
      <c r="T493" s="1"/>
      <c r="U493" s="4"/>
    </row>
    <row r="494" spans="1:21" ht="18.75" hidden="1" customHeight="1">
      <c r="A494" s="28"/>
      <c r="B494" s="29"/>
      <c r="C494" s="30"/>
      <c r="D494" s="267"/>
      <c r="E494" s="27"/>
      <c r="F494" s="31">
        <f t="shared" si="246"/>
        <v>0</v>
      </c>
      <c r="G494" s="27">
        <f t="shared" si="247"/>
        <v>0</v>
      </c>
      <c r="H494" s="37">
        <f>IF(D494="no",0,F494*H482)</f>
        <v>0</v>
      </c>
      <c r="I494" s="33">
        <f t="shared" si="248"/>
        <v>0</v>
      </c>
      <c r="J494" s="26"/>
      <c r="K494" s="27">
        <f t="shared" si="249"/>
        <v>0</v>
      </c>
      <c r="L494" s="40">
        <f>IF(D494="no",F494*H339-J494,0)</f>
        <v>0</v>
      </c>
      <c r="M494" s="563"/>
      <c r="N494" s="564"/>
      <c r="O494" s="1"/>
      <c r="P494" s="3"/>
      <c r="Q494" s="1"/>
      <c r="R494" s="1"/>
      <c r="S494" s="1"/>
      <c r="T494" s="1"/>
      <c r="U494" s="4"/>
    </row>
    <row r="495" spans="1:21" ht="18.75" hidden="1" customHeight="1">
      <c r="A495" s="28"/>
      <c r="B495" s="29"/>
      <c r="C495" s="30"/>
      <c r="D495" s="21"/>
      <c r="E495" s="27"/>
      <c r="F495" s="31">
        <f t="shared" si="246"/>
        <v>0</v>
      </c>
      <c r="G495" s="27">
        <f t="shared" si="247"/>
        <v>0</v>
      </c>
      <c r="H495" s="37">
        <f>IF(D495="no",0,F495*H482)</f>
        <v>0</v>
      </c>
      <c r="I495" s="33">
        <f t="shared" si="248"/>
        <v>0</v>
      </c>
      <c r="J495" s="26"/>
      <c r="K495" s="27">
        <f t="shared" si="249"/>
        <v>0</v>
      </c>
      <c r="L495" s="27">
        <f>IF(D495="no",F495*H482-J495,0)</f>
        <v>0</v>
      </c>
      <c r="M495" s="563"/>
      <c r="N495" s="564"/>
      <c r="O495" s="1"/>
      <c r="P495" s="3"/>
      <c r="Q495" s="1"/>
      <c r="R495" s="1"/>
      <c r="S495" s="1"/>
      <c r="T495" s="1"/>
      <c r="U495" s="4"/>
    </row>
    <row r="496" spans="1:21" ht="18.75" hidden="1" customHeight="1">
      <c r="A496" s="28"/>
      <c r="B496" s="29"/>
      <c r="C496" s="30"/>
      <c r="D496" s="21"/>
      <c r="E496" s="27"/>
      <c r="F496" s="31">
        <f t="shared" si="246"/>
        <v>0</v>
      </c>
      <c r="G496" s="27">
        <f t="shared" si="247"/>
        <v>0</v>
      </c>
      <c r="H496" s="37">
        <f t="shared" ref="H496:H503" si="258">IF(D496="no",0,F496*$H$482)</f>
        <v>0</v>
      </c>
      <c r="I496" s="33">
        <f t="shared" si="248"/>
        <v>0</v>
      </c>
      <c r="J496" s="140"/>
      <c r="K496" s="27">
        <f t="shared" si="249"/>
        <v>0</v>
      </c>
      <c r="L496" s="27">
        <f>IF(D496="no",F496*H482-J496,0)</f>
        <v>0</v>
      </c>
      <c r="M496" s="608"/>
      <c r="N496" s="564"/>
      <c r="O496" s="1"/>
      <c r="P496" s="3"/>
      <c r="Q496" s="1"/>
      <c r="R496" s="1"/>
      <c r="S496" s="1"/>
      <c r="T496" s="1"/>
      <c r="U496" s="4"/>
    </row>
    <row r="497" spans="1:21" ht="18.75" hidden="1" customHeight="1">
      <c r="A497" s="28"/>
      <c r="B497" s="29"/>
      <c r="C497" s="30"/>
      <c r="D497" s="21"/>
      <c r="E497" s="27"/>
      <c r="F497" s="31">
        <f t="shared" si="246"/>
        <v>0</v>
      </c>
      <c r="G497" s="27">
        <f t="shared" si="247"/>
        <v>0</v>
      </c>
      <c r="H497" s="37">
        <f t="shared" si="258"/>
        <v>0</v>
      </c>
      <c r="I497" s="33">
        <f t="shared" si="248"/>
        <v>0</v>
      </c>
      <c r="J497" s="26"/>
      <c r="K497" s="27">
        <f t="shared" si="249"/>
        <v>0</v>
      </c>
      <c r="L497" s="27">
        <f>IF(D497="no",F497*H482-J497,0)</f>
        <v>0</v>
      </c>
      <c r="M497" s="563"/>
      <c r="N497" s="564"/>
      <c r="O497" s="1"/>
      <c r="P497" s="3"/>
      <c r="Q497" s="1"/>
      <c r="R497" s="1"/>
      <c r="S497" s="1"/>
      <c r="T497" s="1"/>
      <c r="U497" s="4"/>
    </row>
    <row r="498" spans="1:21" ht="18.75" hidden="1" customHeight="1">
      <c r="A498" s="28"/>
      <c r="B498" s="29"/>
      <c r="C498" s="30"/>
      <c r="D498" s="21"/>
      <c r="E498" s="27"/>
      <c r="F498" s="31">
        <f t="shared" si="246"/>
        <v>0</v>
      </c>
      <c r="G498" s="27">
        <f t="shared" si="247"/>
        <v>0</v>
      </c>
      <c r="H498" s="37">
        <f t="shared" si="258"/>
        <v>0</v>
      </c>
      <c r="I498" s="33">
        <f t="shared" si="248"/>
        <v>0</v>
      </c>
      <c r="J498" s="140"/>
      <c r="K498" s="27">
        <f t="shared" si="249"/>
        <v>0</v>
      </c>
      <c r="L498" s="27">
        <f>IF(D498="no",F498*H482-J498,0)</f>
        <v>0</v>
      </c>
      <c r="M498" s="563"/>
      <c r="N498" s="564"/>
      <c r="O498" s="1"/>
      <c r="P498" s="3"/>
      <c r="Q498" s="1"/>
      <c r="R498" s="1"/>
      <c r="S498" s="1"/>
      <c r="T498" s="1"/>
      <c r="U498" s="4"/>
    </row>
    <row r="499" spans="1:21" ht="18.75" hidden="1" customHeight="1">
      <c r="A499" s="28"/>
      <c r="B499" s="29"/>
      <c r="C499" s="30"/>
      <c r="D499" s="96"/>
      <c r="E499" s="27"/>
      <c r="F499" s="31">
        <f t="shared" si="246"/>
        <v>0</v>
      </c>
      <c r="G499" s="27">
        <f t="shared" si="247"/>
        <v>0</v>
      </c>
      <c r="H499" s="37">
        <f t="shared" si="258"/>
        <v>0</v>
      </c>
      <c r="I499" s="33">
        <f t="shared" si="248"/>
        <v>0</v>
      </c>
      <c r="J499" s="97"/>
      <c r="K499" s="27">
        <f t="shared" si="249"/>
        <v>0</v>
      </c>
      <c r="L499" s="27">
        <f>IF(D499="no",F499*H482-J499,0)</f>
        <v>0</v>
      </c>
      <c r="M499" s="578"/>
      <c r="N499" s="564"/>
      <c r="O499" s="1"/>
      <c r="P499" s="3"/>
      <c r="Q499" s="1"/>
      <c r="R499" s="1"/>
      <c r="S499" s="1"/>
      <c r="T499" s="1"/>
      <c r="U499" s="4"/>
    </row>
    <row r="500" spans="1:21" ht="18.75" hidden="1" customHeight="1">
      <c r="A500" s="28"/>
      <c r="B500" s="29"/>
      <c r="C500" s="30"/>
      <c r="D500" s="96"/>
      <c r="E500" s="27"/>
      <c r="F500" s="31">
        <f t="shared" si="246"/>
        <v>0</v>
      </c>
      <c r="G500" s="27">
        <f t="shared" si="247"/>
        <v>0</v>
      </c>
      <c r="H500" s="37">
        <f t="shared" si="258"/>
        <v>0</v>
      </c>
      <c r="I500" s="33">
        <f t="shared" si="248"/>
        <v>0</v>
      </c>
      <c r="J500" s="97"/>
      <c r="K500" s="27">
        <f t="shared" si="249"/>
        <v>0</v>
      </c>
      <c r="L500" s="27">
        <f>IF(D500="no",F500*H482-J500,0)</f>
        <v>0</v>
      </c>
      <c r="M500" s="563"/>
      <c r="N500" s="564"/>
      <c r="O500" s="1"/>
      <c r="P500" s="3"/>
      <c r="Q500" s="1"/>
      <c r="R500" s="1"/>
      <c r="S500" s="1"/>
      <c r="T500" s="1"/>
      <c r="U500" s="4"/>
    </row>
    <row r="501" spans="1:21" ht="19.5" hidden="1" customHeight="1">
      <c r="A501" s="28"/>
      <c r="B501" s="29"/>
      <c r="C501" s="30"/>
      <c r="D501" s="21"/>
      <c r="E501" s="27"/>
      <c r="F501" s="31">
        <f t="shared" si="246"/>
        <v>0</v>
      </c>
      <c r="G501" s="27">
        <f t="shared" si="247"/>
        <v>0</v>
      </c>
      <c r="H501" s="37">
        <f t="shared" si="258"/>
        <v>0</v>
      </c>
      <c r="I501" s="33">
        <f t="shared" si="248"/>
        <v>0</v>
      </c>
      <c r="J501" s="26"/>
      <c r="K501" s="27">
        <f t="shared" si="249"/>
        <v>0</v>
      </c>
      <c r="L501" s="27">
        <f>IF(D501="no",F501*H483-J501,0)</f>
        <v>0</v>
      </c>
      <c r="M501" s="608"/>
      <c r="N501" s="564"/>
      <c r="O501" s="1"/>
      <c r="P501" s="3"/>
      <c r="Q501" s="1"/>
      <c r="R501" s="1"/>
      <c r="S501" s="1"/>
      <c r="T501" s="1"/>
      <c r="U501" s="4"/>
    </row>
    <row r="502" spans="1:21" ht="18.75" hidden="1" customHeight="1">
      <c r="A502" s="28"/>
      <c r="B502" s="29"/>
      <c r="C502" s="30"/>
      <c r="D502" s="21"/>
      <c r="E502" s="27"/>
      <c r="F502" s="31">
        <f t="shared" si="246"/>
        <v>0</v>
      </c>
      <c r="G502" s="27">
        <f t="shared" si="247"/>
        <v>0</v>
      </c>
      <c r="H502" s="37">
        <f t="shared" si="258"/>
        <v>0</v>
      </c>
      <c r="I502" s="33">
        <f t="shared" si="248"/>
        <v>0</v>
      </c>
      <c r="J502" s="26"/>
      <c r="K502" s="27">
        <f t="shared" si="249"/>
        <v>0</v>
      </c>
      <c r="L502" s="27">
        <f>IF(D502="no",F502*H485-J502,0)</f>
        <v>0</v>
      </c>
      <c r="M502" s="572"/>
      <c r="N502" s="564"/>
      <c r="O502" s="1"/>
      <c r="P502" s="3"/>
      <c r="Q502" s="1"/>
      <c r="R502" s="1"/>
      <c r="S502" s="1"/>
      <c r="T502" s="1"/>
      <c r="U502" s="4"/>
    </row>
    <row r="503" spans="1:21" ht="18.75" hidden="1" customHeight="1">
      <c r="A503" s="28"/>
      <c r="B503" s="29"/>
      <c r="C503" s="30"/>
      <c r="D503" s="21"/>
      <c r="E503" s="27"/>
      <c r="F503" s="31">
        <f t="shared" si="246"/>
        <v>0</v>
      </c>
      <c r="G503" s="27">
        <f t="shared" si="247"/>
        <v>0</v>
      </c>
      <c r="H503" s="37">
        <f t="shared" si="258"/>
        <v>0</v>
      </c>
      <c r="I503" s="33">
        <f t="shared" si="248"/>
        <v>0</v>
      </c>
      <c r="J503" s="26"/>
      <c r="K503" s="27">
        <f t="shared" si="249"/>
        <v>0</v>
      </c>
      <c r="L503" s="27">
        <f>IF(D503="no",F503*#REF!-J503,0)</f>
        <v>0</v>
      </c>
      <c r="M503" s="572"/>
      <c r="N503" s="564"/>
      <c r="O503" s="1"/>
      <c r="P503" s="3"/>
      <c r="Q503" s="1"/>
      <c r="R503" s="1"/>
      <c r="S503" s="1"/>
      <c r="T503" s="1"/>
      <c r="U503" s="4"/>
    </row>
    <row r="504" spans="1:21" ht="18.75" customHeight="1">
      <c r="A504" s="28"/>
      <c r="B504" s="29"/>
      <c r="C504" s="30"/>
      <c r="D504" s="21"/>
      <c r="E504" s="27"/>
      <c r="F504" s="31">
        <f t="shared" si="246"/>
        <v>0</v>
      </c>
      <c r="G504" s="27">
        <f t="shared" si="247"/>
        <v>0</v>
      </c>
      <c r="H504" s="37">
        <f>IF(D504="no",0,F504*H492)</f>
        <v>0</v>
      </c>
      <c r="I504" s="33">
        <f t="shared" si="248"/>
        <v>0</v>
      </c>
      <c r="J504" s="26"/>
      <c r="K504" s="27">
        <f t="shared" si="249"/>
        <v>0</v>
      </c>
      <c r="L504" s="27"/>
      <c r="M504" s="608"/>
      <c r="N504" s="564"/>
      <c r="O504" s="1"/>
      <c r="P504" s="3"/>
      <c r="Q504" s="1"/>
      <c r="R504" s="1"/>
      <c r="S504" s="1"/>
      <c r="T504" s="1"/>
      <c r="U504" s="4"/>
    </row>
    <row r="505" spans="1:21" ht="18.75" customHeight="1">
      <c r="A505" s="39" t="s">
        <v>616</v>
      </c>
      <c r="B505" s="29" t="s">
        <v>343</v>
      </c>
      <c r="C505" s="30"/>
      <c r="D505" s="21"/>
      <c r="E505" s="27"/>
      <c r="F505" s="31">
        <f t="shared" si="246"/>
        <v>0</v>
      </c>
      <c r="G505" s="27">
        <f t="shared" si="247"/>
        <v>0</v>
      </c>
      <c r="H505" s="37">
        <f>IF(D505="no",0,F505*H482)</f>
        <v>0</v>
      </c>
      <c r="I505" s="33">
        <f t="shared" si="248"/>
        <v>0</v>
      </c>
      <c r="J505" s="26"/>
      <c r="K505" s="27">
        <f t="shared" si="249"/>
        <v>0</v>
      </c>
      <c r="L505" s="40">
        <f>IF(D505="no",F505*H479-J505,0)</f>
        <v>0</v>
      </c>
      <c r="M505" s="590"/>
      <c r="N505" s="564"/>
      <c r="O505" s="1"/>
      <c r="P505" s="3"/>
      <c r="Q505" s="1"/>
      <c r="R505" s="1"/>
      <c r="S505" s="1"/>
      <c r="T505" s="1"/>
      <c r="U505" s="4"/>
    </row>
    <row r="506" spans="1:21" ht="18.75" customHeight="1">
      <c r="A506" s="39" t="s">
        <v>616</v>
      </c>
      <c r="B506" s="29" t="s">
        <v>35</v>
      </c>
      <c r="C506" s="30"/>
      <c r="D506" s="21"/>
      <c r="E506" s="27"/>
      <c r="F506" s="31">
        <f t="shared" si="246"/>
        <v>0</v>
      </c>
      <c r="G506" s="27">
        <f t="shared" si="247"/>
        <v>0</v>
      </c>
      <c r="H506" s="37">
        <f>IF(D506="no",0,F506*H482)</f>
        <v>0</v>
      </c>
      <c r="I506" s="33">
        <f>IF(D506="no",0,H506*3.3%)</f>
        <v>0</v>
      </c>
      <c r="J506" s="97"/>
      <c r="K506" s="27">
        <f>IF(D506="no",0,H506-I506-J506)</f>
        <v>0</v>
      </c>
      <c r="L506" s="27">
        <f>IF(D506="no",F506*H482-J506,0)</f>
        <v>0</v>
      </c>
      <c r="M506" s="563"/>
      <c r="N506" s="564"/>
      <c r="O506" s="1"/>
      <c r="P506" s="3"/>
      <c r="Q506" s="1"/>
      <c r="R506" s="1"/>
      <c r="S506" s="1"/>
      <c r="T506" s="1"/>
      <c r="U506" s="4"/>
    </row>
    <row r="507" spans="1:21" ht="18.75" customHeight="1">
      <c r="A507" s="39" t="s">
        <v>616</v>
      </c>
      <c r="B507" s="29" t="s">
        <v>61</v>
      </c>
      <c r="C507" s="30"/>
      <c r="D507" s="38"/>
      <c r="E507" s="27"/>
      <c r="F507" s="31">
        <f t="shared" si="246"/>
        <v>0</v>
      </c>
      <c r="G507" s="27">
        <f t="shared" si="247"/>
        <v>0</v>
      </c>
      <c r="H507" s="32"/>
      <c r="I507" s="33">
        <f t="shared" si="248"/>
        <v>0</v>
      </c>
      <c r="J507" s="26"/>
      <c r="K507" s="27">
        <f t="shared" si="249"/>
        <v>0</v>
      </c>
      <c r="L507" s="27">
        <f>IF(D507="no",F507*H516-J507,0)</f>
        <v>0</v>
      </c>
      <c r="M507" s="590"/>
      <c r="N507" s="564"/>
      <c r="O507" s="1"/>
      <c r="P507" s="3"/>
      <c r="Q507" s="1"/>
      <c r="R507" s="1"/>
      <c r="S507" s="1"/>
      <c r="T507" s="1"/>
      <c r="U507" s="4"/>
    </row>
    <row r="508" spans="1:21" ht="18.75" customHeight="1">
      <c r="A508" s="39" t="s">
        <v>616</v>
      </c>
      <c r="B508" s="29" t="s">
        <v>39</v>
      </c>
      <c r="C508" s="30"/>
      <c r="D508" s="38"/>
      <c r="E508" s="27"/>
      <c r="F508" s="31">
        <f>IF(D508="no",E508,E508/1.1)</f>
        <v>0</v>
      </c>
      <c r="G508" s="27">
        <f>IF(D508="no",0,F508*0.1)</f>
        <v>0</v>
      </c>
      <c r="H508" s="285">
        <v>1500000</v>
      </c>
      <c r="I508" s="33">
        <f>IF(D508="no",0,H508*3.3%)</f>
        <v>49500</v>
      </c>
      <c r="J508" s="26"/>
      <c r="K508" s="27">
        <f>IF(D508="no",0,H508-I508-J508)</f>
        <v>1450500</v>
      </c>
      <c r="L508" s="27">
        <f>IF(D508="no",F508*H481-J508,0)</f>
        <v>0</v>
      </c>
      <c r="M508" s="648"/>
      <c r="N508" s="649"/>
      <c r="O508" s="1"/>
      <c r="P508" s="3"/>
      <c r="Q508" s="1"/>
      <c r="R508" s="1"/>
      <c r="S508" s="1"/>
      <c r="T508" s="1"/>
      <c r="U508" s="4"/>
    </row>
    <row r="509" spans="1:21" ht="18.75" customHeight="1">
      <c r="A509" s="39" t="s">
        <v>616</v>
      </c>
      <c r="B509" s="29" t="s">
        <v>71</v>
      </c>
      <c r="C509" s="30"/>
      <c r="D509" s="21"/>
      <c r="E509" s="27"/>
      <c r="F509" s="31">
        <f t="shared" ref="F509" si="259">IF(D509="no",E509,E509/1.1)</f>
        <v>0</v>
      </c>
      <c r="G509" s="27">
        <f t="shared" ref="G509" si="260">IF(D509="no",0,F509*0.1)</f>
        <v>0</v>
      </c>
      <c r="H509" s="32">
        <f>100000/0.967</f>
        <v>103412.61633919338</v>
      </c>
      <c r="I509" s="33">
        <f t="shared" si="248"/>
        <v>3412.6163391933819</v>
      </c>
      <c r="J509" s="26"/>
      <c r="K509" s="27">
        <f t="shared" si="249"/>
        <v>100000</v>
      </c>
      <c r="L509" s="40">
        <f>IF(D509="no",F509*#REF!-J509,0)</f>
        <v>0</v>
      </c>
      <c r="M509" s="572"/>
      <c r="N509" s="564"/>
      <c r="O509" s="1"/>
      <c r="P509" s="3"/>
      <c r="Q509" s="1"/>
      <c r="R509" s="1"/>
      <c r="S509" s="1"/>
      <c r="T509" s="1"/>
      <c r="U509" s="4"/>
    </row>
    <row r="510" spans="1:21" s="268" customFormat="1" ht="18.75" customHeight="1">
      <c r="A510" s="39" t="s">
        <v>616</v>
      </c>
      <c r="B510" s="29" t="s">
        <v>37</v>
      </c>
      <c r="C510" s="30"/>
      <c r="D510" s="267"/>
      <c r="E510" s="27"/>
      <c r="F510" s="31">
        <f>IF(D510="no",E510,E510/1.1)</f>
        <v>0</v>
      </c>
      <c r="G510" s="27">
        <f>IF(D510="no",0,F510*0.1)</f>
        <v>0</v>
      </c>
      <c r="H510" s="37"/>
      <c r="I510" s="33">
        <f>IF(D510="no",0,H510*3.3%)</f>
        <v>0</v>
      </c>
      <c r="J510" s="26"/>
      <c r="K510" s="27">
        <f>IF(D510="no",0,H510-I510-J510)</f>
        <v>0</v>
      </c>
      <c r="L510" s="40">
        <f>IF(D510="no",F510*H505-J510,0)</f>
        <v>0</v>
      </c>
      <c r="M510" s="578"/>
      <c r="N510" s="564"/>
      <c r="O510" s="1"/>
      <c r="P510" s="3"/>
      <c r="Q510" s="1"/>
      <c r="R510" s="1"/>
      <c r="S510" s="1"/>
      <c r="T510" s="1"/>
      <c r="U510" s="4"/>
    </row>
    <row r="511" spans="1:21" s="268" customFormat="1" ht="18.75" customHeight="1">
      <c r="A511" s="39" t="s">
        <v>616</v>
      </c>
      <c r="B511" s="29" t="s">
        <v>106</v>
      </c>
      <c r="C511" s="30"/>
      <c r="D511" s="267"/>
      <c r="E511" s="27"/>
      <c r="F511" s="31">
        <f>IF(D511="no",E511,E511/1.1)</f>
        <v>0</v>
      </c>
      <c r="G511" s="27">
        <f>IF(D511="no",0,F511*0.1)</f>
        <v>0</v>
      </c>
      <c r="H511" s="37">
        <f>IF(D511="no",0,F511*H499)</f>
        <v>0</v>
      </c>
      <c r="I511" s="33">
        <f t="shared" ref="I511" si="261">IF(D511="no",0,H511*3.3%)</f>
        <v>0</v>
      </c>
      <c r="J511" s="26"/>
      <c r="K511" s="27">
        <f t="shared" ref="K511" si="262">IF(D511="no",0,H511-I511-J511)</f>
        <v>0</v>
      </c>
      <c r="L511" s="40">
        <f>IF(D511="no",F511*H506-J511,0)</f>
        <v>0</v>
      </c>
      <c r="M511" s="578"/>
      <c r="N511" s="564"/>
      <c r="O511" s="1"/>
      <c r="P511" s="3"/>
      <c r="Q511" s="1"/>
      <c r="R511" s="1"/>
      <c r="S511" s="1"/>
      <c r="T511" s="1"/>
      <c r="U511" s="4"/>
    </row>
    <row r="512" spans="1:21" ht="18.75" customHeight="1">
      <c r="A512" s="39" t="s">
        <v>616</v>
      </c>
      <c r="B512" s="29" t="s">
        <v>41</v>
      </c>
      <c r="C512" s="30"/>
      <c r="D512" s="21"/>
      <c r="E512" s="100"/>
      <c r="F512" s="31">
        <f>IF(D512="no",E512,E512/1.1)</f>
        <v>0</v>
      </c>
      <c r="G512" s="27">
        <f>IF(D512="no",0,F512*0.1)</f>
        <v>0</v>
      </c>
      <c r="H512" s="37">
        <f>IF(D512="no",0,F512*H500)</f>
        <v>0</v>
      </c>
      <c r="I512" s="33">
        <f>IF(D512="no",0,H512*3.3%)</f>
        <v>0</v>
      </c>
      <c r="J512" s="26"/>
      <c r="K512" s="27">
        <f>IF(D512="no",0,H512-I512-J512)</f>
        <v>0</v>
      </c>
      <c r="L512" s="40">
        <v>2000000</v>
      </c>
      <c r="M512" s="625" t="s">
        <v>839</v>
      </c>
      <c r="N512" s="601"/>
      <c r="O512" s="1"/>
      <c r="P512" s="3"/>
      <c r="Q512" s="1"/>
      <c r="R512" s="1"/>
      <c r="S512" s="1"/>
      <c r="T512" s="1"/>
      <c r="U512" s="4"/>
    </row>
    <row r="513" spans="1:21" ht="18.75" customHeight="1">
      <c r="A513" s="575" t="s">
        <v>42</v>
      </c>
      <c r="B513" s="576"/>
      <c r="C513" s="576"/>
      <c r="D513" s="577"/>
      <c r="E513" s="42">
        <f t="shared" ref="E513:L513" si="263">SUM(E484:E512)</f>
        <v>6200000</v>
      </c>
      <c r="F513" s="383">
        <f t="shared" si="263"/>
        <v>5636363.6363636358</v>
      </c>
      <c r="G513" s="42">
        <f t="shared" si="263"/>
        <v>563636.36363636365</v>
      </c>
      <c r="H513" s="42">
        <f t="shared" si="263"/>
        <v>4421594.434521012</v>
      </c>
      <c r="I513" s="42">
        <f t="shared" si="263"/>
        <v>145912.6163391934</v>
      </c>
      <c r="J513" s="42">
        <f t="shared" si="263"/>
        <v>0</v>
      </c>
      <c r="K513" s="42">
        <f t="shared" si="263"/>
        <v>4275681.8181818184</v>
      </c>
      <c r="L513" s="42">
        <f t="shared" si="263"/>
        <v>2000000</v>
      </c>
      <c r="M513" s="44"/>
      <c r="N513" s="45"/>
      <c r="O513" s="1"/>
      <c r="P513" s="3"/>
      <c r="Q513" s="1"/>
      <c r="R513" s="1"/>
      <c r="S513" s="1"/>
      <c r="T513" s="1"/>
      <c r="U513" s="4"/>
    </row>
    <row r="514" spans="1:21" ht="18.75" customHeight="1">
      <c r="A514" s="46" t="s">
        <v>37</v>
      </c>
      <c r="B514" s="47" t="s">
        <v>43</v>
      </c>
      <c r="C514" s="48">
        <f>D482</f>
        <v>3</v>
      </c>
      <c r="D514" s="47" t="s">
        <v>44</v>
      </c>
      <c r="E514" s="49"/>
      <c r="F514" s="50" t="s">
        <v>66</v>
      </c>
      <c r="G514" s="60">
        <f>C514+C541+C582+C633+C671+C698+C727</f>
        <v>20</v>
      </c>
      <c r="H514" s="60"/>
      <c r="I514" s="53" t="s">
        <v>46</v>
      </c>
      <c r="J514" s="54">
        <v>56400</v>
      </c>
      <c r="K514" s="50"/>
      <c r="L514" s="62"/>
      <c r="M514" s="63"/>
      <c r="N514" s="64"/>
      <c r="O514" s="1"/>
      <c r="P514" s="3"/>
      <c r="Q514" s="1"/>
      <c r="R514" s="1"/>
      <c r="S514" s="1"/>
      <c r="T514" s="1"/>
      <c r="U514" s="4"/>
    </row>
    <row r="515" spans="1:21" ht="18.75" customHeight="1" thickBot="1">
      <c r="A515" s="56" t="s">
        <v>48</v>
      </c>
      <c r="B515" s="57" t="s">
        <v>49</v>
      </c>
      <c r="C515" s="58">
        <f>ROUND(F513/10000,0)</f>
        <v>564</v>
      </c>
      <c r="D515" s="57" t="s">
        <v>50</v>
      </c>
      <c r="E515" s="52"/>
      <c r="F515" s="59" t="s">
        <v>67</v>
      </c>
      <c r="G515" s="60">
        <f>C515+C542+C583+C634+C672+C699+C728</f>
        <v>4745</v>
      </c>
      <c r="H515" s="52"/>
      <c r="I515" s="59"/>
      <c r="J515" s="61"/>
      <c r="K515" s="59"/>
      <c r="L515" s="62"/>
      <c r="M515" s="63"/>
      <c r="N515" s="64"/>
      <c r="O515" s="1"/>
      <c r="P515" s="3"/>
      <c r="Q515" s="1"/>
      <c r="R515" s="1"/>
      <c r="S515" s="1"/>
      <c r="T515" s="1"/>
      <c r="U515" s="4"/>
    </row>
    <row r="516" spans="1:21" ht="18.75" customHeight="1" thickBot="1">
      <c r="A516" s="566" t="s">
        <v>52</v>
      </c>
      <c r="B516" s="567"/>
      <c r="C516" s="567"/>
      <c r="D516" s="568"/>
      <c r="E516" s="65"/>
      <c r="F516" s="569" t="s">
        <v>53</v>
      </c>
      <c r="G516" s="568"/>
      <c r="H516" s="66">
        <f>H513-J514</f>
        <v>4365194.434521012</v>
      </c>
      <c r="I516" s="67">
        <f>H516*3.3%</f>
        <v>144051.41633919341</v>
      </c>
      <c r="J516" s="68">
        <f>SUM(J513)</f>
        <v>0</v>
      </c>
      <c r="K516" s="69">
        <f>H516-I516-J516</f>
        <v>4221143.0181818185</v>
      </c>
      <c r="L516" s="70">
        <f>L513+SUM(H514:H515)+J515</f>
        <v>2000000</v>
      </c>
      <c r="M516" s="570">
        <f>K516</f>
        <v>4221143.0181818185</v>
      </c>
      <c r="N516" s="571"/>
      <c r="O516" s="1"/>
      <c r="P516" s="3"/>
      <c r="Q516" s="1"/>
      <c r="R516" s="1"/>
      <c r="S516" s="1"/>
      <c r="T516" s="1"/>
      <c r="U516" s="4"/>
    </row>
    <row r="517" spans="1:21" ht="17.25" customHeight="1">
      <c r="A517" s="1"/>
      <c r="B517" s="1"/>
      <c r="C517" s="1"/>
      <c r="D517" s="1"/>
      <c r="E517" s="1"/>
      <c r="F517" s="1"/>
      <c r="G517" s="1"/>
      <c r="H517" s="141">
        <v>1</v>
      </c>
      <c r="I517" s="1"/>
      <c r="J517" s="1"/>
      <c r="K517" s="1"/>
      <c r="L517" s="1"/>
      <c r="M517" s="1"/>
      <c r="N517" s="1"/>
      <c r="O517" s="1"/>
      <c r="P517" s="3"/>
      <c r="Q517" s="1"/>
      <c r="R517" s="1"/>
      <c r="S517" s="1"/>
      <c r="T517" s="1"/>
      <c r="U517" s="4"/>
    </row>
    <row r="518" spans="1:21" ht="18.75" customHeight="1">
      <c r="A518" s="6" t="s">
        <v>115</v>
      </c>
      <c r="B518" s="7" t="str">
        <f>$B$34</f>
        <v>1월</v>
      </c>
      <c r="C518" s="8" t="s">
        <v>1</v>
      </c>
      <c r="D518" s="9">
        <f>COUNTIF($C520:$C539,"계약")+(COUNTIF($C520:$C539,"계약2")*2)</f>
        <v>1</v>
      </c>
      <c r="E518" s="3">
        <f>COUNTIF(C520:C539,"낙찰수수료")</f>
        <v>1</v>
      </c>
      <c r="F518" s="10"/>
      <c r="G518" s="89" t="s">
        <v>116</v>
      </c>
      <c r="H518" s="11">
        <v>0.5</v>
      </c>
      <c r="I518" s="12">
        <v>3.3000000000000002E-2</v>
      </c>
      <c r="J518" s="1"/>
      <c r="K518" s="1"/>
      <c r="L518" s="1"/>
      <c r="M518" s="1"/>
      <c r="N518" s="1"/>
      <c r="O518" s="1"/>
      <c r="P518" s="3"/>
      <c r="Q518" s="1"/>
      <c r="R518" s="1"/>
      <c r="S518" s="1"/>
      <c r="T518" s="1"/>
      <c r="U518" s="4"/>
    </row>
    <row r="519" spans="1:21" ht="18.75" customHeight="1">
      <c r="A519" s="13" t="s">
        <v>3</v>
      </c>
      <c r="B519" s="14" t="s">
        <v>4</v>
      </c>
      <c r="C519" s="14" t="s">
        <v>5</v>
      </c>
      <c r="D519" s="15" t="s">
        <v>6</v>
      </c>
      <c r="E519" s="16" t="s">
        <v>7</v>
      </c>
      <c r="F519" s="17" t="s">
        <v>8</v>
      </c>
      <c r="G519" s="14" t="s">
        <v>9</v>
      </c>
      <c r="H519" s="15" t="s">
        <v>10</v>
      </c>
      <c r="I519" s="14" t="s">
        <v>11</v>
      </c>
      <c r="J519" s="15" t="s">
        <v>12</v>
      </c>
      <c r="K519" s="14" t="s">
        <v>13</v>
      </c>
      <c r="L519" s="14" t="s">
        <v>14</v>
      </c>
      <c r="M519" s="579" t="s">
        <v>15</v>
      </c>
      <c r="N519" s="577"/>
      <c r="O519" s="1"/>
      <c r="P519" s="3"/>
      <c r="Q519" s="1"/>
      <c r="R519" s="1"/>
      <c r="S519" s="1"/>
      <c r="T519" s="1"/>
      <c r="U519" s="4"/>
    </row>
    <row r="520" spans="1:21" ht="18.75" customHeight="1">
      <c r="A520" s="28">
        <v>46023</v>
      </c>
      <c r="B520" s="29" t="s">
        <v>789</v>
      </c>
      <c r="C520" s="30" t="s">
        <v>357</v>
      </c>
      <c r="D520" s="21"/>
      <c r="E520" s="27">
        <v>1100000</v>
      </c>
      <c r="F520" s="31">
        <f t="shared" ref="F520:F535" si="264">IF(D520="no",E520,E520/1.1)</f>
        <v>999999.99999999988</v>
      </c>
      <c r="G520" s="27">
        <f t="shared" ref="G520:G535" si="265">IF(D520="no",0,F520*0.1)</f>
        <v>100000</v>
      </c>
      <c r="H520" s="32">
        <f t="shared" ref="H520:H527" si="266">IF(D520="no",0,F520*$H$518)</f>
        <v>499999.99999999994</v>
      </c>
      <c r="I520" s="33">
        <f t="shared" ref="I520:I539" si="267">IF(D520="no",0,H520*3.3%)</f>
        <v>16500</v>
      </c>
      <c r="J520" s="26"/>
      <c r="K520" s="27">
        <f t="shared" ref="K520:K539" si="268">IF(D520="no",0,H520-I520-J520)</f>
        <v>483499.99999999994</v>
      </c>
      <c r="L520" s="40">
        <f t="shared" ref="L520" si="269">IF(D520="no",F520*H518-J520,0)</f>
        <v>0</v>
      </c>
      <c r="M520" s="647"/>
      <c r="N520" s="581"/>
      <c r="O520" s="1"/>
      <c r="P520" s="3"/>
      <c r="Q520" s="1"/>
      <c r="R520" s="1"/>
      <c r="S520" s="1"/>
      <c r="T520" s="1"/>
      <c r="U520" s="4"/>
    </row>
    <row r="521" spans="1:21" s="541" customFormat="1" ht="18.75" customHeight="1">
      <c r="A521" s="28">
        <v>46029</v>
      </c>
      <c r="B521" s="29" t="s">
        <v>788</v>
      </c>
      <c r="C521" s="109" t="s">
        <v>56</v>
      </c>
      <c r="D521" s="543"/>
      <c r="E521" s="111">
        <v>2200000</v>
      </c>
      <c r="F521" s="31">
        <f t="shared" ref="F521" si="270">IF(D521="no",E521,E521/1.1)</f>
        <v>1999999.9999999998</v>
      </c>
      <c r="G521" s="27">
        <f t="shared" ref="G521" si="271">IF(D521="no",0,F521*0.1)</f>
        <v>200000</v>
      </c>
      <c r="H521" s="32">
        <f t="shared" ref="H521" si="272">IF(D521="no",0,F521*$H$518)</f>
        <v>999999.99999999988</v>
      </c>
      <c r="I521" s="33">
        <f t="shared" ref="I521" si="273">IF(D521="no",0,H521*3.3%)</f>
        <v>33000</v>
      </c>
      <c r="J521" s="26"/>
      <c r="K521" s="27">
        <f t="shared" ref="K521" si="274">IF(D521="no",0,H521-I521-J521)</f>
        <v>966999.99999999988</v>
      </c>
      <c r="L521" s="40">
        <f>IF(D521="no",F521*H513-J521,0)</f>
        <v>0</v>
      </c>
      <c r="M521" s="563"/>
      <c r="N521" s="564"/>
      <c r="O521" s="1"/>
      <c r="P521" s="3"/>
      <c r="Q521" s="1"/>
      <c r="R521" s="1"/>
      <c r="S521" s="1"/>
      <c r="T521" s="1"/>
      <c r="U521" s="4"/>
    </row>
    <row r="522" spans="1:21" ht="18.75" hidden="1" customHeight="1">
      <c r="A522" s="28"/>
      <c r="B522" s="29"/>
      <c r="C522" s="109"/>
      <c r="D522" s="21"/>
      <c r="E522" s="27"/>
      <c r="F522" s="31">
        <f t="shared" si="264"/>
        <v>0</v>
      </c>
      <c r="G522" s="27">
        <f t="shared" si="265"/>
        <v>0</v>
      </c>
      <c r="H522" s="32">
        <f t="shared" si="266"/>
        <v>0</v>
      </c>
      <c r="I522" s="33">
        <f t="shared" si="267"/>
        <v>0</v>
      </c>
      <c r="J522" s="26"/>
      <c r="K522" s="27">
        <f t="shared" si="268"/>
        <v>0</v>
      </c>
      <c r="L522" s="40">
        <f>IF(D522="no",F522*H519-J522,0)</f>
        <v>0</v>
      </c>
      <c r="M522" s="565"/>
      <c r="N522" s="564"/>
      <c r="O522" s="1"/>
      <c r="P522" s="3"/>
      <c r="Q522" s="1"/>
      <c r="R522" s="1"/>
      <c r="S522" s="1"/>
      <c r="T522" s="1"/>
      <c r="U522" s="4"/>
    </row>
    <row r="523" spans="1:21" ht="18.75" hidden="1" customHeight="1">
      <c r="A523" s="28"/>
      <c r="B523" s="108"/>
      <c r="C523" s="109"/>
      <c r="D523" s="110"/>
      <c r="E523" s="111"/>
      <c r="F523" s="31">
        <f t="shared" si="264"/>
        <v>0</v>
      </c>
      <c r="G523" s="27">
        <f t="shared" si="265"/>
        <v>0</v>
      </c>
      <c r="H523" s="32">
        <f t="shared" si="266"/>
        <v>0</v>
      </c>
      <c r="I523" s="33">
        <f t="shared" si="267"/>
        <v>0</v>
      </c>
      <c r="J523" s="26"/>
      <c r="K523" s="27">
        <f t="shared" si="268"/>
        <v>0</v>
      </c>
      <c r="L523" s="40">
        <f>IF(D523="no",F523*H519-J523,0)</f>
        <v>0</v>
      </c>
      <c r="M523" s="641"/>
      <c r="N523" s="564"/>
      <c r="O523" s="1"/>
      <c r="P523" s="3"/>
      <c r="Q523" s="1"/>
      <c r="R523" s="1"/>
      <c r="S523" s="1"/>
      <c r="T523" s="1"/>
      <c r="U523" s="4"/>
    </row>
    <row r="524" spans="1:21" ht="18.75" hidden="1" customHeight="1">
      <c r="A524" s="28"/>
      <c r="B524" s="29"/>
      <c r="C524" s="30"/>
      <c r="D524" s="21"/>
      <c r="E524" s="27"/>
      <c r="F524" s="31">
        <f t="shared" si="264"/>
        <v>0</v>
      </c>
      <c r="G524" s="27">
        <f t="shared" si="265"/>
        <v>0</v>
      </c>
      <c r="H524" s="32">
        <f t="shared" si="266"/>
        <v>0</v>
      </c>
      <c r="I524" s="33">
        <f t="shared" si="267"/>
        <v>0</v>
      </c>
      <c r="J524" s="26"/>
      <c r="K524" s="27">
        <f t="shared" si="268"/>
        <v>0</v>
      </c>
      <c r="L524" s="40">
        <f>IF(D524="no",F524*H645-J524,0)</f>
        <v>0</v>
      </c>
      <c r="M524" s="572"/>
      <c r="N524" s="564"/>
      <c r="O524" s="1"/>
      <c r="P524" s="3"/>
      <c r="Q524" s="1"/>
      <c r="R524" s="1"/>
      <c r="S524" s="1"/>
      <c r="T524" s="1"/>
      <c r="U524" s="4"/>
    </row>
    <row r="525" spans="1:21" ht="18.75" hidden="1" customHeight="1">
      <c r="A525" s="28"/>
      <c r="B525" s="29"/>
      <c r="C525" s="30"/>
      <c r="D525" s="21"/>
      <c r="E525" s="27"/>
      <c r="F525" s="31">
        <f t="shared" si="264"/>
        <v>0</v>
      </c>
      <c r="G525" s="27">
        <f t="shared" si="265"/>
        <v>0</v>
      </c>
      <c r="H525" s="32">
        <f t="shared" si="266"/>
        <v>0</v>
      </c>
      <c r="I525" s="33">
        <f t="shared" si="267"/>
        <v>0</v>
      </c>
      <c r="J525" s="26"/>
      <c r="K525" s="27">
        <f t="shared" si="268"/>
        <v>0</v>
      </c>
      <c r="L525" s="40">
        <f>IF(D525="no",F525*H645-J525,0)</f>
        <v>0</v>
      </c>
      <c r="M525" s="563"/>
      <c r="N525" s="564"/>
      <c r="O525" s="1"/>
      <c r="P525" s="3"/>
      <c r="Q525" s="1"/>
      <c r="R525" s="1"/>
      <c r="S525" s="1"/>
      <c r="T525" s="1"/>
      <c r="U525" s="4"/>
    </row>
    <row r="526" spans="1:21" ht="18.75" hidden="1" customHeight="1">
      <c r="A526" s="28"/>
      <c r="B526" s="29"/>
      <c r="C526" s="29"/>
      <c r="D526" s="38"/>
      <c r="E526" s="27"/>
      <c r="F526" s="31">
        <f t="shared" si="264"/>
        <v>0</v>
      </c>
      <c r="G526" s="27">
        <f t="shared" si="265"/>
        <v>0</v>
      </c>
      <c r="H526" s="32">
        <f t="shared" si="266"/>
        <v>0</v>
      </c>
      <c r="I526" s="33">
        <f t="shared" si="267"/>
        <v>0</v>
      </c>
      <c r="J526" s="26"/>
      <c r="K526" s="27">
        <f t="shared" si="268"/>
        <v>0</v>
      </c>
      <c r="L526" s="40">
        <f>IF(D526="no",F526*H518-J526,0)</f>
        <v>0</v>
      </c>
      <c r="M526" s="563"/>
      <c r="N526" s="564"/>
      <c r="O526" s="1"/>
      <c r="P526" s="3"/>
      <c r="Q526" s="1"/>
      <c r="R526" s="1"/>
      <c r="S526" s="1"/>
      <c r="T526" s="1"/>
      <c r="U526" s="4"/>
    </row>
    <row r="527" spans="1:21" ht="18.75" hidden="1" customHeight="1">
      <c r="A527" s="121"/>
      <c r="B527" s="108"/>
      <c r="C527" s="109"/>
      <c r="D527" s="110"/>
      <c r="E527" s="111"/>
      <c r="F527" s="31">
        <f t="shared" si="264"/>
        <v>0</v>
      </c>
      <c r="G527" s="27">
        <f t="shared" si="265"/>
        <v>0</v>
      </c>
      <c r="H527" s="32">
        <f t="shared" si="266"/>
        <v>0</v>
      </c>
      <c r="I527" s="33">
        <f t="shared" si="267"/>
        <v>0</v>
      </c>
      <c r="J527" s="26"/>
      <c r="K527" s="27">
        <f t="shared" si="268"/>
        <v>0</v>
      </c>
      <c r="L527" s="40">
        <f>IF(D527="no",F527*H518-J527,0)</f>
        <v>0</v>
      </c>
      <c r="M527" s="651"/>
      <c r="N527" s="597"/>
      <c r="O527" s="1"/>
      <c r="P527" s="3"/>
      <c r="Q527" s="1"/>
      <c r="R527" s="1"/>
      <c r="S527" s="1"/>
      <c r="T527" s="1"/>
      <c r="U527" s="4"/>
    </row>
    <row r="528" spans="1:21" ht="18.75" hidden="1" customHeight="1">
      <c r="A528" s="121"/>
      <c r="B528" s="108"/>
      <c r="C528" s="109"/>
      <c r="D528" s="110"/>
      <c r="E528" s="111"/>
      <c r="F528" s="31">
        <f t="shared" si="264"/>
        <v>0</v>
      </c>
      <c r="G528" s="27">
        <f t="shared" si="265"/>
        <v>0</v>
      </c>
      <c r="H528" s="32">
        <f t="shared" ref="H528:H533" si="275">IF(D528="no",0,F528*$H$518)</f>
        <v>0</v>
      </c>
      <c r="I528" s="33">
        <f t="shared" si="267"/>
        <v>0</v>
      </c>
      <c r="J528" s="26"/>
      <c r="K528" s="27">
        <f t="shared" si="268"/>
        <v>0</v>
      </c>
      <c r="L528" s="40">
        <f>IF(D528="no",F528*H518-J528,0)</f>
        <v>0</v>
      </c>
      <c r="M528" s="608"/>
      <c r="N528" s="564"/>
      <c r="O528" s="1"/>
      <c r="P528" s="3"/>
      <c r="Q528" s="1"/>
      <c r="R528" s="1"/>
      <c r="S528" s="1"/>
      <c r="T528" s="1"/>
      <c r="U528" s="4"/>
    </row>
    <row r="529" spans="1:21" ht="18.75" hidden="1" customHeight="1">
      <c r="A529" s="28"/>
      <c r="B529" s="29"/>
      <c r="C529" s="30"/>
      <c r="D529" s="21"/>
      <c r="E529" s="27"/>
      <c r="F529" s="31">
        <f t="shared" si="264"/>
        <v>0</v>
      </c>
      <c r="G529" s="27">
        <f t="shared" si="265"/>
        <v>0</v>
      </c>
      <c r="H529" s="32">
        <f t="shared" si="275"/>
        <v>0</v>
      </c>
      <c r="I529" s="33">
        <f t="shared" si="267"/>
        <v>0</v>
      </c>
      <c r="J529" s="26"/>
      <c r="K529" s="27">
        <f t="shared" si="268"/>
        <v>0</v>
      </c>
      <c r="L529" s="40">
        <f>IF(D529="no",F529*H828-J529,0)</f>
        <v>0</v>
      </c>
      <c r="M529" s="563"/>
      <c r="N529" s="564"/>
      <c r="O529" s="1"/>
      <c r="P529" s="3"/>
      <c r="Q529" s="1"/>
      <c r="R529" s="1"/>
      <c r="S529" s="1"/>
      <c r="T529" s="1"/>
      <c r="U529" s="4"/>
    </row>
    <row r="530" spans="1:21" ht="18.75" hidden="1" customHeight="1">
      <c r="A530" s="28"/>
      <c r="B530" s="29"/>
      <c r="C530" s="30"/>
      <c r="D530" s="21"/>
      <c r="E530" s="27"/>
      <c r="F530" s="31">
        <f t="shared" si="264"/>
        <v>0</v>
      </c>
      <c r="G530" s="27">
        <f t="shared" si="265"/>
        <v>0</v>
      </c>
      <c r="H530" s="32">
        <f t="shared" si="275"/>
        <v>0</v>
      </c>
      <c r="I530" s="33">
        <f t="shared" si="267"/>
        <v>0</v>
      </c>
      <c r="J530" s="26"/>
      <c r="K530" s="27">
        <f t="shared" si="268"/>
        <v>0</v>
      </c>
      <c r="L530" s="40">
        <f>IF(D530="no",F530*H828-J530,0)</f>
        <v>0</v>
      </c>
      <c r="M530" s="563"/>
      <c r="N530" s="564"/>
      <c r="O530" s="1"/>
      <c r="P530" s="3"/>
      <c r="Q530" s="1"/>
      <c r="R530" s="1"/>
      <c r="S530" s="1"/>
      <c r="T530" s="1"/>
      <c r="U530" s="4"/>
    </row>
    <row r="531" spans="1:21" ht="18.75" hidden="1" customHeight="1">
      <c r="A531" s="28"/>
      <c r="B531" s="29"/>
      <c r="C531" s="30"/>
      <c r="D531" s="21"/>
      <c r="E531" s="27"/>
      <c r="F531" s="31">
        <f t="shared" si="264"/>
        <v>0</v>
      </c>
      <c r="G531" s="27">
        <f t="shared" si="265"/>
        <v>0</v>
      </c>
      <c r="H531" s="32">
        <f t="shared" si="275"/>
        <v>0</v>
      </c>
      <c r="I531" s="33">
        <f t="shared" si="267"/>
        <v>0</v>
      </c>
      <c r="J531" s="26"/>
      <c r="K531" s="27">
        <f t="shared" si="268"/>
        <v>0</v>
      </c>
      <c r="L531" s="40">
        <f>IF(D531="no",F531*H828-J531,0)</f>
        <v>0</v>
      </c>
      <c r="M531" s="563"/>
      <c r="N531" s="564"/>
      <c r="O531" s="1"/>
      <c r="P531" s="3"/>
      <c r="Q531" s="1"/>
      <c r="R531" s="1"/>
      <c r="S531" s="1"/>
      <c r="T531" s="1"/>
      <c r="U531" s="4"/>
    </row>
    <row r="532" spans="1:21" ht="18.75" hidden="1" customHeight="1">
      <c r="A532" s="28"/>
      <c r="B532" s="29"/>
      <c r="C532" s="30"/>
      <c r="D532" s="21"/>
      <c r="E532" s="27"/>
      <c r="F532" s="31">
        <f t="shared" si="264"/>
        <v>0</v>
      </c>
      <c r="G532" s="27">
        <f t="shared" si="265"/>
        <v>0</v>
      </c>
      <c r="H532" s="32">
        <f t="shared" si="275"/>
        <v>0</v>
      </c>
      <c r="I532" s="33">
        <f t="shared" si="267"/>
        <v>0</v>
      </c>
      <c r="J532" s="26"/>
      <c r="K532" s="27">
        <f t="shared" si="268"/>
        <v>0</v>
      </c>
      <c r="L532" s="40">
        <f>IF(D532="no",F532*H518-J532,0)</f>
        <v>0</v>
      </c>
      <c r="M532" s="563"/>
      <c r="N532" s="564"/>
      <c r="O532" s="1"/>
      <c r="P532" s="3"/>
      <c r="Q532" s="1"/>
      <c r="R532" s="1"/>
      <c r="S532" s="1"/>
      <c r="T532" s="1"/>
      <c r="U532" s="4"/>
    </row>
    <row r="533" spans="1:21" ht="18.75" hidden="1" customHeight="1">
      <c r="A533" s="28"/>
      <c r="B533" s="29"/>
      <c r="C533" s="30"/>
      <c r="D533" s="21"/>
      <c r="E533" s="27"/>
      <c r="F533" s="31">
        <f t="shared" si="264"/>
        <v>0</v>
      </c>
      <c r="G533" s="27">
        <f t="shared" si="265"/>
        <v>0</v>
      </c>
      <c r="H533" s="32">
        <f t="shared" si="275"/>
        <v>0</v>
      </c>
      <c r="I533" s="33">
        <f t="shared" si="267"/>
        <v>0</v>
      </c>
      <c r="J533" s="26"/>
      <c r="K533" s="27">
        <f t="shared" si="268"/>
        <v>0</v>
      </c>
      <c r="L533" s="40">
        <f>IF(D533="no",F533*H518-J533,0)</f>
        <v>0</v>
      </c>
      <c r="M533" s="563"/>
      <c r="N533" s="564"/>
      <c r="O533" s="1"/>
      <c r="P533" s="3"/>
      <c r="Q533" s="1"/>
      <c r="R533" s="1"/>
      <c r="S533" s="1"/>
      <c r="T533" s="1"/>
      <c r="U533" s="4"/>
    </row>
    <row r="534" spans="1:21" ht="18.75" customHeight="1">
      <c r="A534" s="28"/>
      <c r="B534" s="29"/>
      <c r="C534" s="30"/>
      <c r="D534" s="21"/>
      <c r="E534" s="27"/>
      <c r="F534" s="31">
        <f t="shared" si="264"/>
        <v>0</v>
      </c>
      <c r="G534" s="27">
        <f t="shared" si="265"/>
        <v>0</v>
      </c>
      <c r="H534" s="32">
        <f>IF(D534="no",0,F534*$H$518)</f>
        <v>0</v>
      </c>
      <c r="I534" s="33">
        <f t="shared" si="267"/>
        <v>0</v>
      </c>
      <c r="J534" s="26"/>
      <c r="K534" s="27">
        <f t="shared" si="268"/>
        <v>0</v>
      </c>
      <c r="L534" s="40">
        <f>IF(D534="no",F534*H518-J534,0)</f>
        <v>0</v>
      </c>
      <c r="M534" s="563"/>
      <c r="N534" s="564"/>
      <c r="O534" s="1"/>
      <c r="P534" s="3"/>
      <c r="Q534" s="1"/>
      <c r="R534" s="1"/>
      <c r="S534" s="1"/>
      <c r="T534" s="1"/>
      <c r="U534" s="4"/>
    </row>
    <row r="535" spans="1:21" s="321" customFormat="1" ht="18.75" customHeight="1">
      <c r="A535" s="39" t="s">
        <v>616</v>
      </c>
      <c r="B535" s="29" t="s">
        <v>343</v>
      </c>
      <c r="C535" s="382"/>
      <c r="D535" s="320"/>
      <c r="E535" s="111"/>
      <c r="F535" s="31">
        <f t="shared" si="264"/>
        <v>0</v>
      </c>
      <c r="G535" s="27">
        <f t="shared" si="265"/>
        <v>0</v>
      </c>
      <c r="H535" s="37">
        <f>IF(D535="no",0,F535*H517)</f>
        <v>0</v>
      </c>
      <c r="I535" s="33">
        <f t="shared" si="267"/>
        <v>0</v>
      </c>
      <c r="J535" s="26"/>
      <c r="K535" s="27">
        <f t="shared" si="268"/>
        <v>0</v>
      </c>
      <c r="L535" s="40">
        <f>IF(D535="no",F535*H511-J535,0)</f>
        <v>0</v>
      </c>
      <c r="M535" s="590"/>
      <c r="N535" s="564"/>
      <c r="O535" s="1"/>
      <c r="P535" s="3"/>
      <c r="Q535" s="1"/>
      <c r="R535" s="1"/>
      <c r="S535" s="1"/>
      <c r="T535" s="1"/>
      <c r="U535" s="4"/>
    </row>
    <row r="536" spans="1:21" ht="18.75" customHeight="1">
      <c r="A536" s="39" t="s">
        <v>616</v>
      </c>
      <c r="B536" s="29" t="s">
        <v>35</v>
      </c>
      <c r="C536" s="30"/>
      <c r="D536" s="21"/>
      <c r="E536" s="27"/>
      <c r="F536" s="31">
        <f t="shared" ref="F536:F538" si="276">IF(D536="no",E536,E536/1.1)</f>
        <v>0</v>
      </c>
      <c r="G536" s="27">
        <f t="shared" ref="G536:G538" si="277">IF(D536="no",0,F536*0.1)</f>
        <v>0</v>
      </c>
      <c r="H536" s="32">
        <v>0</v>
      </c>
      <c r="I536" s="33">
        <f>IF(D536="no",0,H536*3.3%)</f>
        <v>0</v>
      </c>
      <c r="J536" s="97"/>
      <c r="K536" s="27">
        <f>IF(D536="no",0,H536-I536-J536)</f>
        <v>0</v>
      </c>
      <c r="L536" s="40">
        <f>IF(D536="no",F536*H1006-J536,0)</f>
        <v>0</v>
      </c>
      <c r="M536" s="572"/>
      <c r="N536" s="564"/>
      <c r="O536" s="1"/>
      <c r="P536" s="3"/>
      <c r="Q536" s="1"/>
      <c r="R536" s="1"/>
      <c r="S536" s="1"/>
      <c r="T536" s="1"/>
      <c r="U536" s="4"/>
    </row>
    <row r="537" spans="1:21" ht="18.75" customHeight="1">
      <c r="A537" s="39" t="s">
        <v>616</v>
      </c>
      <c r="B537" s="29" t="s">
        <v>61</v>
      </c>
      <c r="C537" s="30"/>
      <c r="D537" s="21"/>
      <c r="E537" s="27"/>
      <c r="F537" s="31">
        <f t="shared" si="276"/>
        <v>0</v>
      </c>
      <c r="G537" s="27">
        <f t="shared" si="277"/>
        <v>0</v>
      </c>
      <c r="H537" s="32">
        <f>IF(D537="no",0,F537*H518)</f>
        <v>0</v>
      </c>
      <c r="I537" s="33">
        <f t="shared" si="267"/>
        <v>0</v>
      </c>
      <c r="J537" s="26"/>
      <c r="K537" s="27">
        <f t="shared" si="268"/>
        <v>0</v>
      </c>
      <c r="L537" s="40">
        <f>IF(D537="no",F537*H522-J537,0)</f>
        <v>0</v>
      </c>
      <c r="M537" s="578"/>
      <c r="N537" s="564"/>
      <c r="O537" s="1"/>
      <c r="P537" s="3"/>
      <c r="Q537" s="1"/>
      <c r="R537" s="1"/>
      <c r="S537" s="1"/>
      <c r="T537" s="1"/>
      <c r="U537" s="4"/>
    </row>
    <row r="538" spans="1:21" ht="18.75" customHeight="1">
      <c r="A538" s="39" t="s">
        <v>616</v>
      </c>
      <c r="B538" s="29" t="s">
        <v>37</v>
      </c>
      <c r="C538" s="30"/>
      <c r="D538" s="21"/>
      <c r="E538" s="27"/>
      <c r="F538" s="31">
        <f t="shared" si="276"/>
        <v>0</v>
      </c>
      <c r="G538" s="27">
        <f t="shared" si="277"/>
        <v>0</v>
      </c>
      <c r="H538" s="32">
        <f>IF(D538="no",0,F538*H517)</f>
        <v>0</v>
      </c>
      <c r="I538" s="33">
        <f>IF(D538="no",0,H538*3.3%)</f>
        <v>0</v>
      </c>
      <c r="J538" s="26"/>
      <c r="K538" s="27">
        <f>IF(D538="no",0,H538-I538-J538)</f>
        <v>0</v>
      </c>
      <c r="L538" s="40">
        <f>IF(D538="no",F538*H523-J538,0)</f>
        <v>0</v>
      </c>
      <c r="M538" s="572"/>
      <c r="N538" s="564"/>
      <c r="O538" s="1"/>
      <c r="P538" s="3"/>
      <c r="Q538" s="1"/>
      <c r="R538" s="1"/>
      <c r="S538" s="1"/>
      <c r="T538" s="1"/>
      <c r="U538" s="4"/>
    </row>
    <row r="539" spans="1:21" ht="18.75" customHeight="1">
      <c r="A539" s="39" t="s">
        <v>616</v>
      </c>
      <c r="B539" s="29" t="s">
        <v>514</v>
      </c>
      <c r="C539" s="30"/>
      <c r="D539" s="21"/>
      <c r="E539" s="27"/>
      <c r="F539" s="31">
        <f>IF(D539="no",E539,E539/1.1)</f>
        <v>0</v>
      </c>
      <c r="G539" s="27">
        <f>IF(D539="no",0,F539*0.1)</f>
        <v>0</v>
      </c>
      <c r="H539" s="37">
        <v>0</v>
      </c>
      <c r="I539" s="33">
        <f t="shared" si="267"/>
        <v>0</v>
      </c>
      <c r="J539" s="26"/>
      <c r="K539" s="27">
        <f t="shared" si="268"/>
        <v>0</v>
      </c>
      <c r="L539" s="40">
        <f>IF(D539="no",F539*#REF!-J539,0)</f>
        <v>0</v>
      </c>
      <c r="M539" s="625"/>
      <c r="N539" s="601"/>
      <c r="O539" s="1"/>
      <c r="P539" s="3"/>
      <c r="Q539" s="1"/>
      <c r="R539" s="1"/>
      <c r="S539" s="1"/>
      <c r="T539" s="1"/>
      <c r="U539" s="4"/>
    </row>
    <row r="540" spans="1:21" ht="18.75" customHeight="1">
      <c r="A540" s="117" t="s">
        <v>42</v>
      </c>
      <c r="B540" s="118"/>
      <c r="C540" s="118"/>
      <c r="D540" s="119"/>
      <c r="E540" s="42">
        <f t="shared" ref="E540:L540" si="278">SUM(E520:E539)</f>
        <v>3300000</v>
      </c>
      <c r="F540" s="17">
        <f t="shared" si="278"/>
        <v>2999999.9999999995</v>
      </c>
      <c r="G540" s="42">
        <f t="shared" si="278"/>
        <v>300000</v>
      </c>
      <c r="H540" s="42">
        <f t="shared" si="278"/>
        <v>1499999.9999999998</v>
      </c>
      <c r="I540" s="42">
        <f t="shared" si="278"/>
        <v>49500</v>
      </c>
      <c r="J540" s="42">
        <f t="shared" si="278"/>
        <v>0</v>
      </c>
      <c r="K540" s="42">
        <f t="shared" si="278"/>
        <v>1450499.9999999998</v>
      </c>
      <c r="L540" s="42">
        <f t="shared" si="278"/>
        <v>0</v>
      </c>
      <c r="M540" s="144"/>
      <c r="N540" s="145"/>
      <c r="O540" s="1"/>
      <c r="P540" s="3"/>
      <c r="Q540" s="1"/>
      <c r="R540" s="1"/>
      <c r="S540" s="1"/>
      <c r="T540" s="1"/>
      <c r="U540" s="4"/>
    </row>
    <row r="541" spans="1:21" ht="18.75" customHeight="1">
      <c r="A541" s="46" t="s">
        <v>37</v>
      </c>
      <c r="B541" s="47" t="s">
        <v>43</v>
      </c>
      <c r="C541" s="48">
        <f>D518</f>
        <v>1</v>
      </c>
      <c r="D541" s="47" t="s">
        <v>44</v>
      </c>
      <c r="E541" s="49"/>
      <c r="F541" s="50"/>
      <c r="G541" s="60"/>
      <c r="H541" s="60"/>
      <c r="I541" s="53" t="s">
        <v>46</v>
      </c>
      <c r="J541" s="54">
        <v>81567</v>
      </c>
      <c r="K541" s="59"/>
      <c r="L541" s="62"/>
      <c r="M541" s="50"/>
      <c r="N541" s="120"/>
      <c r="O541" s="1"/>
      <c r="P541" s="3"/>
      <c r="Q541" s="1"/>
      <c r="R541" s="1"/>
      <c r="S541" s="1"/>
      <c r="T541" s="1"/>
      <c r="U541" s="4"/>
    </row>
    <row r="542" spans="1:21" ht="19.5" customHeight="1" thickBot="1">
      <c r="A542" s="56" t="s">
        <v>48</v>
      </c>
      <c r="B542" s="57" t="s">
        <v>49</v>
      </c>
      <c r="C542" s="58">
        <f>ROUND(F540/10000,0)</f>
        <v>300</v>
      </c>
      <c r="D542" s="57" t="s">
        <v>50</v>
      </c>
      <c r="E542" s="52"/>
      <c r="F542" s="59"/>
      <c r="G542" s="60"/>
      <c r="H542" s="60"/>
      <c r="I542" s="59"/>
      <c r="J542" s="61"/>
      <c r="K542" s="59"/>
      <c r="L542" s="62">
        <v>0</v>
      </c>
      <c r="M542" s="59"/>
      <c r="N542" s="64"/>
      <c r="O542" s="1"/>
      <c r="P542" s="3"/>
      <c r="Q542" s="1"/>
      <c r="R542" s="1"/>
      <c r="S542" s="1"/>
      <c r="T542" s="1"/>
      <c r="U542" s="4"/>
    </row>
    <row r="543" spans="1:21" ht="20.25" customHeight="1" thickBot="1">
      <c r="A543" s="566" t="s">
        <v>52</v>
      </c>
      <c r="B543" s="567"/>
      <c r="C543" s="567"/>
      <c r="D543" s="568"/>
      <c r="E543" s="65"/>
      <c r="F543" s="569" t="s">
        <v>53</v>
      </c>
      <c r="G543" s="568"/>
      <c r="H543" s="66">
        <f>H540-J541</f>
        <v>1418432.9999999998</v>
      </c>
      <c r="I543" s="67">
        <f>H543*3.3%</f>
        <v>46808.288999999997</v>
      </c>
      <c r="J543" s="68">
        <f>SUM(J540)</f>
        <v>0</v>
      </c>
      <c r="K543" s="69">
        <f>H543-I543-J543</f>
        <v>1371624.7109999997</v>
      </c>
      <c r="L543" s="70"/>
      <c r="M543" s="570">
        <f>K543+L543</f>
        <v>1371624.7109999997</v>
      </c>
      <c r="N543" s="571"/>
      <c r="O543" s="1"/>
      <c r="P543" s="3"/>
      <c r="Q543" s="1"/>
      <c r="R543" s="1"/>
      <c r="S543" s="1"/>
      <c r="T543" s="1"/>
      <c r="U543" s="4"/>
    </row>
    <row r="544" spans="1:21" ht="15" hidden="1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3"/>
      <c r="Q544" s="1"/>
      <c r="R544" s="1"/>
      <c r="S544" s="1"/>
      <c r="T544" s="1"/>
      <c r="U544" s="4"/>
    </row>
    <row r="545" spans="1:21" ht="18.75" hidden="1" customHeight="1">
      <c r="A545" s="6"/>
      <c r="B545" s="7" t="str">
        <f>$B$34</f>
        <v>1월</v>
      </c>
      <c r="C545" s="8" t="s">
        <v>1</v>
      </c>
      <c r="D545" s="9">
        <f>COUNTIF($C547:$C552,"계약")+(COUNTIF($C547:$C552,"계약2")*2)</f>
        <v>0</v>
      </c>
      <c r="E545" s="3">
        <f>COUNTIF(C547:C552,"낙찰수수료")</f>
        <v>0</v>
      </c>
      <c r="F545" s="3"/>
      <c r="G545" s="89" t="s">
        <v>99</v>
      </c>
      <c r="H545" s="11">
        <v>0.5</v>
      </c>
      <c r="I545" s="12">
        <v>3.3000000000000002E-2</v>
      </c>
      <c r="J545" s="1"/>
      <c r="K545" s="1"/>
      <c r="L545" s="1"/>
      <c r="M545" s="1"/>
      <c r="N545" s="1"/>
      <c r="O545" s="1"/>
      <c r="P545" s="3"/>
      <c r="Q545" s="1"/>
      <c r="R545" s="1"/>
      <c r="S545" s="1"/>
      <c r="T545" s="1"/>
      <c r="U545" s="4"/>
    </row>
    <row r="546" spans="1:21" ht="18.75" hidden="1" customHeight="1">
      <c r="A546" s="13" t="s">
        <v>3</v>
      </c>
      <c r="B546" s="14" t="s">
        <v>4</v>
      </c>
      <c r="C546" s="14" t="s">
        <v>5</v>
      </c>
      <c r="D546" s="101" t="s">
        <v>6</v>
      </c>
      <c r="E546" s="16" t="s">
        <v>7</v>
      </c>
      <c r="F546" s="17" t="s">
        <v>8</v>
      </c>
      <c r="G546" s="14" t="s">
        <v>9</v>
      </c>
      <c r="H546" s="15" t="s">
        <v>10</v>
      </c>
      <c r="I546" s="14" t="s">
        <v>11</v>
      </c>
      <c r="J546" s="15" t="s">
        <v>12</v>
      </c>
      <c r="K546" s="14" t="s">
        <v>13</v>
      </c>
      <c r="L546" s="14" t="s">
        <v>14</v>
      </c>
      <c r="M546" s="579" t="s">
        <v>15</v>
      </c>
      <c r="N546" s="577"/>
      <c r="O546" s="1"/>
      <c r="P546" s="3"/>
      <c r="Q546" s="1"/>
      <c r="R546" s="1"/>
      <c r="S546" s="1"/>
      <c r="T546" s="1"/>
      <c r="U546" s="4"/>
    </row>
    <row r="547" spans="1:21" ht="18.75" hidden="1" customHeight="1">
      <c r="A547" s="28"/>
      <c r="B547" s="29"/>
      <c r="C547" s="30"/>
      <c r="D547" s="38"/>
      <c r="E547" s="27"/>
      <c r="F547" s="31">
        <f t="shared" ref="F547" si="279">IF(D547="no",E547,E547/1.1)</f>
        <v>0</v>
      </c>
      <c r="G547" s="27">
        <f t="shared" ref="G547" si="280">IF(D547="no",0,F547*0.1)</f>
        <v>0</v>
      </c>
      <c r="H547" s="32">
        <f>IF(D547="no",0,F547*H545)</f>
        <v>0</v>
      </c>
      <c r="I547" s="33">
        <f t="shared" ref="I547:I552" si="281">IF(D547="no",0,H547*3.3%)</f>
        <v>0</v>
      </c>
      <c r="J547" s="26"/>
      <c r="K547" s="27">
        <f t="shared" ref="K547:K552" si="282">IF(D547="no",0,H547-I547-J547)</f>
        <v>0</v>
      </c>
      <c r="L547" s="27">
        <f>IF(D547="no",F547*H545-J547,0)</f>
        <v>0</v>
      </c>
      <c r="M547" s="580"/>
      <c r="N547" s="581"/>
      <c r="O547" s="1"/>
      <c r="P547" s="3"/>
      <c r="Q547" s="1"/>
      <c r="R547" s="1"/>
      <c r="S547" s="1"/>
      <c r="T547" s="1"/>
      <c r="U547" s="4"/>
    </row>
    <row r="548" spans="1:21" ht="18.75" hidden="1" customHeight="1">
      <c r="A548" s="39" t="s">
        <v>501</v>
      </c>
      <c r="B548" s="29" t="s">
        <v>100</v>
      </c>
      <c r="C548" s="30"/>
      <c r="D548" s="21"/>
      <c r="E548" s="27"/>
      <c r="F548" s="31"/>
      <c r="G548" s="27"/>
      <c r="H548" s="32"/>
      <c r="I548" s="33">
        <f t="shared" si="281"/>
        <v>0</v>
      </c>
      <c r="J548" s="26"/>
      <c r="K548" s="27">
        <f t="shared" si="282"/>
        <v>0</v>
      </c>
      <c r="L548" s="1"/>
      <c r="M548" s="574"/>
      <c r="N548" s="564"/>
      <c r="O548" s="1"/>
      <c r="P548" s="3"/>
      <c r="Q548" s="1"/>
      <c r="R548" s="1"/>
      <c r="S548" s="1"/>
      <c r="T548" s="1"/>
      <c r="U548" s="4"/>
    </row>
    <row r="549" spans="1:21" ht="18.75" hidden="1" customHeight="1">
      <c r="A549" s="39" t="s">
        <v>501</v>
      </c>
      <c r="B549" s="29" t="s">
        <v>61</v>
      </c>
      <c r="C549" s="30"/>
      <c r="D549" s="38"/>
      <c r="E549" s="27"/>
      <c r="F549" s="31"/>
      <c r="G549" s="27"/>
      <c r="H549" s="37">
        <v>0</v>
      </c>
      <c r="I549" s="33">
        <f t="shared" si="281"/>
        <v>0</v>
      </c>
      <c r="J549" s="26"/>
      <c r="K549" s="27">
        <f t="shared" si="282"/>
        <v>0</v>
      </c>
      <c r="L549" s="27">
        <f>IF(D549="no",F549*H557-J549,0)</f>
        <v>0</v>
      </c>
      <c r="M549" s="572"/>
      <c r="N549" s="564"/>
      <c r="O549" s="1"/>
      <c r="P549" s="3"/>
      <c r="Q549" s="1"/>
      <c r="R549" s="1"/>
      <c r="S549" s="1"/>
      <c r="T549" s="1"/>
      <c r="U549" s="4"/>
    </row>
    <row r="550" spans="1:21" ht="18.75" hidden="1" customHeight="1">
      <c r="A550" s="39" t="s">
        <v>501</v>
      </c>
      <c r="B550" s="29" t="s">
        <v>35</v>
      </c>
      <c r="C550" s="30"/>
      <c r="D550" s="21"/>
      <c r="E550" s="27"/>
      <c r="F550" s="31">
        <f t="shared" ref="F550:F552" si="283">IF(D550="no",E550,E550/1.1)</f>
        <v>0</v>
      </c>
      <c r="G550" s="27">
        <f t="shared" ref="G550:G552" si="284">IF(D550="no",0,F550*0.1)</f>
        <v>0</v>
      </c>
      <c r="H550" s="37">
        <f>IF(D550="no",0,F550*H545)</f>
        <v>0</v>
      </c>
      <c r="I550" s="33">
        <f t="shared" si="281"/>
        <v>0</v>
      </c>
      <c r="J550" s="26"/>
      <c r="K550" s="27">
        <f t="shared" si="282"/>
        <v>0</v>
      </c>
      <c r="L550" s="1"/>
      <c r="M550" s="574"/>
      <c r="N550" s="564"/>
      <c r="O550" s="1"/>
      <c r="P550" s="3"/>
      <c r="Q550" s="1"/>
      <c r="R550" s="1"/>
      <c r="S550" s="1"/>
      <c r="T550" s="1"/>
      <c r="U550" s="4"/>
    </row>
    <row r="551" spans="1:21" ht="18.75" hidden="1" customHeight="1">
      <c r="A551" s="39" t="s">
        <v>501</v>
      </c>
      <c r="B551" s="29" t="s">
        <v>71</v>
      </c>
      <c r="C551" s="30"/>
      <c r="D551" s="21"/>
      <c r="E551" s="27"/>
      <c r="F551" s="31">
        <f t="shared" si="283"/>
        <v>0</v>
      </c>
      <c r="G551" s="27">
        <f t="shared" si="284"/>
        <v>0</v>
      </c>
      <c r="H551" s="32"/>
      <c r="I551" s="33">
        <f t="shared" si="281"/>
        <v>0</v>
      </c>
      <c r="J551" s="26"/>
      <c r="K551" s="27">
        <f t="shared" si="282"/>
        <v>0</v>
      </c>
      <c r="L551" s="40">
        <f>IF(D551="no",F551*#REF!-J551,0)</f>
        <v>0</v>
      </c>
      <c r="M551" s="572"/>
      <c r="N551" s="564"/>
      <c r="O551" s="1"/>
      <c r="P551" s="3"/>
      <c r="Q551" s="1"/>
      <c r="R551" s="1"/>
      <c r="S551" s="1"/>
      <c r="T551" s="1"/>
      <c r="U551" s="4"/>
    </row>
    <row r="552" spans="1:21" ht="18.75" hidden="1" customHeight="1">
      <c r="A552" s="39" t="s">
        <v>501</v>
      </c>
      <c r="B552" s="29" t="s">
        <v>37</v>
      </c>
      <c r="C552" s="30"/>
      <c r="D552" s="21"/>
      <c r="E552" s="27"/>
      <c r="F552" s="31">
        <f t="shared" si="283"/>
        <v>0</v>
      </c>
      <c r="G552" s="27">
        <f t="shared" si="284"/>
        <v>0</v>
      </c>
      <c r="H552" s="37">
        <f>(E554+E555+N555)/0.967</f>
        <v>0</v>
      </c>
      <c r="I552" s="33">
        <f t="shared" si="281"/>
        <v>0</v>
      </c>
      <c r="J552" s="26"/>
      <c r="K552" s="27">
        <f t="shared" si="282"/>
        <v>0</v>
      </c>
      <c r="L552" s="27"/>
      <c r="M552" s="572"/>
      <c r="N552" s="564"/>
      <c r="O552" s="1"/>
      <c r="P552" s="3"/>
      <c r="Q552" s="1"/>
      <c r="R552" s="1"/>
      <c r="S552" s="1"/>
      <c r="T552" s="1"/>
      <c r="U552" s="4"/>
    </row>
    <row r="553" spans="1:21" ht="18.75" hidden="1" customHeight="1">
      <c r="A553" s="575" t="s">
        <v>42</v>
      </c>
      <c r="B553" s="576"/>
      <c r="C553" s="576"/>
      <c r="D553" s="577"/>
      <c r="E553" s="42">
        <f t="shared" ref="E553:L553" si="285">SUM(E547:E552)</f>
        <v>0</v>
      </c>
      <c r="F553" s="17">
        <f t="shared" si="285"/>
        <v>0</v>
      </c>
      <c r="G553" s="42">
        <f t="shared" si="285"/>
        <v>0</v>
      </c>
      <c r="H553" s="43">
        <f t="shared" si="285"/>
        <v>0</v>
      </c>
      <c r="I553" s="42">
        <f t="shared" si="285"/>
        <v>0</v>
      </c>
      <c r="J553" s="43">
        <f t="shared" si="285"/>
        <v>0</v>
      </c>
      <c r="K553" s="42">
        <f t="shared" si="285"/>
        <v>0</v>
      </c>
      <c r="L553" s="42">
        <f t="shared" si="285"/>
        <v>0</v>
      </c>
      <c r="M553" s="44"/>
      <c r="N553" s="45"/>
      <c r="O553" s="1"/>
      <c r="P553" s="3"/>
      <c r="Q553" s="1"/>
      <c r="R553" s="1"/>
      <c r="S553" s="1"/>
      <c r="T553" s="1"/>
      <c r="U553" s="4"/>
    </row>
    <row r="554" spans="1:21" ht="18.75" hidden="1" customHeight="1">
      <c r="A554" s="46" t="s">
        <v>37</v>
      </c>
      <c r="B554" s="47" t="s">
        <v>43</v>
      </c>
      <c r="C554" s="48">
        <f>D545</f>
        <v>0</v>
      </c>
      <c r="D554" s="47" t="s">
        <v>44</v>
      </c>
      <c r="E554" s="49"/>
      <c r="F554" s="84"/>
      <c r="G554" s="85"/>
      <c r="H554" s="49"/>
      <c r="I554" s="53" t="s">
        <v>46</v>
      </c>
      <c r="J554" s="54"/>
      <c r="K554" s="50"/>
      <c r="L554" s="55"/>
      <c r="M554" s="63"/>
      <c r="N554" s="64"/>
      <c r="O554" s="1"/>
      <c r="P554" s="3"/>
      <c r="Q554" s="1"/>
      <c r="R554" s="1"/>
      <c r="S554" s="1"/>
      <c r="T554" s="1"/>
      <c r="U554" s="4"/>
    </row>
    <row r="555" spans="1:21" ht="16.5" hidden="1" customHeight="1" thickBot="1">
      <c r="A555" s="56" t="s">
        <v>48</v>
      </c>
      <c r="B555" s="57" t="s">
        <v>49</v>
      </c>
      <c r="C555" s="58">
        <f>ROUND(F553/10000,0)</f>
        <v>0</v>
      </c>
      <c r="D555" s="57" t="s">
        <v>50</v>
      </c>
      <c r="E555" s="52"/>
      <c r="F555" s="86"/>
      <c r="G555" s="87"/>
      <c r="H555" s="52"/>
      <c r="I555" s="59"/>
      <c r="J555" s="61"/>
      <c r="K555" s="59"/>
      <c r="L555" s="62"/>
      <c r="M555" s="63"/>
      <c r="N555" s="64"/>
      <c r="O555" s="1"/>
      <c r="P555" s="3"/>
      <c r="Q555" s="1"/>
      <c r="R555" s="1"/>
      <c r="S555" s="1"/>
      <c r="T555" s="1"/>
      <c r="U555" s="4"/>
    </row>
    <row r="556" spans="1:21" ht="18.75" hidden="1" customHeight="1" thickBot="1">
      <c r="A556" s="566" t="s">
        <v>52</v>
      </c>
      <c r="B556" s="567"/>
      <c r="C556" s="567"/>
      <c r="D556" s="568"/>
      <c r="E556" s="65"/>
      <c r="F556" s="569" t="s">
        <v>53</v>
      </c>
      <c r="G556" s="568"/>
      <c r="H556" s="66">
        <f>H553-J554</f>
        <v>0</v>
      </c>
      <c r="I556" s="67">
        <f>H556*3.3%</f>
        <v>0</v>
      </c>
      <c r="J556" s="68">
        <f>SUM(J553)</f>
        <v>0</v>
      </c>
      <c r="K556" s="69">
        <f>H556-I556-J556</f>
        <v>0</v>
      </c>
      <c r="L556" s="70">
        <f>L553+SUM(H554:H555)+J555</f>
        <v>0</v>
      </c>
      <c r="M556" s="570">
        <f>K556+L556</f>
        <v>0</v>
      </c>
      <c r="N556" s="571"/>
      <c r="O556" s="1"/>
      <c r="P556" s="3"/>
      <c r="Q556" s="1"/>
      <c r="R556" s="1"/>
      <c r="S556" s="1"/>
      <c r="T556" s="1"/>
      <c r="U556" s="4"/>
    </row>
    <row r="557" spans="1:21" ht="17.25" customHeight="1">
      <c r="A557" s="1"/>
      <c r="B557" s="1"/>
      <c r="C557" s="1"/>
      <c r="D557" s="1"/>
      <c r="E557" s="1"/>
      <c r="F557" s="1"/>
      <c r="G557" s="1"/>
      <c r="H557" s="141"/>
      <c r="I557" s="1"/>
      <c r="J557" s="1"/>
      <c r="K557" s="1"/>
      <c r="L557" s="1"/>
      <c r="M557" s="1"/>
      <c r="N557" s="1"/>
      <c r="O557" s="1"/>
      <c r="P557" s="3"/>
      <c r="Q557" s="1"/>
      <c r="R557" s="1"/>
      <c r="S557" s="1"/>
      <c r="T557" s="1"/>
      <c r="U557" s="4"/>
    </row>
    <row r="558" spans="1:21" ht="18.75" customHeight="1">
      <c r="A558" s="6" t="s">
        <v>101</v>
      </c>
      <c r="B558" s="7" t="str">
        <f>$B$34</f>
        <v>1월</v>
      </c>
      <c r="C558" s="8" t="s">
        <v>1</v>
      </c>
      <c r="D558" s="9">
        <f>COUNTIF($C560:$C578,"계약")+(COUNTIF($C560:$C578,"계약2")*2)</f>
        <v>6</v>
      </c>
      <c r="E558" s="3">
        <f>COUNTIF(C560:C579,"낙찰수수료")</f>
        <v>3</v>
      </c>
      <c r="F558" s="3"/>
      <c r="G558" s="89" t="s">
        <v>102</v>
      </c>
      <c r="H558" s="11">
        <v>0.5</v>
      </c>
      <c r="I558" s="12">
        <v>3.3000000000000002E-2</v>
      </c>
      <c r="J558" s="1"/>
      <c r="K558" s="1"/>
      <c r="L558" s="1"/>
      <c r="M558" s="1"/>
      <c r="N558" s="1"/>
      <c r="O558" s="1"/>
      <c r="P558" s="3"/>
      <c r="Q558" s="1"/>
      <c r="R558" s="1"/>
      <c r="S558" s="1"/>
      <c r="T558" s="1"/>
      <c r="U558" s="4"/>
    </row>
    <row r="559" spans="1:21" ht="18.75" customHeight="1">
      <c r="A559" s="13" t="s">
        <v>3</v>
      </c>
      <c r="B559" s="14" t="s">
        <v>4</v>
      </c>
      <c r="C559" s="14" t="s">
        <v>5</v>
      </c>
      <c r="D559" s="101" t="s">
        <v>6</v>
      </c>
      <c r="E559" s="16" t="s">
        <v>7</v>
      </c>
      <c r="F559" s="17" t="s">
        <v>8</v>
      </c>
      <c r="G559" s="14" t="s">
        <v>9</v>
      </c>
      <c r="H559" s="15" t="s">
        <v>10</v>
      </c>
      <c r="I559" s="14" t="s">
        <v>11</v>
      </c>
      <c r="J559" s="15" t="s">
        <v>12</v>
      </c>
      <c r="K559" s="14" t="s">
        <v>13</v>
      </c>
      <c r="L559" s="14" t="s">
        <v>14</v>
      </c>
      <c r="M559" s="579" t="s">
        <v>15</v>
      </c>
      <c r="N559" s="577"/>
      <c r="O559" s="1"/>
      <c r="P559" s="3"/>
      <c r="Q559" s="1"/>
      <c r="R559" s="1"/>
      <c r="S559" s="1"/>
      <c r="T559" s="1"/>
      <c r="U559" s="4"/>
    </row>
    <row r="560" spans="1:21" ht="18.75" customHeight="1">
      <c r="A560" s="39">
        <v>46023</v>
      </c>
      <c r="B560" s="29" t="s">
        <v>791</v>
      </c>
      <c r="C560" s="30" t="s">
        <v>357</v>
      </c>
      <c r="D560" s="38"/>
      <c r="E560" s="102">
        <v>550000</v>
      </c>
      <c r="F560" s="31">
        <f t="shared" ref="F560:F573" si="286">IF(D560="no",E560,E560/1.1)</f>
        <v>499999.99999999994</v>
      </c>
      <c r="G560" s="27">
        <f t="shared" ref="G560:G573" si="287">IF(D560="no",0,F560*0.1)</f>
        <v>50000</v>
      </c>
      <c r="H560" s="32">
        <f t="shared" ref="H560:H565" si="288">IF(D560="no",0,F560*$H$558)</f>
        <v>249999.99999999997</v>
      </c>
      <c r="I560" s="33">
        <f t="shared" ref="I560:I580" si="289">IF(D560="no",0,H560*3.3%)</f>
        <v>8250</v>
      </c>
      <c r="J560" s="26"/>
      <c r="K560" s="27">
        <f t="shared" ref="K560:K580" si="290">IF(D560="no",0,H560-I560-J560)</f>
        <v>241749.99999999997</v>
      </c>
      <c r="L560" s="27">
        <f t="shared" ref="L560:L575" si="291">IF(D560="no",F560*$H$558-J560,0)</f>
        <v>0</v>
      </c>
      <c r="M560" s="572"/>
      <c r="N560" s="564"/>
      <c r="O560" s="1"/>
      <c r="P560" s="3"/>
      <c r="Q560" s="1"/>
      <c r="R560" s="1"/>
      <c r="S560" s="1"/>
      <c r="T560" s="1"/>
      <c r="U560" s="4"/>
    </row>
    <row r="561" spans="1:21" ht="18.75" customHeight="1">
      <c r="A561" s="28">
        <v>46036</v>
      </c>
      <c r="B561" s="29" t="s">
        <v>588</v>
      </c>
      <c r="C561" s="30" t="s">
        <v>56</v>
      </c>
      <c r="D561" s="38"/>
      <c r="E561" s="27">
        <v>1800000</v>
      </c>
      <c r="F561" s="31">
        <f t="shared" si="286"/>
        <v>1636363.6363636362</v>
      </c>
      <c r="G561" s="27">
        <f t="shared" si="287"/>
        <v>163636.36363636365</v>
      </c>
      <c r="H561" s="32">
        <f t="shared" si="288"/>
        <v>818181.81818181812</v>
      </c>
      <c r="I561" s="33">
        <f t="shared" si="289"/>
        <v>27000</v>
      </c>
      <c r="J561" s="26"/>
      <c r="K561" s="27">
        <f t="shared" si="290"/>
        <v>791181.81818181812</v>
      </c>
      <c r="L561" s="27">
        <f t="shared" si="291"/>
        <v>0</v>
      </c>
      <c r="M561" s="563"/>
      <c r="N561" s="564"/>
      <c r="O561" s="1"/>
      <c r="P561" s="3"/>
      <c r="Q561" s="1"/>
      <c r="R561" s="1"/>
      <c r="S561" s="1"/>
      <c r="T561" s="1"/>
      <c r="U561" s="4"/>
    </row>
    <row r="562" spans="1:21" ht="18.75" customHeight="1">
      <c r="A562" s="39">
        <v>46038</v>
      </c>
      <c r="B562" s="29" t="s">
        <v>792</v>
      </c>
      <c r="C562" s="30" t="s">
        <v>357</v>
      </c>
      <c r="D562" s="21"/>
      <c r="E562" s="27">
        <v>550000</v>
      </c>
      <c r="F562" s="31">
        <f t="shared" si="286"/>
        <v>499999.99999999994</v>
      </c>
      <c r="G562" s="27">
        <f t="shared" si="287"/>
        <v>50000</v>
      </c>
      <c r="H562" s="32">
        <f t="shared" si="288"/>
        <v>249999.99999999997</v>
      </c>
      <c r="I562" s="33">
        <f t="shared" si="289"/>
        <v>8250</v>
      </c>
      <c r="J562" s="26"/>
      <c r="K562" s="27">
        <f t="shared" si="290"/>
        <v>241749.99999999997</v>
      </c>
      <c r="L562" s="27">
        <f t="shared" si="291"/>
        <v>0</v>
      </c>
      <c r="M562" s="572"/>
      <c r="N562" s="564"/>
      <c r="O562" s="1"/>
      <c r="P562" s="3"/>
      <c r="Q562" s="1"/>
      <c r="R562" s="1"/>
      <c r="S562" s="1"/>
      <c r="T562" s="1"/>
      <c r="U562" s="4"/>
    </row>
    <row r="563" spans="1:21" ht="18.75" customHeight="1">
      <c r="A563" s="28">
        <v>46042</v>
      </c>
      <c r="B563" s="29" t="s">
        <v>790</v>
      </c>
      <c r="C563" s="30" t="s">
        <v>357</v>
      </c>
      <c r="D563" s="38"/>
      <c r="E563" s="27">
        <v>1100000</v>
      </c>
      <c r="F563" s="31">
        <f t="shared" si="286"/>
        <v>999999.99999999988</v>
      </c>
      <c r="G563" s="27">
        <f t="shared" si="287"/>
        <v>100000</v>
      </c>
      <c r="H563" s="32">
        <f t="shared" si="288"/>
        <v>499999.99999999994</v>
      </c>
      <c r="I563" s="33">
        <f t="shared" si="289"/>
        <v>16500</v>
      </c>
      <c r="J563" s="26"/>
      <c r="K563" s="27">
        <f t="shared" si="290"/>
        <v>483499.99999999994</v>
      </c>
      <c r="L563" s="27">
        <f t="shared" si="291"/>
        <v>0</v>
      </c>
      <c r="M563" s="572"/>
      <c r="N563" s="564"/>
      <c r="O563" s="1"/>
      <c r="P563" s="3"/>
      <c r="Q563" s="1"/>
      <c r="R563" s="1"/>
      <c r="S563" s="1"/>
      <c r="T563" s="1"/>
      <c r="U563" s="4"/>
    </row>
    <row r="564" spans="1:21" ht="18.75" customHeight="1">
      <c r="A564" s="522">
        <v>46043</v>
      </c>
      <c r="B564" s="523" t="s">
        <v>793</v>
      </c>
      <c r="C564" s="524" t="s">
        <v>357</v>
      </c>
      <c r="D564" s="528"/>
      <c r="E564" s="527">
        <v>550000</v>
      </c>
      <c r="F564" s="31">
        <f t="shared" si="286"/>
        <v>499999.99999999994</v>
      </c>
      <c r="G564" s="27">
        <f t="shared" si="287"/>
        <v>50000</v>
      </c>
      <c r="H564" s="32">
        <f t="shared" si="288"/>
        <v>249999.99999999997</v>
      </c>
      <c r="I564" s="33">
        <f t="shared" si="289"/>
        <v>8250</v>
      </c>
      <c r="J564" s="26"/>
      <c r="K564" s="27">
        <f t="shared" si="290"/>
        <v>241749.99999999997</v>
      </c>
      <c r="L564" s="27">
        <f t="shared" si="291"/>
        <v>0</v>
      </c>
      <c r="M564" s="563"/>
      <c r="N564" s="564"/>
      <c r="O564" s="1"/>
      <c r="P564" s="3"/>
      <c r="Q564" s="1"/>
      <c r="R564" s="1"/>
      <c r="S564" s="1"/>
      <c r="T564" s="1"/>
      <c r="U564" s="4"/>
    </row>
    <row r="565" spans="1:21" ht="18.75" customHeight="1">
      <c r="A565" s="522">
        <v>46044</v>
      </c>
      <c r="B565" s="523" t="s">
        <v>794</v>
      </c>
      <c r="C565" s="524" t="s">
        <v>23</v>
      </c>
      <c r="D565" s="525"/>
      <c r="E565" s="527">
        <v>2200000</v>
      </c>
      <c r="F565" s="31">
        <f t="shared" si="286"/>
        <v>1999999.9999999998</v>
      </c>
      <c r="G565" s="27">
        <f t="shared" si="287"/>
        <v>200000</v>
      </c>
      <c r="H565" s="32">
        <f t="shared" si="288"/>
        <v>999999.99999999988</v>
      </c>
      <c r="I565" s="33">
        <f t="shared" si="289"/>
        <v>33000</v>
      </c>
      <c r="J565" s="26"/>
      <c r="K565" s="27">
        <f t="shared" si="290"/>
        <v>966999.99999999988</v>
      </c>
      <c r="L565" s="27">
        <f t="shared" si="291"/>
        <v>0</v>
      </c>
      <c r="M565" s="572"/>
      <c r="N565" s="564"/>
      <c r="O565" s="1"/>
      <c r="P565" s="3"/>
      <c r="Q565" s="1"/>
      <c r="R565" s="1"/>
      <c r="S565" s="1"/>
      <c r="T565" s="1"/>
      <c r="U565" s="4"/>
    </row>
    <row r="566" spans="1:21" ht="18.75" customHeight="1">
      <c r="A566" s="522">
        <v>46045</v>
      </c>
      <c r="B566" s="523" t="s">
        <v>795</v>
      </c>
      <c r="C566" s="524" t="s">
        <v>56</v>
      </c>
      <c r="D566" s="528"/>
      <c r="E566" s="527">
        <v>2700000</v>
      </c>
      <c r="F566" s="31">
        <f t="shared" ref="F566" si="292">IF(D566="no",E566,E566/1.1)</f>
        <v>2454545.4545454541</v>
      </c>
      <c r="G566" s="27">
        <f t="shared" ref="G566" si="293">IF(D566="no",0,F566*0.1)</f>
        <v>245454.54545454541</v>
      </c>
      <c r="H566" s="32">
        <f t="shared" ref="H566" si="294">IF(D566="no",0,F566*$H$558)</f>
        <v>1227272.7272727271</v>
      </c>
      <c r="I566" s="33">
        <f t="shared" ref="I566" si="295">IF(D566="no",0,H566*3.3%)</f>
        <v>40499.999999999993</v>
      </c>
      <c r="J566" s="26"/>
      <c r="K566" s="27">
        <f t="shared" ref="K566" si="296">IF(D566="no",0,H566-I566-J566)</f>
        <v>1186772.7272727271</v>
      </c>
      <c r="L566" s="27">
        <f t="shared" si="291"/>
        <v>0</v>
      </c>
      <c r="M566" s="572"/>
      <c r="N566" s="564"/>
      <c r="O566" s="1"/>
      <c r="P566" s="3"/>
      <c r="Q566" s="1"/>
      <c r="R566" s="1"/>
      <c r="S566" s="1"/>
      <c r="T566" s="1"/>
      <c r="U566" s="4"/>
    </row>
    <row r="567" spans="1:21" ht="18.75" customHeight="1">
      <c r="A567" s="28">
        <v>46050</v>
      </c>
      <c r="B567" s="29" t="s">
        <v>794</v>
      </c>
      <c r="C567" s="30" t="s">
        <v>56</v>
      </c>
      <c r="D567" s="38"/>
      <c r="E567" s="102">
        <v>2200000</v>
      </c>
      <c r="F567" s="31">
        <f t="shared" si="286"/>
        <v>1999999.9999999998</v>
      </c>
      <c r="G567" s="27">
        <f t="shared" si="287"/>
        <v>200000</v>
      </c>
      <c r="H567" s="32">
        <f t="shared" ref="H567:H573" si="297">IF(D567="no",0,F567*$H$558)</f>
        <v>999999.99999999988</v>
      </c>
      <c r="I567" s="33">
        <f t="shared" si="289"/>
        <v>33000</v>
      </c>
      <c r="J567" s="26"/>
      <c r="K567" s="27">
        <f t="shared" si="290"/>
        <v>966999.99999999988</v>
      </c>
      <c r="L567" s="27">
        <f t="shared" si="291"/>
        <v>0</v>
      </c>
      <c r="M567" s="572"/>
      <c r="N567" s="564"/>
      <c r="O567" s="1"/>
      <c r="P567" s="3"/>
      <c r="Q567" s="1"/>
      <c r="R567" s="1"/>
      <c r="S567" s="1"/>
      <c r="T567" s="1"/>
      <c r="U567" s="4"/>
    </row>
    <row r="568" spans="1:21" ht="18.75" hidden="1" customHeight="1">
      <c r="A568" s="28"/>
      <c r="B568" s="29"/>
      <c r="C568" s="30"/>
      <c r="D568" s="38"/>
      <c r="E568" s="27"/>
      <c r="F568" s="31">
        <f t="shared" si="286"/>
        <v>0</v>
      </c>
      <c r="G568" s="27">
        <f t="shared" si="287"/>
        <v>0</v>
      </c>
      <c r="H568" s="32">
        <f t="shared" si="297"/>
        <v>0</v>
      </c>
      <c r="I568" s="33">
        <f t="shared" si="289"/>
        <v>0</v>
      </c>
      <c r="J568" s="26"/>
      <c r="K568" s="27">
        <f t="shared" si="290"/>
        <v>0</v>
      </c>
      <c r="L568" s="27">
        <f t="shared" si="291"/>
        <v>0</v>
      </c>
      <c r="M568" s="563"/>
      <c r="N568" s="564"/>
      <c r="O568" s="1"/>
      <c r="P568" s="3"/>
      <c r="Q568" s="1"/>
      <c r="R568" s="1"/>
      <c r="S568" s="1"/>
      <c r="T568" s="1"/>
      <c r="U568" s="4"/>
    </row>
    <row r="569" spans="1:21" ht="18.75" hidden="1" customHeight="1">
      <c r="A569" s="39"/>
      <c r="B569" s="29"/>
      <c r="C569" s="30"/>
      <c r="D569" s="38"/>
      <c r="E569" s="102"/>
      <c r="F569" s="31">
        <f t="shared" si="286"/>
        <v>0</v>
      </c>
      <c r="G569" s="27">
        <f t="shared" si="287"/>
        <v>0</v>
      </c>
      <c r="H569" s="32">
        <f t="shared" si="297"/>
        <v>0</v>
      </c>
      <c r="I569" s="33">
        <f t="shared" si="289"/>
        <v>0</v>
      </c>
      <c r="J569" s="26"/>
      <c r="K569" s="27">
        <f t="shared" si="290"/>
        <v>0</v>
      </c>
      <c r="L569" s="27">
        <f t="shared" si="291"/>
        <v>0</v>
      </c>
      <c r="M569" s="572"/>
      <c r="N569" s="564"/>
      <c r="O569" s="1"/>
      <c r="P569" s="3"/>
      <c r="Q569" s="1"/>
      <c r="R569" s="1"/>
      <c r="S569" s="1"/>
      <c r="T569" s="1"/>
      <c r="U569" s="4"/>
    </row>
    <row r="570" spans="1:21" ht="18.75" hidden="1" customHeight="1">
      <c r="A570" s="28"/>
      <c r="B570" s="29"/>
      <c r="C570" s="30"/>
      <c r="D570" s="38"/>
      <c r="E570" s="27"/>
      <c r="F570" s="31">
        <f t="shared" si="286"/>
        <v>0</v>
      </c>
      <c r="G570" s="27">
        <f t="shared" si="287"/>
        <v>0</v>
      </c>
      <c r="H570" s="32">
        <f t="shared" si="297"/>
        <v>0</v>
      </c>
      <c r="I570" s="33">
        <f t="shared" si="289"/>
        <v>0</v>
      </c>
      <c r="J570" s="26"/>
      <c r="K570" s="27">
        <f t="shared" si="290"/>
        <v>0</v>
      </c>
      <c r="L570" s="27">
        <f t="shared" si="291"/>
        <v>0</v>
      </c>
      <c r="M570" s="563"/>
      <c r="N570" s="564"/>
      <c r="O570" s="1"/>
      <c r="P570" s="3"/>
      <c r="Q570" s="1"/>
      <c r="R570" s="1"/>
      <c r="S570" s="1"/>
      <c r="T570" s="1"/>
      <c r="U570" s="4"/>
    </row>
    <row r="571" spans="1:21" ht="18.75" hidden="1" customHeight="1">
      <c r="A571" s="28"/>
      <c r="B571" s="29"/>
      <c r="C571" s="30"/>
      <c r="D571" s="21"/>
      <c r="E571" s="27"/>
      <c r="F571" s="31">
        <f t="shared" si="286"/>
        <v>0</v>
      </c>
      <c r="G571" s="27">
        <f t="shared" si="287"/>
        <v>0</v>
      </c>
      <c r="H571" s="32">
        <f t="shared" si="297"/>
        <v>0</v>
      </c>
      <c r="I571" s="33">
        <f t="shared" si="289"/>
        <v>0</v>
      </c>
      <c r="J571" s="26"/>
      <c r="K571" s="27">
        <f t="shared" si="290"/>
        <v>0</v>
      </c>
      <c r="L571" s="27">
        <f t="shared" si="291"/>
        <v>0</v>
      </c>
      <c r="M571" s="572"/>
      <c r="N571" s="564"/>
      <c r="O571" s="1"/>
      <c r="P571" s="3"/>
      <c r="Q571" s="1"/>
      <c r="R571" s="1"/>
      <c r="S571" s="1"/>
      <c r="T571" s="1"/>
      <c r="U571" s="4"/>
    </row>
    <row r="572" spans="1:21" ht="18.75" hidden="1" customHeight="1">
      <c r="A572" s="28"/>
      <c r="B572" s="29"/>
      <c r="C572" s="30"/>
      <c r="D572" s="38"/>
      <c r="E572" s="27"/>
      <c r="F572" s="31">
        <f t="shared" si="286"/>
        <v>0</v>
      </c>
      <c r="G572" s="27">
        <f t="shared" si="287"/>
        <v>0</v>
      </c>
      <c r="H572" s="32">
        <f t="shared" si="297"/>
        <v>0</v>
      </c>
      <c r="I572" s="33">
        <f t="shared" si="289"/>
        <v>0</v>
      </c>
      <c r="J572" s="26"/>
      <c r="K572" s="27">
        <f t="shared" si="290"/>
        <v>0</v>
      </c>
      <c r="L572" s="27">
        <f t="shared" si="291"/>
        <v>0</v>
      </c>
      <c r="M572" s="572"/>
      <c r="N572" s="564"/>
      <c r="O572" s="1"/>
      <c r="P572" s="3"/>
      <c r="Q572" s="1"/>
      <c r="R572" s="1"/>
      <c r="S572" s="1"/>
      <c r="T572" s="1"/>
      <c r="U572" s="4"/>
    </row>
    <row r="573" spans="1:21" ht="18.75" hidden="1" customHeight="1">
      <c r="A573" s="28"/>
      <c r="B573" s="29"/>
      <c r="C573" s="30"/>
      <c r="D573" s="21"/>
      <c r="E573" s="27"/>
      <c r="F573" s="31">
        <f t="shared" si="286"/>
        <v>0</v>
      </c>
      <c r="G573" s="27">
        <f t="shared" si="287"/>
        <v>0</v>
      </c>
      <c r="H573" s="32">
        <f t="shared" si="297"/>
        <v>0</v>
      </c>
      <c r="I573" s="33">
        <f t="shared" si="289"/>
        <v>0</v>
      </c>
      <c r="J573" s="26"/>
      <c r="K573" s="27">
        <f t="shared" si="290"/>
        <v>0</v>
      </c>
      <c r="L573" s="27">
        <f t="shared" si="291"/>
        <v>0</v>
      </c>
      <c r="M573" s="573"/>
      <c r="N573" s="564"/>
      <c r="O573" s="1"/>
      <c r="P573" s="3"/>
      <c r="Q573" s="1"/>
      <c r="R573" s="1"/>
      <c r="S573" s="1"/>
      <c r="T573" s="1"/>
      <c r="U573" s="4"/>
    </row>
    <row r="574" spans="1:21" ht="18.75" hidden="1" customHeight="1">
      <c r="A574" s="28"/>
      <c r="B574" s="29"/>
      <c r="C574" s="30"/>
      <c r="D574" s="21"/>
      <c r="E574" s="27"/>
      <c r="F574" s="31">
        <f t="shared" ref="F574" si="298">IF(D574="no",E574,E574/1.1)</f>
        <v>0</v>
      </c>
      <c r="G574" s="27">
        <f t="shared" ref="G574" si="299">IF(D574="no",0,F574*0.1)</f>
        <v>0</v>
      </c>
      <c r="H574" s="32">
        <f>IF(D574="no",0,F574*$H$558)</f>
        <v>0</v>
      </c>
      <c r="I574" s="33">
        <f t="shared" si="289"/>
        <v>0</v>
      </c>
      <c r="J574" s="26"/>
      <c r="K574" s="27">
        <f t="shared" si="290"/>
        <v>0</v>
      </c>
      <c r="L574" s="27">
        <f t="shared" si="291"/>
        <v>0</v>
      </c>
      <c r="M574" s="574"/>
      <c r="N574" s="564"/>
      <c r="O574" s="1"/>
      <c r="P574" s="3"/>
      <c r="Q574" s="1"/>
      <c r="R574" s="1"/>
      <c r="S574" s="1"/>
      <c r="T574" s="1"/>
      <c r="U574" s="4"/>
    </row>
    <row r="575" spans="1:21" ht="18.75" customHeight="1">
      <c r="A575" s="39"/>
      <c r="B575" s="29"/>
      <c r="C575" s="30"/>
      <c r="D575" s="21"/>
      <c r="E575" s="27"/>
      <c r="F575" s="31"/>
      <c r="G575" s="27">
        <f>IF(D575="no",0,F575*0.1)</f>
        <v>0</v>
      </c>
      <c r="H575" s="37">
        <v>0</v>
      </c>
      <c r="I575" s="33">
        <f t="shared" si="289"/>
        <v>0</v>
      </c>
      <c r="J575" s="26"/>
      <c r="K575" s="27">
        <f t="shared" si="290"/>
        <v>0</v>
      </c>
      <c r="L575" s="27">
        <f t="shared" si="291"/>
        <v>0</v>
      </c>
      <c r="M575" s="142"/>
      <c r="N575" s="143"/>
      <c r="O575" s="1"/>
      <c r="P575" s="3"/>
      <c r="Q575" s="1"/>
      <c r="R575" s="1"/>
      <c r="S575" s="1"/>
      <c r="T575" s="1"/>
      <c r="U575" s="4"/>
    </row>
    <row r="576" spans="1:21" s="321" customFormat="1" ht="18.75" customHeight="1">
      <c r="A576" s="39" t="s">
        <v>616</v>
      </c>
      <c r="B576" s="29" t="s">
        <v>343</v>
      </c>
      <c r="C576" s="30"/>
      <c r="D576" s="320"/>
      <c r="E576" s="27"/>
      <c r="F576" s="31">
        <f t="shared" ref="F576" si="300">IF(D576="no",E576,E576/1.1)</f>
        <v>0</v>
      </c>
      <c r="G576" s="27">
        <f t="shared" ref="G576" si="301">IF(D576="no",0,F576*0.1)</f>
        <v>0</v>
      </c>
      <c r="H576" s="37">
        <f>IF(D576="no",0,F576*H558)</f>
        <v>0</v>
      </c>
      <c r="I576" s="33">
        <f t="shared" si="289"/>
        <v>0</v>
      </c>
      <c r="J576" s="26"/>
      <c r="K576" s="27">
        <f t="shared" si="290"/>
        <v>0</v>
      </c>
      <c r="L576" s="40">
        <f>IF(D576="no",F576*H558-J576,0)</f>
        <v>0</v>
      </c>
      <c r="M576" s="590"/>
      <c r="N576" s="564"/>
      <c r="O576" s="1"/>
      <c r="P576" s="3"/>
      <c r="Q576" s="1"/>
      <c r="R576" s="1"/>
      <c r="S576" s="1"/>
      <c r="T576" s="1"/>
      <c r="U576" s="4"/>
    </row>
    <row r="577" spans="1:21" ht="18.75" customHeight="1">
      <c r="A577" s="39" t="s">
        <v>616</v>
      </c>
      <c r="B577" s="29" t="s">
        <v>35</v>
      </c>
      <c r="C577" s="30"/>
      <c r="D577" s="21"/>
      <c r="E577" s="27"/>
      <c r="F577" s="31">
        <f>IF(D577="no",E577,E577/1.1)</f>
        <v>0</v>
      </c>
      <c r="G577" s="27">
        <f>IF(D577="no",0,F577*0.1)</f>
        <v>0</v>
      </c>
      <c r="H577" s="37">
        <v>0</v>
      </c>
      <c r="I577" s="33">
        <f>IF(D577="no",0,H577*3.3%)</f>
        <v>0</v>
      </c>
      <c r="J577" s="26"/>
      <c r="K577" s="27">
        <f>IF(D577="no",0,H577-I577-J577)</f>
        <v>0</v>
      </c>
      <c r="L577" s="27">
        <f>IF(D577="no",F577*$H$558-J577,0)</f>
        <v>0</v>
      </c>
      <c r="M577" s="574"/>
      <c r="N577" s="564"/>
      <c r="O577" s="1"/>
      <c r="P577" s="3"/>
      <c r="Q577" s="1"/>
      <c r="R577" s="1"/>
      <c r="S577" s="1"/>
      <c r="T577" s="1"/>
      <c r="U577" s="4"/>
    </row>
    <row r="578" spans="1:21" ht="18.75" customHeight="1">
      <c r="A578" s="39" t="s">
        <v>616</v>
      </c>
      <c r="B578" s="29" t="s">
        <v>61</v>
      </c>
      <c r="C578" s="30"/>
      <c r="D578" s="38"/>
      <c r="E578" s="27"/>
      <c r="F578" s="31">
        <f t="shared" ref="F578" si="302">IF(D578="no",E578,E578/1.1)</f>
        <v>0</v>
      </c>
      <c r="G578" s="27">
        <f t="shared" ref="G578" si="303">IF(D578="no",0,F578*0.1)</f>
        <v>0</v>
      </c>
      <c r="H578" s="32">
        <f>IF(D578="no",0,F578*$H$558)</f>
        <v>0</v>
      </c>
      <c r="I578" s="33">
        <f t="shared" si="289"/>
        <v>0</v>
      </c>
      <c r="J578" s="26"/>
      <c r="K578" s="27">
        <f t="shared" si="290"/>
        <v>0</v>
      </c>
      <c r="L578" s="27">
        <f>IF(D578="no",F578*$H$558-J578,0)</f>
        <v>0</v>
      </c>
      <c r="M578" s="572"/>
      <c r="N578" s="564"/>
      <c r="O578" s="1"/>
      <c r="P578" s="3"/>
      <c r="Q578" s="1"/>
      <c r="R578" s="1"/>
      <c r="S578" s="1"/>
      <c r="T578" s="1"/>
      <c r="U578" s="4"/>
    </row>
    <row r="579" spans="1:21" ht="18.75" customHeight="1">
      <c r="A579" s="39" t="s">
        <v>616</v>
      </c>
      <c r="B579" s="29" t="s">
        <v>37</v>
      </c>
      <c r="C579" s="30"/>
      <c r="D579" s="21"/>
      <c r="E579" s="27"/>
      <c r="F579" s="31">
        <f t="shared" ref="F579:F580" si="304">IF(D579="no",E579,E579/1.1)</f>
        <v>0</v>
      </c>
      <c r="G579" s="27">
        <f t="shared" ref="G579:G580" si="305">IF(D579="no",0,F579*0.1)</f>
        <v>0</v>
      </c>
      <c r="H579" s="37"/>
      <c r="I579" s="33">
        <f>IF(D579="no",0,H579*3.3%)</f>
        <v>0</v>
      </c>
      <c r="J579" s="26"/>
      <c r="K579" s="27">
        <f>IF(D579="no",0,H579-I579-J579)</f>
        <v>0</v>
      </c>
      <c r="L579" s="27">
        <f>IF(D579="no",F579*$H$558-J579,0)</f>
        <v>0</v>
      </c>
      <c r="M579" s="574"/>
      <c r="N579" s="645"/>
      <c r="O579" s="1"/>
      <c r="P579" s="3"/>
      <c r="Q579" s="1"/>
      <c r="R579" s="1"/>
      <c r="S579" s="1"/>
      <c r="T579" s="1"/>
      <c r="U579" s="4"/>
    </row>
    <row r="580" spans="1:21" s="268" customFormat="1" ht="18.75" customHeight="1">
      <c r="A580" s="39" t="s">
        <v>616</v>
      </c>
      <c r="B580" s="29" t="s">
        <v>106</v>
      </c>
      <c r="C580" s="30"/>
      <c r="D580" s="267"/>
      <c r="E580" s="27"/>
      <c r="F580" s="31">
        <f t="shared" si="304"/>
        <v>0</v>
      </c>
      <c r="G580" s="27">
        <f t="shared" si="305"/>
        <v>0</v>
      </c>
      <c r="H580" s="32">
        <f>IF(D580="no",0,F580*$H$558)</f>
        <v>0</v>
      </c>
      <c r="I580" s="33">
        <f t="shared" si="289"/>
        <v>0</v>
      </c>
      <c r="J580" s="26"/>
      <c r="K580" s="27">
        <f t="shared" si="290"/>
        <v>0</v>
      </c>
      <c r="L580" s="27">
        <f>IF(D580="no",F580*$H$558-J580,0)</f>
        <v>0</v>
      </c>
      <c r="M580" s="646"/>
      <c r="N580" s="601"/>
      <c r="O580" s="1"/>
      <c r="P580" s="3"/>
      <c r="Q580" s="1"/>
      <c r="R580" s="1"/>
      <c r="S580" s="1"/>
      <c r="T580" s="1"/>
      <c r="U580" s="4"/>
    </row>
    <row r="581" spans="1:21" ht="18.75" customHeight="1">
      <c r="A581" s="575" t="s">
        <v>42</v>
      </c>
      <c r="B581" s="576"/>
      <c r="C581" s="576"/>
      <c r="D581" s="577"/>
      <c r="E581" s="42">
        <f t="shared" ref="E581:L581" si="306">SUM(E560:E580)</f>
        <v>11650000</v>
      </c>
      <c r="F581" s="17">
        <f t="shared" si="306"/>
        <v>10590909.09090909</v>
      </c>
      <c r="G581" s="42">
        <f t="shared" si="306"/>
        <v>1059090.9090909092</v>
      </c>
      <c r="H581" s="43">
        <f t="shared" si="306"/>
        <v>5295454.5454545449</v>
      </c>
      <c r="I581" s="42">
        <f t="shared" si="306"/>
        <v>174750</v>
      </c>
      <c r="J581" s="42">
        <f t="shared" si="306"/>
        <v>0</v>
      </c>
      <c r="K581" s="42">
        <f t="shared" si="306"/>
        <v>5120704.5454545449</v>
      </c>
      <c r="L581" s="42">
        <f t="shared" si="306"/>
        <v>0</v>
      </c>
      <c r="M581" s="44"/>
      <c r="N581" s="45"/>
      <c r="O581" s="1"/>
      <c r="P581" s="3"/>
      <c r="Q581" s="1"/>
      <c r="R581" s="1"/>
      <c r="S581" s="1"/>
      <c r="T581" s="1"/>
      <c r="U581" s="4"/>
    </row>
    <row r="582" spans="1:21" ht="18.75" customHeight="1">
      <c r="A582" s="46" t="s">
        <v>37</v>
      </c>
      <c r="B582" s="47" t="s">
        <v>43</v>
      </c>
      <c r="C582" s="48">
        <f>D558</f>
        <v>6</v>
      </c>
      <c r="D582" s="47" t="s">
        <v>44</v>
      </c>
      <c r="E582" s="49"/>
      <c r="F582" s="84"/>
      <c r="G582" s="85"/>
      <c r="H582" s="49"/>
      <c r="I582" s="53" t="s">
        <v>46</v>
      </c>
      <c r="J582" s="54">
        <v>51292</v>
      </c>
      <c r="K582" s="50"/>
      <c r="L582" s="55"/>
      <c r="M582" s="63"/>
      <c r="N582" s="64"/>
      <c r="O582" s="1"/>
      <c r="P582" s="3"/>
      <c r="Q582" s="1"/>
      <c r="R582" s="1"/>
      <c r="S582" s="1"/>
      <c r="T582" s="1"/>
      <c r="U582" s="4"/>
    </row>
    <row r="583" spans="1:21" ht="16.5" customHeight="1" thickBot="1">
      <c r="A583" s="56" t="s">
        <v>48</v>
      </c>
      <c r="B583" s="57" t="s">
        <v>49</v>
      </c>
      <c r="C583" s="58">
        <f>ROUND(F581/10000,0)</f>
        <v>1059</v>
      </c>
      <c r="D583" s="57" t="s">
        <v>50</v>
      </c>
      <c r="E583" s="52"/>
      <c r="F583" s="86"/>
      <c r="G583" s="87"/>
      <c r="H583" s="52"/>
      <c r="I583" s="59"/>
      <c r="J583" s="61"/>
      <c r="K583" s="59"/>
      <c r="L583" s="62"/>
      <c r="M583" s="63"/>
      <c r="N583" s="64"/>
      <c r="O583" s="1"/>
      <c r="P583" s="3"/>
      <c r="Q583" s="1"/>
      <c r="R583" s="1"/>
      <c r="S583" s="1"/>
      <c r="T583" s="1"/>
      <c r="U583" s="4"/>
    </row>
    <row r="584" spans="1:21" ht="18.75" customHeight="1" thickBot="1">
      <c r="A584" s="566" t="s">
        <v>52</v>
      </c>
      <c r="B584" s="567"/>
      <c r="C584" s="567"/>
      <c r="D584" s="568"/>
      <c r="E584" s="65"/>
      <c r="F584" s="569" t="s">
        <v>53</v>
      </c>
      <c r="G584" s="568"/>
      <c r="H584" s="66">
        <f>H581-J582</f>
        <v>5244162.5454545449</v>
      </c>
      <c r="I584" s="67">
        <f>H584*3.3%</f>
        <v>173057.364</v>
      </c>
      <c r="J584" s="68">
        <f>SUM(J581)</f>
        <v>0</v>
      </c>
      <c r="K584" s="69">
        <f>H584-I584-J584</f>
        <v>5071105.1814545449</v>
      </c>
      <c r="L584" s="70">
        <f>L581+SUM(H582:H583)+J583</f>
        <v>0</v>
      </c>
      <c r="M584" s="570">
        <f>K584+L584</f>
        <v>5071105.1814545449</v>
      </c>
      <c r="N584" s="571"/>
      <c r="O584" s="1"/>
      <c r="P584" s="3"/>
      <c r="Q584" s="1"/>
      <c r="R584" s="1"/>
      <c r="S584" s="1"/>
      <c r="T584" s="1"/>
      <c r="U584" s="4"/>
    </row>
    <row r="585" spans="1:21" ht="15" hidden="1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3"/>
      <c r="Q585" s="1"/>
      <c r="R585" s="1"/>
      <c r="S585" s="1"/>
      <c r="T585" s="1"/>
      <c r="U585" s="4"/>
    </row>
    <row r="586" spans="1:21" ht="18.75" hidden="1" customHeight="1">
      <c r="A586" s="6"/>
      <c r="B586" s="7" t="str">
        <f>$B$34</f>
        <v>1월</v>
      </c>
      <c r="C586" s="8" t="s">
        <v>1</v>
      </c>
      <c r="D586" s="9">
        <f>COUNTIF($C588:$C591,"계약")+(COUNTIF($C588:$C591,"계약2")*2)</f>
        <v>0</v>
      </c>
      <c r="E586" s="3">
        <f>COUNTIF(C588:C591,"낙찰수수료")</f>
        <v>0</v>
      </c>
      <c r="F586" s="3"/>
      <c r="G586" s="89" t="s">
        <v>103</v>
      </c>
      <c r="H586" s="123">
        <v>0.4</v>
      </c>
      <c r="I586" s="12">
        <v>3.3000000000000002E-2</v>
      </c>
      <c r="J586" s="1"/>
      <c r="K586" s="1"/>
      <c r="L586" s="1"/>
      <c r="M586" s="1"/>
      <c r="N586" s="1"/>
      <c r="O586" s="1"/>
      <c r="P586" s="3"/>
      <c r="Q586" s="1"/>
      <c r="R586" s="1"/>
      <c r="S586" s="1"/>
      <c r="T586" s="1"/>
      <c r="U586" s="4"/>
    </row>
    <row r="587" spans="1:21" ht="18.75" hidden="1" customHeight="1">
      <c r="A587" s="13" t="s">
        <v>3</v>
      </c>
      <c r="B587" s="14" t="s">
        <v>4</v>
      </c>
      <c r="C587" s="14" t="s">
        <v>5</v>
      </c>
      <c r="D587" s="101" t="s">
        <v>6</v>
      </c>
      <c r="E587" s="16" t="s">
        <v>7</v>
      </c>
      <c r="F587" s="17" t="s">
        <v>8</v>
      </c>
      <c r="G587" s="14" t="s">
        <v>9</v>
      </c>
      <c r="H587" s="15" t="s">
        <v>10</v>
      </c>
      <c r="I587" s="14" t="s">
        <v>11</v>
      </c>
      <c r="J587" s="15" t="s">
        <v>12</v>
      </c>
      <c r="K587" s="14" t="s">
        <v>13</v>
      </c>
      <c r="L587" s="14" t="s">
        <v>14</v>
      </c>
      <c r="M587" s="579" t="s">
        <v>15</v>
      </c>
      <c r="N587" s="577"/>
      <c r="O587" s="1"/>
      <c r="P587" s="3"/>
      <c r="Q587" s="1"/>
      <c r="R587" s="1"/>
      <c r="S587" s="1"/>
      <c r="T587" s="1"/>
      <c r="U587" s="4"/>
    </row>
    <row r="588" spans="1:21" ht="18.75" hidden="1" customHeight="1">
      <c r="A588" s="28"/>
      <c r="B588" s="29"/>
      <c r="C588" s="30"/>
      <c r="D588" s="38"/>
      <c r="E588" s="27"/>
      <c r="F588" s="31">
        <f t="shared" ref="F588" si="307">IF(D588="no",E588,E588/1.1)</f>
        <v>0</v>
      </c>
      <c r="G588" s="27">
        <f t="shared" ref="G588" si="308">IF(D588="no",0,F588*0.1)</f>
        <v>0</v>
      </c>
      <c r="H588" s="32">
        <f>IF(D588="no",0,F588*H586)</f>
        <v>0</v>
      </c>
      <c r="I588" s="33">
        <f t="shared" ref="I588:I591" si="309">IF(D588="no",0,H588*3.3%)</f>
        <v>0</v>
      </c>
      <c r="J588" s="26"/>
      <c r="K588" s="27">
        <f t="shared" ref="K588:K591" si="310">IF(D588="no",0,H588-I588-J588)</f>
        <v>0</v>
      </c>
      <c r="L588" s="27">
        <f>IF(D588="no",F588*H586-J588,0)</f>
        <v>0</v>
      </c>
      <c r="M588" s="580"/>
      <c r="N588" s="581"/>
      <c r="O588" s="1"/>
      <c r="P588" s="3"/>
      <c r="Q588" s="1"/>
      <c r="R588" s="1"/>
      <c r="S588" s="1"/>
      <c r="T588" s="1"/>
      <c r="U588" s="4"/>
    </row>
    <row r="589" spans="1:21" ht="18.75" hidden="1" customHeight="1">
      <c r="A589" s="39" t="s">
        <v>501</v>
      </c>
      <c r="B589" s="29" t="s">
        <v>61</v>
      </c>
      <c r="C589" s="30"/>
      <c r="D589" s="38"/>
      <c r="E589" s="27"/>
      <c r="F589" s="31"/>
      <c r="G589" s="27"/>
      <c r="H589" s="37">
        <v>0</v>
      </c>
      <c r="I589" s="33">
        <f t="shared" si="309"/>
        <v>0</v>
      </c>
      <c r="J589" s="26"/>
      <c r="K589" s="27">
        <f t="shared" si="310"/>
        <v>0</v>
      </c>
      <c r="L589" s="27">
        <f>IF(D589="no",F589*H585-J589,0)</f>
        <v>0</v>
      </c>
      <c r="M589" s="572"/>
      <c r="N589" s="564"/>
      <c r="O589" s="1"/>
      <c r="P589" s="3"/>
      <c r="Q589" s="1"/>
      <c r="R589" s="1"/>
      <c r="S589" s="1"/>
      <c r="T589" s="1"/>
      <c r="U589" s="4"/>
    </row>
    <row r="590" spans="1:21" ht="18.75" hidden="1" customHeight="1">
      <c r="A590" s="39" t="s">
        <v>501</v>
      </c>
      <c r="B590" s="29" t="s">
        <v>35</v>
      </c>
      <c r="C590" s="30"/>
      <c r="D590" s="21"/>
      <c r="E590" s="27"/>
      <c r="F590" s="31">
        <f t="shared" ref="F590:F591" si="311">IF(D590="no",E590,E590/1.1)</f>
        <v>0</v>
      </c>
      <c r="G590" s="27">
        <f t="shared" ref="G590:G591" si="312">IF(D590="no",0,F590*0.1)</f>
        <v>0</v>
      </c>
      <c r="H590" s="32"/>
      <c r="I590" s="33">
        <f t="shared" si="309"/>
        <v>0</v>
      </c>
      <c r="J590" s="26"/>
      <c r="K590" s="27">
        <f t="shared" si="310"/>
        <v>0</v>
      </c>
      <c r="L590" s="1"/>
      <c r="M590" s="574"/>
      <c r="N590" s="564"/>
      <c r="O590" s="1"/>
      <c r="P590" s="3"/>
      <c r="Q590" s="1"/>
      <c r="R590" s="1"/>
      <c r="S590" s="1"/>
      <c r="T590" s="1"/>
      <c r="U590" s="4"/>
    </row>
    <row r="591" spans="1:21" ht="18.75" hidden="1" customHeight="1">
      <c r="A591" s="39" t="s">
        <v>501</v>
      </c>
      <c r="B591" s="29" t="s">
        <v>37</v>
      </c>
      <c r="C591" s="30"/>
      <c r="D591" s="21"/>
      <c r="E591" s="27"/>
      <c r="F591" s="31">
        <f t="shared" si="311"/>
        <v>0</v>
      </c>
      <c r="G591" s="27">
        <f t="shared" si="312"/>
        <v>0</v>
      </c>
      <c r="H591" s="37"/>
      <c r="I591" s="33">
        <f t="shared" si="309"/>
        <v>0</v>
      </c>
      <c r="J591" s="26"/>
      <c r="K591" s="27">
        <f t="shared" si="310"/>
        <v>0</v>
      </c>
      <c r="L591" s="27"/>
      <c r="M591" s="572"/>
      <c r="N591" s="564"/>
      <c r="O591" s="1"/>
      <c r="P591" s="3"/>
      <c r="Q591" s="1"/>
      <c r="R591" s="1"/>
      <c r="S591" s="1"/>
      <c r="T591" s="1"/>
      <c r="U591" s="4"/>
    </row>
    <row r="592" spans="1:21" ht="18.75" hidden="1" customHeight="1">
      <c r="A592" s="575" t="s">
        <v>42</v>
      </c>
      <c r="B592" s="576"/>
      <c r="C592" s="576"/>
      <c r="D592" s="577"/>
      <c r="E592" s="42">
        <f t="shared" ref="E592:L592" si="313">SUM(E588:E591)</f>
        <v>0</v>
      </c>
      <c r="F592" s="17">
        <f t="shared" si="313"/>
        <v>0</v>
      </c>
      <c r="G592" s="42">
        <f t="shared" si="313"/>
        <v>0</v>
      </c>
      <c r="H592" s="43">
        <f t="shared" si="313"/>
        <v>0</v>
      </c>
      <c r="I592" s="42">
        <f t="shared" si="313"/>
        <v>0</v>
      </c>
      <c r="J592" s="43">
        <f t="shared" si="313"/>
        <v>0</v>
      </c>
      <c r="K592" s="42">
        <f t="shared" si="313"/>
        <v>0</v>
      </c>
      <c r="L592" s="42">
        <f t="shared" si="313"/>
        <v>0</v>
      </c>
      <c r="M592" s="44"/>
      <c r="N592" s="45"/>
      <c r="O592" s="1"/>
      <c r="P592" s="3"/>
      <c r="Q592" s="1"/>
      <c r="R592" s="1"/>
      <c r="S592" s="1"/>
      <c r="T592" s="1"/>
      <c r="U592" s="4"/>
    </row>
    <row r="593" spans="1:21" ht="18.75" hidden="1" customHeight="1">
      <c r="A593" s="46" t="s">
        <v>37</v>
      </c>
      <c r="B593" s="47" t="s">
        <v>43</v>
      </c>
      <c r="C593" s="48">
        <f>D586</f>
        <v>0</v>
      </c>
      <c r="D593" s="47" t="s">
        <v>44</v>
      </c>
      <c r="E593" s="49"/>
      <c r="F593" s="84"/>
      <c r="G593" s="85"/>
      <c r="H593" s="49"/>
      <c r="I593" s="53" t="s">
        <v>46</v>
      </c>
      <c r="J593" s="54"/>
      <c r="K593" s="50"/>
      <c r="L593" s="55"/>
      <c r="M593" s="63"/>
      <c r="N593" s="64"/>
      <c r="O593" s="1"/>
      <c r="P593" s="3"/>
      <c r="Q593" s="1"/>
      <c r="R593" s="1"/>
      <c r="S593" s="1"/>
      <c r="T593" s="1"/>
      <c r="U593" s="4"/>
    </row>
    <row r="594" spans="1:21" ht="16.5" hidden="1" customHeight="1" thickBot="1">
      <c r="A594" s="56" t="s">
        <v>48</v>
      </c>
      <c r="B594" s="57" t="s">
        <v>49</v>
      </c>
      <c r="C594" s="58">
        <f>ROUND(F592/10000,0)</f>
        <v>0</v>
      </c>
      <c r="D594" s="57" t="s">
        <v>50</v>
      </c>
      <c r="E594" s="52"/>
      <c r="F594" s="86"/>
      <c r="G594" s="87"/>
      <c r="H594" s="52"/>
      <c r="I594" s="59"/>
      <c r="J594" s="61"/>
      <c r="K594" s="59"/>
      <c r="L594" s="62"/>
      <c r="M594" s="63"/>
      <c r="N594" s="64"/>
      <c r="O594" s="1"/>
      <c r="P594" s="3"/>
      <c r="Q594" s="1"/>
      <c r="R594" s="1"/>
      <c r="S594" s="1"/>
      <c r="T594" s="1"/>
      <c r="U594" s="4"/>
    </row>
    <row r="595" spans="1:21" ht="19.5" hidden="1" customHeight="1" thickBot="1">
      <c r="A595" s="566" t="s">
        <v>52</v>
      </c>
      <c r="B595" s="567"/>
      <c r="C595" s="567"/>
      <c r="D595" s="568"/>
      <c r="E595" s="65"/>
      <c r="F595" s="569" t="s">
        <v>53</v>
      </c>
      <c r="G595" s="568"/>
      <c r="H595" s="66">
        <f>H592-J593</f>
        <v>0</v>
      </c>
      <c r="I595" s="67">
        <f>H595*3.3%</f>
        <v>0</v>
      </c>
      <c r="J595" s="68">
        <f>SUM(J592)</f>
        <v>0</v>
      </c>
      <c r="K595" s="69">
        <f>H595-I595-J595</f>
        <v>0</v>
      </c>
      <c r="L595" s="70">
        <f>L592+SUM(H593:H594)+J594</f>
        <v>0</v>
      </c>
      <c r="M595" s="570">
        <f>K595+L595</f>
        <v>0</v>
      </c>
      <c r="N595" s="571"/>
      <c r="O595" s="1"/>
      <c r="P595" s="3"/>
      <c r="Q595" s="1"/>
      <c r="R595" s="1"/>
      <c r="S595" s="1"/>
      <c r="T595" s="1"/>
      <c r="U595" s="4"/>
    </row>
    <row r="596" spans="1:21" ht="18.75" customHeight="1">
      <c r="A596" s="1"/>
      <c r="B596" s="1"/>
      <c r="C596" s="1"/>
      <c r="D596" s="1"/>
      <c r="E596" s="1"/>
      <c r="F596" s="1"/>
      <c r="G596" s="1"/>
      <c r="H596" s="141"/>
      <c r="I596" s="1"/>
      <c r="J596" s="1"/>
      <c r="K596" s="1"/>
      <c r="L596" s="1"/>
      <c r="M596" s="1"/>
      <c r="N596" s="1"/>
      <c r="O596" s="1"/>
      <c r="P596" s="3"/>
      <c r="Q596" s="1"/>
      <c r="R596" s="1"/>
      <c r="S596" s="1"/>
      <c r="T596" s="1"/>
      <c r="U596" s="4"/>
    </row>
    <row r="597" spans="1:21" ht="18.75" hidden="1" customHeight="1">
      <c r="A597" s="6"/>
      <c r="B597" s="7" t="str">
        <f>$B$34</f>
        <v>1월</v>
      </c>
      <c r="C597" s="8" t="s">
        <v>1</v>
      </c>
      <c r="D597" s="9">
        <f>COUNTIF($C599:$C603,"계약")+(COUNTIF($C599:$C603,"계약2")*2)</f>
        <v>0</v>
      </c>
      <c r="E597" s="3">
        <f>COUNTIF(C599:C603,"낙찰수수료")</f>
        <v>0</v>
      </c>
      <c r="F597" s="3"/>
      <c r="G597" s="89" t="s">
        <v>122</v>
      </c>
      <c r="H597" s="123">
        <v>0.4</v>
      </c>
      <c r="I597" s="12">
        <v>3.3000000000000002E-2</v>
      </c>
      <c r="J597" s="1"/>
      <c r="K597" s="1"/>
      <c r="L597" s="1"/>
      <c r="M597" s="1"/>
      <c r="N597" s="1"/>
      <c r="O597" s="1"/>
      <c r="P597" s="3"/>
      <c r="Q597" s="1"/>
      <c r="R597" s="1"/>
      <c r="S597" s="1"/>
      <c r="T597" s="1"/>
      <c r="U597" s="4"/>
    </row>
    <row r="598" spans="1:21" ht="18.75" hidden="1" customHeight="1">
      <c r="A598" s="13" t="s">
        <v>3</v>
      </c>
      <c r="B598" s="14" t="s">
        <v>4</v>
      </c>
      <c r="C598" s="14" t="s">
        <v>5</v>
      </c>
      <c r="D598" s="101" t="s">
        <v>6</v>
      </c>
      <c r="E598" s="16" t="s">
        <v>7</v>
      </c>
      <c r="F598" s="17" t="s">
        <v>8</v>
      </c>
      <c r="G598" s="14" t="s">
        <v>9</v>
      </c>
      <c r="H598" s="15" t="s">
        <v>10</v>
      </c>
      <c r="I598" s="14" t="s">
        <v>11</v>
      </c>
      <c r="J598" s="15" t="s">
        <v>12</v>
      </c>
      <c r="K598" s="14" t="s">
        <v>13</v>
      </c>
      <c r="L598" s="14" t="s">
        <v>14</v>
      </c>
      <c r="M598" s="579" t="s">
        <v>15</v>
      </c>
      <c r="N598" s="577"/>
      <c r="O598" s="1"/>
      <c r="P598" s="3"/>
      <c r="Q598" s="1"/>
      <c r="R598" s="1"/>
      <c r="S598" s="1"/>
      <c r="T598" s="1"/>
      <c r="U598" s="4"/>
    </row>
    <row r="599" spans="1:21" ht="18.75" hidden="1" customHeight="1">
      <c r="A599" s="28"/>
      <c r="B599" s="29"/>
      <c r="C599" s="30"/>
      <c r="D599" s="38"/>
      <c r="E599" s="27"/>
      <c r="F599" s="31">
        <f t="shared" ref="F599" si="314">IF(D599="no",E599,E599/1.1)</f>
        <v>0</v>
      </c>
      <c r="G599" s="27">
        <f t="shared" ref="G599" si="315">IF(D599="no",0,F599*0.1)</f>
        <v>0</v>
      </c>
      <c r="H599" s="32">
        <f>IF(D599="no",0,F599*H597)</f>
        <v>0</v>
      </c>
      <c r="I599" s="33">
        <f t="shared" ref="I599:I603" si="316">IF(D599="no",0,H599*3.3%)</f>
        <v>0</v>
      </c>
      <c r="J599" s="26"/>
      <c r="K599" s="27">
        <f t="shared" ref="K599:K603" si="317">IF(D599="no",0,H599-I599-J599)</f>
        <v>0</v>
      </c>
      <c r="L599" s="27">
        <f>IF(D599="no",F599*H597-J599,0)</f>
        <v>0</v>
      </c>
      <c r="M599" s="580"/>
      <c r="N599" s="581"/>
      <c r="O599" s="1"/>
      <c r="P599" s="3"/>
      <c r="Q599" s="1"/>
      <c r="R599" s="1"/>
      <c r="S599" s="1"/>
      <c r="T599" s="1"/>
      <c r="U599" s="4"/>
    </row>
    <row r="600" spans="1:21" ht="18.75" hidden="1" customHeight="1">
      <c r="A600" s="39" t="s">
        <v>501</v>
      </c>
      <c r="B600" s="29" t="s">
        <v>100</v>
      </c>
      <c r="C600" s="30"/>
      <c r="D600" s="21"/>
      <c r="E600" s="27"/>
      <c r="F600" s="31"/>
      <c r="G600" s="27"/>
      <c r="H600" s="32"/>
      <c r="I600" s="33">
        <f t="shared" si="316"/>
        <v>0</v>
      </c>
      <c r="J600" s="26"/>
      <c r="K600" s="27">
        <f t="shared" si="317"/>
        <v>0</v>
      </c>
      <c r="L600" s="1"/>
      <c r="M600" s="142"/>
      <c r="N600" s="143"/>
      <c r="O600" s="1"/>
      <c r="P600" s="3"/>
      <c r="Q600" s="1"/>
      <c r="R600" s="1"/>
      <c r="S600" s="1"/>
      <c r="T600" s="1"/>
      <c r="U600" s="4"/>
    </row>
    <row r="601" spans="1:21" ht="18.75" hidden="1" customHeight="1">
      <c r="A601" s="39" t="s">
        <v>501</v>
      </c>
      <c r="B601" s="29" t="s">
        <v>61</v>
      </c>
      <c r="C601" s="30"/>
      <c r="D601" s="21"/>
      <c r="E601" s="27"/>
      <c r="F601" s="31"/>
      <c r="G601" s="27"/>
      <c r="H601" s="32">
        <f>IF(D601="no",0,F601*H804)</f>
        <v>0</v>
      </c>
      <c r="I601" s="33">
        <f t="shared" si="316"/>
        <v>0</v>
      </c>
      <c r="J601" s="26"/>
      <c r="K601" s="27">
        <f t="shared" si="317"/>
        <v>0</v>
      </c>
      <c r="L601" s="27">
        <f>IF(D601="no",F601*H597-J601,0)</f>
        <v>0</v>
      </c>
      <c r="M601" s="94"/>
      <c r="N601" s="95"/>
      <c r="O601" s="1"/>
      <c r="P601" s="3"/>
      <c r="Q601" s="1"/>
      <c r="R601" s="1"/>
      <c r="S601" s="1"/>
      <c r="T601" s="1"/>
      <c r="U601" s="4"/>
    </row>
    <row r="602" spans="1:21" ht="18.75" hidden="1" customHeight="1">
      <c r="A602" s="39" t="s">
        <v>501</v>
      </c>
      <c r="B602" s="29" t="s">
        <v>35</v>
      </c>
      <c r="C602" s="30"/>
      <c r="D602" s="21"/>
      <c r="E602" s="27"/>
      <c r="F602" s="31">
        <f t="shared" ref="F602:F603" si="318">IF(D602="no",E602,E602/1.1)</f>
        <v>0</v>
      </c>
      <c r="G602" s="27">
        <f t="shared" ref="G602:G603" si="319">IF(D602="no",0,F602*0.1)</f>
        <v>0</v>
      </c>
      <c r="H602" s="32"/>
      <c r="I602" s="33">
        <f t="shared" si="316"/>
        <v>0</v>
      </c>
      <c r="J602" s="26"/>
      <c r="K602" s="27">
        <f t="shared" si="317"/>
        <v>0</v>
      </c>
      <c r="L602" s="1"/>
      <c r="M602" s="574"/>
      <c r="N602" s="564"/>
      <c r="O602" s="1"/>
      <c r="P602" s="3"/>
      <c r="Q602" s="1"/>
      <c r="R602" s="1"/>
      <c r="S602" s="1"/>
      <c r="T602" s="1"/>
      <c r="U602" s="4"/>
    </row>
    <row r="603" spans="1:21" ht="18.75" hidden="1" customHeight="1">
      <c r="A603" s="39" t="s">
        <v>501</v>
      </c>
      <c r="B603" s="29" t="s">
        <v>37</v>
      </c>
      <c r="C603" s="30"/>
      <c r="D603" s="21"/>
      <c r="E603" s="27"/>
      <c r="F603" s="31">
        <f t="shared" si="318"/>
        <v>0</v>
      </c>
      <c r="G603" s="27">
        <f t="shared" si="319"/>
        <v>0</v>
      </c>
      <c r="H603" s="37">
        <f>(E605+E606+N606)/0.967</f>
        <v>0</v>
      </c>
      <c r="I603" s="33">
        <f t="shared" si="316"/>
        <v>0</v>
      </c>
      <c r="J603" s="26"/>
      <c r="K603" s="27">
        <f t="shared" si="317"/>
        <v>0</v>
      </c>
      <c r="L603" s="27"/>
      <c r="M603" s="572"/>
      <c r="N603" s="564"/>
      <c r="O603" s="1"/>
      <c r="P603" s="3"/>
      <c r="Q603" s="1"/>
      <c r="R603" s="1"/>
      <c r="S603" s="1"/>
      <c r="T603" s="1"/>
      <c r="U603" s="4"/>
    </row>
    <row r="604" spans="1:21" ht="18.75" hidden="1" customHeight="1">
      <c r="A604" s="575" t="s">
        <v>42</v>
      </c>
      <c r="B604" s="576"/>
      <c r="C604" s="576"/>
      <c r="D604" s="577"/>
      <c r="E604" s="42">
        <f t="shared" ref="E604:L604" si="320">SUM(E599:E603)</f>
        <v>0</v>
      </c>
      <c r="F604" s="17">
        <f t="shared" si="320"/>
        <v>0</v>
      </c>
      <c r="G604" s="42">
        <f t="shared" si="320"/>
        <v>0</v>
      </c>
      <c r="H604" s="43">
        <f t="shared" si="320"/>
        <v>0</v>
      </c>
      <c r="I604" s="42">
        <f t="shared" si="320"/>
        <v>0</v>
      </c>
      <c r="J604" s="43">
        <f t="shared" si="320"/>
        <v>0</v>
      </c>
      <c r="K604" s="42">
        <f t="shared" si="320"/>
        <v>0</v>
      </c>
      <c r="L604" s="42">
        <f t="shared" si="320"/>
        <v>0</v>
      </c>
      <c r="M604" s="44"/>
      <c r="N604" s="45"/>
      <c r="O604" s="1"/>
      <c r="P604" s="3"/>
      <c r="Q604" s="1"/>
      <c r="R604" s="1"/>
      <c r="S604" s="1"/>
      <c r="T604" s="1"/>
      <c r="U604" s="4"/>
    </row>
    <row r="605" spans="1:21" ht="18.75" hidden="1" customHeight="1">
      <c r="A605" s="46" t="s">
        <v>37</v>
      </c>
      <c r="B605" s="47" t="s">
        <v>43</v>
      </c>
      <c r="C605" s="48">
        <f>D597</f>
        <v>0</v>
      </c>
      <c r="D605" s="47" t="s">
        <v>44</v>
      </c>
      <c r="E605" s="49"/>
      <c r="F605" s="84"/>
      <c r="G605" s="85"/>
      <c r="H605" s="49"/>
      <c r="I605" s="53" t="s">
        <v>46</v>
      </c>
      <c r="J605" s="54"/>
      <c r="K605" s="50"/>
      <c r="L605" s="55"/>
      <c r="M605" s="63"/>
      <c r="N605" s="64"/>
      <c r="O605" s="1"/>
      <c r="P605" s="3"/>
      <c r="Q605" s="1"/>
      <c r="R605" s="1"/>
      <c r="S605" s="1"/>
      <c r="T605" s="1"/>
      <c r="U605" s="4"/>
    </row>
    <row r="606" spans="1:21" ht="16.5" hidden="1" customHeight="1" thickBot="1">
      <c r="A606" s="56" t="s">
        <v>48</v>
      </c>
      <c r="B606" s="57" t="s">
        <v>49</v>
      </c>
      <c r="C606" s="58">
        <f>ROUND(F604/10000,0)</f>
        <v>0</v>
      </c>
      <c r="D606" s="57" t="s">
        <v>50</v>
      </c>
      <c r="E606" s="52">
        <f>IF(C606&gt;=8000,5200000,IF(C606&gt;=5000,2700000,IF(C606&gt;=200,200000,0)))</f>
        <v>0</v>
      </c>
      <c r="F606" s="86"/>
      <c r="G606" s="87"/>
      <c r="H606" s="52"/>
      <c r="I606" s="59"/>
      <c r="J606" s="61"/>
      <c r="K606" s="59"/>
      <c r="L606" s="62"/>
      <c r="M606" s="63"/>
      <c r="N606" s="64"/>
      <c r="O606" s="1"/>
      <c r="P606" s="3"/>
      <c r="Q606" s="1"/>
      <c r="R606" s="1"/>
      <c r="S606" s="1"/>
      <c r="T606" s="1"/>
      <c r="U606" s="4"/>
    </row>
    <row r="607" spans="1:21" ht="18.75" hidden="1" customHeight="1" thickBot="1">
      <c r="A607" s="566" t="s">
        <v>52</v>
      </c>
      <c r="B607" s="567"/>
      <c r="C607" s="567"/>
      <c r="D607" s="568"/>
      <c r="E607" s="65"/>
      <c r="F607" s="569" t="s">
        <v>53</v>
      </c>
      <c r="G607" s="568"/>
      <c r="H607" s="66">
        <f>H604-J605</f>
        <v>0</v>
      </c>
      <c r="I607" s="67">
        <f>H607*3.3%</f>
        <v>0</v>
      </c>
      <c r="J607" s="68">
        <f>SUM(J604)</f>
        <v>0</v>
      </c>
      <c r="K607" s="69">
        <f>H607-I607-J607</f>
        <v>0</v>
      </c>
      <c r="L607" s="70">
        <f>L604+SUM(H605:H606)+J606</f>
        <v>0</v>
      </c>
      <c r="M607" s="570">
        <f>K607+L607</f>
        <v>0</v>
      </c>
      <c r="N607" s="571"/>
      <c r="O607" s="1"/>
      <c r="P607" s="3"/>
      <c r="Q607" s="1"/>
      <c r="R607" s="1"/>
      <c r="S607" s="1"/>
      <c r="T607" s="1"/>
      <c r="U607" s="4"/>
    </row>
    <row r="608" spans="1:21" s="263" customFormat="1" ht="18.75" hidden="1" customHeight="1">
      <c r="A608" s="1"/>
      <c r="B608" s="1"/>
      <c r="C608" s="1"/>
      <c r="D608" s="1"/>
      <c r="E608" s="1"/>
      <c r="F608" s="1"/>
      <c r="G608" s="1"/>
      <c r="H608" s="141"/>
      <c r="I608" s="1"/>
      <c r="J608" s="1"/>
      <c r="K608" s="1"/>
      <c r="L608" s="1"/>
      <c r="M608" s="1"/>
      <c r="N608" s="1"/>
      <c r="O608" s="1"/>
      <c r="P608" s="3"/>
      <c r="Q608" s="1"/>
      <c r="R608" s="1"/>
      <c r="S608" s="1"/>
      <c r="T608" s="1"/>
      <c r="U608" s="4"/>
    </row>
    <row r="609" spans="1:21" ht="18.75" customHeight="1">
      <c r="A609" s="6" t="s">
        <v>104</v>
      </c>
      <c r="B609" s="7" t="str">
        <f>$B$34</f>
        <v>1월</v>
      </c>
      <c r="C609" s="8" t="s">
        <v>1</v>
      </c>
      <c r="D609" s="9">
        <f>COUNTIF($C611:$C630,"계약")+(COUNTIF($C611:$C630,"계약2")*2)</f>
        <v>3</v>
      </c>
      <c r="E609" s="3">
        <f>COUNTIF(C611:C630,"낙찰수수료")</f>
        <v>0</v>
      </c>
      <c r="F609" s="3"/>
      <c r="G609" s="89" t="s">
        <v>105</v>
      </c>
      <c r="H609" s="11">
        <v>0.5</v>
      </c>
      <c r="I609" s="12">
        <v>3.3000000000000002E-2</v>
      </c>
      <c r="J609" s="1"/>
      <c r="K609" s="1"/>
      <c r="L609" s="1"/>
      <c r="M609" s="1"/>
      <c r="N609" s="1"/>
      <c r="O609" s="1"/>
      <c r="P609" s="3"/>
      <c r="Q609" s="1"/>
      <c r="R609" s="1"/>
      <c r="S609" s="1"/>
      <c r="T609" s="1"/>
      <c r="U609" s="4"/>
    </row>
    <row r="610" spans="1:21" ht="18.75" customHeight="1">
      <c r="A610" s="13" t="s">
        <v>3</v>
      </c>
      <c r="B610" s="14" t="s">
        <v>4</v>
      </c>
      <c r="C610" s="14" t="s">
        <v>5</v>
      </c>
      <c r="D610" s="101" t="s">
        <v>6</v>
      </c>
      <c r="E610" s="16" t="s">
        <v>7</v>
      </c>
      <c r="F610" s="17" t="s">
        <v>8</v>
      </c>
      <c r="G610" s="14" t="s">
        <v>9</v>
      </c>
      <c r="H610" s="15" t="s">
        <v>10</v>
      </c>
      <c r="I610" s="14" t="s">
        <v>11</v>
      </c>
      <c r="J610" s="15" t="s">
        <v>12</v>
      </c>
      <c r="K610" s="14" t="s">
        <v>13</v>
      </c>
      <c r="L610" s="14" t="s">
        <v>14</v>
      </c>
      <c r="M610" s="579" t="s">
        <v>15</v>
      </c>
      <c r="N610" s="577"/>
      <c r="O610" s="1"/>
      <c r="P610" s="3"/>
      <c r="Q610" s="1"/>
      <c r="R610" s="1"/>
      <c r="S610" s="1"/>
      <c r="T610" s="1"/>
      <c r="U610" s="4"/>
    </row>
    <row r="611" spans="1:21" ht="18.75" customHeight="1">
      <c r="A611" s="28">
        <v>46035</v>
      </c>
      <c r="B611" s="29" t="s">
        <v>777</v>
      </c>
      <c r="C611" s="30" t="s">
        <v>357</v>
      </c>
      <c r="D611" s="38"/>
      <c r="E611" s="27">
        <v>550000</v>
      </c>
      <c r="F611" s="31">
        <f t="shared" ref="F611:F625" si="321">IF(D611="no",E611,E611/1.1)</f>
        <v>499999.99999999994</v>
      </c>
      <c r="G611" s="27">
        <f t="shared" ref="G611:G625" si="322">IF(D611="no",0,F611*0.1)</f>
        <v>50000</v>
      </c>
      <c r="H611" s="32">
        <f>IF(D611="no",0,F611*$H$609)</f>
        <v>249999.99999999997</v>
      </c>
      <c r="I611" s="33">
        <f t="shared" ref="I611:I625" si="323">IF(D611="no",0,H611*3.3%)</f>
        <v>8250</v>
      </c>
      <c r="J611" s="26"/>
      <c r="K611" s="27">
        <f t="shared" ref="K611:K629" si="324">IF(D611="no",0,H611-I611-J611)</f>
        <v>241749.99999999997</v>
      </c>
      <c r="L611" s="27">
        <f>IF(D611="no",F611*H609-J611,0)</f>
        <v>0</v>
      </c>
      <c r="M611" s="580"/>
      <c r="N611" s="581"/>
      <c r="O611" s="1"/>
      <c r="P611" s="3"/>
      <c r="Q611" s="1"/>
      <c r="R611" s="1"/>
      <c r="S611" s="1"/>
      <c r="T611" s="1"/>
      <c r="U611" s="4"/>
    </row>
    <row r="612" spans="1:21" ht="18.75" customHeight="1">
      <c r="A612" s="28">
        <v>46050</v>
      </c>
      <c r="B612" s="29" t="s">
        <v>778</v>
      </c>
      <c r="C612" s="30" t="s">
        <v>357</v>
      </c>
      <c r="D612" s="38"/>
      <c r="E612" s="27">
        <v>550000</v>
      </c>
      <c r="F612" s="31">
        <f t="shared" si="321"/>
        <v>499999.99999999994</v>
      </c>
      <c r="G612" s="27">
        <f t="shared" si="322"/>
        <v>50000</v>
      </c>
      <c r="H612" s="32">
        <f>IF(D612="no",0,F612*$H$609)</f>
        <v>249999.99999999997</v>
      </c>
      <c r="I612" s="33">
        <f t="shared" si="323"/>
        <v>8250</v>
      </c>
      <c r="J612" s="26"/>
      <c r="K612" s="27">
        <f t="shared" si="324"/>
        <v>241749.99999999997</v>
      </c>
      <c r="L612" s="27">
        <f>IF(D612="no",F612*H609-J612,0)</f>
        <v>0</v>
      </c>
      <c r="M612" s="572"/>
      <c r="N612" s="564"/>
      <c r="O612" s="1"/>
      <c r="P612" s="3"/>
      <c r="Q612" s="1"/>
      <c r="R612" s="1"/>
      <c r="S612" s="1"/>
      <c r="T612" s="1"/>
      <c r="U612" s="4"/>
    </row>
    <row r="613" spans="1:21" ht="18.75" customHeight="1">
      <c r="A613" s="39">
        <v>46052</v>
      </c>
      <c r="B613" s="29" t="s">
        <v>834</v>
      </c>
      <c r="C613" s="30" t="s">
        <v>357</v>
      </c>
      <c r="D613" s="95"/>
      <c r="E613" s="102">
        <v>550000</v>
      </c>
      <c r="F613" s="31">
        <f t="shared" ref="F613" si="325">IF(D613="no",E613,E613/1.1)</f>
        <v>499999.99999999994</v>
      </c>
      <c r="G613" s="27">
        <f t="shared" ref="G613" si="326">IF(D613="no",0,F613*0.1)</f>
        <v>50000</v>
      </c>
      <c r="H613" s="32">
        <f>IF(D613="no",0,F613*$H$609)</f>
        <v>249999.99999999997</v>
      </c>
      <c r="I613" s="33">
        <f t="shared" ref="I613" si="327">IF(D613="no",0,H613*3.3%)</f>
        <v>8250</v>
      </c>
      <c r="J613" s="26"/>
      <c r="K613" s="27">
        <f t="shared" ref="K613" si="328">IF(D613="no",0,H613-I613-J613)</f>
        <v>241749.99999999997</v>
      </c>
      <c r="L613" s="27"/>
      <c r="M613" s="572"/>
      <c r="N613" s="564"/>
      <c r="O613" s="1"/>
      <c r="P613" s="3"/>
      <c r="Q613" s="1"/>
      <c r="R613" s="1"/>
      <c r="S613" s="1"/>
      <c r="T613" s="1"/>
      <c r="U613" s="4"/>
    </row>
    <row r="614" spans="1:21" ht="18.75" hidden="1" customHeight="1">
      <c r="A614" s="39"/>
      <c r="B614" s="29"/>
      <c r="C614" s="30"/>
      <c r="D614" s="38"/>
      <c r="E614" s="27"/>
      <c r="F614" s="31">
        <f t="shared" si="321"/>
        <v>0</v>
      </c>
      <c r="G614" s="27">
        <f t="shared" si="322"/>
        <v>0</v>
      </c>
      <c r="H614" s="32">
        <f>IF(D614="no",0,F614*$H$609)</f>
        <v>0</v>
      </c>
      <c r="I614" s="33">
        <f t="shared" si="323"/>
        <v>0</v>
      </c>
      <c r="J614" s="26"/>
      <c r="K614" s="27">
        <f t="shared" si="324"/>
        <v>0</v>
      </c>
      <c r="L614" s="27">
        <f>IF(D614="no",F614*H603-J614,0)</f>
        <v>0</v>
      </c>
      <c r="M614" s="572"/>
      <c r="N614" s="564"/>
      <c r="O614" s="1"/>
      <c r="P614" s="3"/>
      <c r="Q614" s="1"/>
      <c r="R614" s="1"/>
      <c r="S614" s="1"/>
      <c r="T614" s="1"/>
      <c r="U614" s="4"/>
    </row>
    <row r="615" spans="1:21" s="376" customFormat="1" ht="18.75" hidden="1" customHeight="1">
      <c r="A615" s="28"/>
      <c r="B615" s="29"/>
      <c r="C615" s="30"/>
      <c r="D615" s="377"/>
      <c r="E615" s="27"/>
      <c r="F615" s="31">
        <f t="shared" ref="F615" si="329">IF(D615="no",E615,E615/1.1)</f>
        <v>0</v>
      </c>
      <c r="G615" s="27">
        <f t="shared" ref="G615" si="330">IF(D615="no",0,F615*0.1)</f>
        <v>0</v>
      </c>
      <c r="H615" s="32">
        <f t="shared" ref="H615" si="331">IF(D615="no",0,F615*$H$609)</f>
        <v>0</v>
      </c>
      <c r="I615" s="33">
        <f t="shared" ref="I615" si="332">IF(D615="no",0,H615*3.3%)</f>
        <v>0</v>
      </c>
      <c r="J615" s="26"/>
      <c r="K615" s="27">
        <f t="shared" ref="K615" si="333">IF(D615="no",0,H615-I615-J615)</f>
        <v>0</v>
      </c>
      <c r="L615" s="27">
        <f t="shared" ref="L615:L626" si="334">IF(D615="no",F615*H602-J615,0)</f>
        <v>0</v>
      </c>
      <c r="M615" s="572"/>
      <c r="N615" s="564"/>
      <c r="O615" s="1"/>
      <c r="P615" s="3"/>
      <c r="Q615" s="1"/>
      <c r="R615" s="1"/>
      <c r="S615" s="1"/>
      <c r="T615" s="1"/>
      <c r="U615" s="4"/>
    </row>
    <row r="616" spans="1:21" ht="18.75" hidden="1" customHeight="1">
      <c r="A616" s="39"/>
      <c r="B616" s="29"/>
      <c r="C616" s="30"/>
      <c r="D616" s="38"/>
      <c r="E616" s="102"/>
      <c r="F616" s="31">
        <f t="shared" si="321"/>
        <v>0</v>
      </c>
      <c r="G616" s="27">
        <f t="shared" si="322"/>
        <v>0</v>
      </c>
      <c r="H616" s="32">
        <f>IF(D616="no",0,F616*$H$609)</f>
        <v>0</v>
      </c>
      <c r="I616" s="33">
        <f t="shared" si="323"/>
        <v>0</v>
      </c>
      <c r="J616" s="26"/>
      <c r="K616" s="27">
        <f t="shared" si="324"/>
        <v>0</v>
      </c>
      <c r="L616" s="27">
        <f t="shared" si="334"/>
        <v>0</v>
      </c>
      <c r="M616" s="563"/>
      <c r="N616" s="564"/>
      <c r="O616" s="1"/>
      <c r="P616" s="3"/>
      <c r="Q616" s="1"/>
      <c r="R616" s="1"/>
      <c r="S616" s="1"/>
      <c r="T616" s="1"/>
      <c r="U616" s="4"/>
    </row>
    <row r="617" spans="1:21" ht="18.75" hidden="1" customHeight="1">
      <c r="A617" s="28"/>
      <c r="B617" s="29"/>
      <c r="C617" s="30"/>
      <c r="D617" s="21"/>
      <c r="E617" s="27"/>
      <c r="F617" s="31">
        <f t="shared" si="321"/>
        <v>0</v>
      </c>
      <c r="G617" s="27">
        <f t="shared" si="322"/>
        <v>0</v>
      </c>
      <c r="H617" s="32">
        <f t="shared" ref="H617" si="335">IF(D617="no",0,F617*$H$609)</f>
        <v>0</v>
      </c>
      <c r="I617" s="33">
        <f t="shared" si="323"/>
        <v>0</v>
      </c>
      <c r="J617" s="26"/>
      <c r="K617" s="27">
        <f t="shared" si="324"/>
        <v>0</v>
      </c>
      <c r="L617" s="27">
        <f t="shared" si="334"/>
        <v>0</v>
      </c>
      <c r="M617" s="572"/>
      <c r="N617" s="564"/>
      <c r="O617" s="1"/>
      <c r="P617" s="3"/>
      <c r="Q617" s="1"/>
      <c r="R617" s="1"/>
      <c r="S617" s="1"/>
      <c r="T617" s="1"/>
      <c r="U617" s="4"/>
    </row>
    <row r="618" spans="1:21" ht="18.75" hidden="1" customHeight="1">
      <c r="A618" s="28"/>
      <c r="B618" s="29"/>
      <c r="C618" s="30"/>
      <c r="D618" s="38"/>
      <c r="E618" s="27"/>
      <c r="F618" s="31">
        <f t="shared" si="321"/>
        <v>0</v>
      </c>
      <c r="G618" s="27">
        <f t="shared" si="322"/>
        <v>0</v>
      </c>
      <c r="H618" s="32">
        <f t="shared" ref="H618:H631" si="336">IF(D618="no",0,F618*$H$609)</f>
        <v>0</v>
      </c>
      <c r="I618" s="33">
        <f t="shared" si="323"/>
        <v>0</v>
      </c>
      <c r="J618" s="26"/>
      <c r="K618" s="27">
        <f t="shared" si="324"/>
        <v>0</v>
      </c>
      <c r="L618" s="27">
        <f t="shared" si="334"/>
        <v>0</v>
      </c>
      <c r="M618" s="572"/>
      <c r="N618" s="564"/>
      <c r="O618" s="1"/>
      <c r="P618" s="3"/>
      <c r="Q618" s="1"/>
      <c r="R618" s="1"/>
      <c r="S618" s="1"/>
      <c r="T618" s="1"/>
      <c r="U618" s="4"/>
    </row>
    <row r="619" spans="1:21" ht="18.75" hidden="1" customHeight="1">
      <c r="A619" s="28"/>
      <c r="B619" s="29"/>
      <c r="C619" s="30"/>
      <c r="D619" s="21"/>
      <c r="E619" s="27"/>
      <c r="F619" s="31">
        <f t="shared" si="321"/>
        <v>0</v>
      </c>
      <c r="G619" s="27">
        <f t="shared" si="322"/>
        <v>0</v>
      </c>
      <c r="H619" s="32">
        <f t="shared" si="336"/>
        <v>0</v>
      </c>
      <c r="I619" s="33">
        <f t="shared" si="323"/>
        <v>0</v>
      </c>
      <c r="J619" s="26"/>
      <c r="K619" s="27">
        <f t="shared" si="324"/>
        <v>0</v>
      </c>
      <c r="L619" s="27">
        <f t="shared" si="334"/>
        <v>0</v>
      </c>
      <c r="M619" s="573"/>
      <c r="N619" s="564"/>
      <c r="O619" s="1"/>
      <c r="P619" s="3"/>
      <c r="Q619" s="1"/>
      <c r="R619" s="1"/>
      <c r="S619" s="1"/>
      <c r="T619" s="1"/>
      <c r="U619" s="4"/>
    </row>
    <row r="620" spans="1:21" ht="18.75" hidden="1" customHeight="1">
      <c r="A620" s="39"/>
      <c r="B620" s="29"/>
      <c r="C620" s="30"/>
      <c r="D620" s="95"/>
      <c r="E620" s="102"/>
      <c r="F620" s="31">
        <f t="shared" si="321"/>
        <v>0</v>
      </c>
      <c r="G620" s="27">
        <f t="shared" si="322"/>
        <v>0</v>
      </c>
      <c r="H620" s="32">
        <f t="shared" si="336"/>
        <v>0</v>
      </c>
      <c r="I620" s="33">
        <f t="shared" si="323"/>
        <v>0</v>
      </c>
      <c r="J620" s="26"/>
      <c r="K620" s="27">
        <f t="shared" si="324"/>
        <v>0</v>
      </c>
      <c r="L620" s="27">
        <f t="shared" si="334"/>
        <v>0</v>
      </c>
      <c r="M620" s="572"/>
      <c r="N620" s="564"/>
      <c r="O620" s="1"/>
      <c r="P620" s="3"/>
      <c r="Q620" s="1"/>
      <c r="R620" s="1"/>
      <c r="S620" s="1"/>
      <c r="T620" s="1"/>
      <c r="U620" s="4"/>
    </row>
    <row r="621" spans="1:21" ht="18.75" hidden="1" customHeight="1">
      <c r="A621" s="39"/>
      <c r="B621" s="29"/>
      <c r="C621" s="30"/>
      <c r="D621" s="38"/>
      <c r="E621" s="102"/>
      <c r="F621" s="31">
        <f t="shared" si="321"/>
        <v>0</v>
      </c>
      <c r="G621" s="27">
        <f t="shared" si="322"/>
        <v>0</v>
      </c>
      <c r="H621" s="32">
        <f t="shared" si="336"/>
        <v>0</v>
      </c>
      <c r="I621" s="33">
        <f t="shared" si="323"/>
        <v>0</v>
      </c>
      <c r="J621" s="26"/>
      <c r="K621" s="27">
        <f t="shared" si="324"/>
        <v>0</v>
      </c>
      <c r="L621" s="27">
        <f t="shared" si="334"/>
        <v>0</v>
      </c>
      <c r="M621" s="572"/>
      <c r="N621" s="564"/>
      <c r="O621" s="1"/>
      <c r="P621" s="3"/>
      <c r="Q621" s="1"/>
      <c r="R621" s="1"/>
      <c r="S621" s="1"/>
      <c r="T621" s="1"/>
      <c r="U621" s="4"/>
    </row>
    <row r="622" spans="1:21" ht="18.75" hidden="1" customHeight="1">
      <c r="A622" s="39"/>
      <c r="B622" s="29"/>
      <c r="C622" s="30"/>
      <c r="D622" s="38"/>
      <c r="E622" s="102"/>
      <c r="F622" s="31">
        <f t="shared" si="321"/>
        <v>0</v>
      </c>
      <c r="G622" s="27">
        <f t="shared" si="322"/>
        <v>0</v>
      </c>
      <c r="H622" s="32">
        <f t="shared" si="336"/>
        <v>0</v>
      </c>
      <c r="I622" s="33">
        <f t="shared" si="323"/>
        <v>0</v>
      </c>
      <c r="J622" s="26"/>
      <c r="K622" s="27">
        <f t="shared" si="324"/>
        <v>0</v>
      </c>
      <c r="L622" s="27">
        <f t="shared" si="334"/>
        <v>0</v>
      </c>
      <c r="M622" s="563"/>
      <c r="N622" s="564"/>
      <c r="O622" s="1"/>
      <c r="P622" s="3"/>
      <c r="Q622" s="1"/>
      <c r="R622" s="1"/>
      <c r="S622" s="1"/>
      <c r="T622" s="1"/>
      <c r="U622" s="4"/>
    </row>
    <row r="623" spans="1:21" ht="18.75" hidden="1" customHeight="1">
      <c r="A623" s="28"/>
      <c r="B623" s="29"/>
      <c r="C623" s="30"/>
      <c r="D623" s="21"/>
      <c r="E623" s="27"/>
      <c r="F623" s="31">
        <f t="shared" si="321"/>
        <v>0</v>
      </c>
      <c r="G623" s="27">
        <f t="shared" si="322"/>
        <v>0</v>
      </c>
      <c r="H623" s="32">
        <f t="shared" si="336"/>
        <v>0</v>
      </c>
      <c r="I623" s="33">
        <f t="shared" si="323"/>
        <v>0</v>
      </c>
      <c r="J623" s="26"/>
      <c r="K623" s="27">
        <f t="shared" si="324"/>
        <v>0</v>
      </c>
      <c r="L623" s="27">
        <f t="shared" si="334"/>
        <v>0</v>
      </c>
      <c r="M623" s="572"/>
      <c r="N623" s="564"/>
      <c r="O623" s="1"/>
      <c r="P623" s="3"/>
      <c r="Q623" s="1"/>
      <c r="R623" s="1"/>
      <c r="S623" s="1"/>
      <c r="T623" s="1"/>
      <c r="U623" s="4"/>
    </row>
    <row r="624" spans="1:21" ht="18.75" hidden="1" customHeight="1">
      <c r="A624" s="28"/>
      <c r="B624" s="29"/>
      <c r="C624" s="30"/>
      <c r="D624" s="38"/>
      <c r="E624" s="27"/>
      <c r="F624" s="31">
        <f t="shared" si="321"/>
        <v>0</v>
      </c>
      <c r="G624" s="27">
        <f t="shared" si="322"/>
        <v>0</v>
      </c>
      <c r="H624" s="32">
        <f t="shared" si="336"/>
        <v>0</v>
      </c>
      <c r="I624" s="33">
        <f t="shared" si="323"/>
        <v>0</v>
      </c>
      <c r="J624" s="26"/>
      <c r="K624" s="27">
        <f t="shared" si="324"/>
        <v>0</v>
      </c>
      <c r="L624" s="27">
        <f t="shared" si="334"/>
        <v>0</v>
      </c>
      <c r="M624" s="572"/>
      <c r="N624" s="564"/>
      <c r="O624" s="1"/>
      <c r="P624" s="3"/>
      <c r="Q624" s="1"/>
      <c r="R624" s="1"/>
      <c r="S624" s="1"/>
      <c r="T624" s="1"/>
      <c r="U624" s="4"/>
    </row>
    <row r="625" spans="1:21" ht="18.75" hidden="1" customHeight="1">
      <c r="A625" s="28"/>
      <c r="B625" s="29"/>
      <c r="C625" s="30"/>
      <c r="D625" s="21"/>
      <c r="E625" s="27"/>
      <c r="F625" s="31">
        <f t="shared" si="321"/>
        <v>0</v>
      </c>
      <c r="G625" s="27">
        <f t="shared" si="322"/>
        <v>0</v>
      </c>
      <c r="H625" s="32">
        <f t="shared" si="336"/>
        <v>0</v>
      </c>
      <c r="I625" s="33">
        <f t="shared" si="323"/>
        <v>0</v>
      </c>
      <c r="J625" s="26"/>
      <c r="K625" s="27">
        <f t="shared" si="324"/>
        <v>0</v>
      </c>
      <c r="L625" s="27">
        <f t="shared" si="334"/>
        <v>0</v>
      </c>
      <c r="M625" s="573"/>
      <c r="N625" s="564"/>
      <c r="O625" s="1"/>
      <c r="P625" s="3"/>
      <c r="Q625" s="1"/>
      <c r="R625" s="1"/>
      <c r="S625" s="1"/>
      <c r="T625" s="1"/>
      <c r="U625" s="4"/>
    </row>
    <row r="626" spans="1:21" ht="18.75" customHeight="1">
      <c r="A626" s="39"/>
      <c r="B626" s="29"/>
      <c r="C626" s="30"/>
      <c r="D626" s="21"/>
      <c r="E626" s="27"/>
      <c r="F626" s="31">
        <f t="shared" ref="F626:F631" si="337">IF(D626="no",E626,E626/1.1)</f>
        <v>0</v>
      </c>
      <c r="G626" s="27">
        <f t="shared" ref="G626:G631" si="338">IF(D626="no",0,F626*0.1)</f>
        <v>0</v>
      </c>
      <c r="H626" s="32">
        <f>IF(D626="no",0,F626*$H$609)</f>
        <v>0</v>
      </c>
      <c r="I626" s="33">
        <f t="shared" ref="I626:I631" si="339">IF(D626="no",0,H626*3.3%)</f>
        <v>0</v>
      </c>
      <c r="J626" s="26"/>
      <c r="K626" s="27">
        <f t="shared" si="324"/>
        <v>0</v>
      </c>
      <c r="L626" s="27">
        <f t="shared" si="334"/>
        <v>0</v>
      </c>
      <c r="M626" s="142"/>
      <c r="N626" s="143"/>
      <c r="O626" s="1"/>
      <c r="P626" s="3"/>
      <c r="Q626" s="1"/>
      <c r="R626" s="1"/>
      <c r="S626" s="1"/>
      <c r="T626" s="1"/>
      <c r="U626" s="4"/>
    </row>
    <row r="627" spans="1:21" s="321" customFormat="1" ht="18.75" customHeight="1">
      <c r="A627" s="39" t="s">
        <v>616</v>
      </c>
      <c r="B627" s="29" t="s">
        <v>343</v>
      </c>
      <c r="C627" s="30"/>
      <c r="D627" s="320"/>
      <c r="E627" s="27"/>
      <c r="F627" s="31">
        <f t="shared" si="337"/>
        <v>0</v>
      </c>
      <c r="G627" s="27">
        <f t="shared" si="338"/>
        <v>0</v>
      </c>
      <c r="H627" s="32">
        <f>IF(D627="no",0,F627*$H$609)</f>
        <v>0</v>
      </c>
      <c r="I627" s="33">
        <f t="shared" si="339"/>
        <v>0</v>
      </c>
      <c r="J627" s="26"/>
      <c r="K627" s="27">
        <f t="shared" si="324"/>
        <v>0</v>
      </c>
      <c r="L627" s="40">
        <f>IF(D627="no",F627*H602-J627,0)</f>
        <v>0</v>
      </c>
      <c r="M627" s="590"/>
      <c r="N627" s="564"/>
      <c r="O627" s="1"/>
      <c r="P627" s="3"/>
      <c r="Q627" s="1"/>
      <c r="R627" s="1"/>
      <c r="S627" s="1"/>
      <c r="T627" s="1"/>
      <c r="U627" s="4"/>
    </row>
    <row r="628" spans="1:21" ht="18.75" customHeight="1">
      <c r="A628" s="39" t="s">
        <v>616</v>
      </c>
      <c r="B628" s="29" t="s">
        <v>35</v>
      </c>
      <c r="C628" s="30"/>
      <c r="D628" s="21"/>
      <c r="E628" s="27"/>
      <c r="F628" s="31">
        <f t="shared" si="337"/>
        <v>0</v>
      </c>
      <c r="G628" s="27">
        <f t="shared" si="338"/>
        <v>0</v>
      </c>
      <c r="H628" s="32">
        <f>IF(D628="no",0,F628*$H$609)</f>
        <v>0</v>
      </c>
      <c r="I628" s="33">
        <f t="shared" si="339"/>
        <v>0</v>
      </c>
      <c r="J628" s="26"/>
      <c r="K628" s="27">
        <f>IF(D628="no",0,H628-I628-J628)</f>
        <v>0</v>
      </c>
      <c r="L628" s="27">
        <f>IF(D628="no",F628*H614-J628,0)</f>
        <v>0</v>
      </c>
      <c r="M628" s="574"/>
      <c r="N628" s="564"/>
      <c r="O628" s="1"/>
      <c r="P628" s="3"/>
      <c r="Q628" s="1"/>
      <c r="R628" s="1"/>
      <c r="S628" s="1"/>
      <c r="T628" s="1"/>
      <c r="U628" s="4"/>
    </row>
    <row r="629" spans="1:21" ht="18.75" customHeight="1">
      <c r="A629" s="39" t="s">
        <v>616</v>
      </c>
      <c r="B629" s="29" t="s">
        <v>61</v>
      </c>
      <c r="C629" s="30"/>
      <c r="D629" s="21"/>
      <c r="E629" s="27"/>
      <c r="F629" s="31">
        <f t="shared" si="337"/>
        <v>0</v>
      </c>
      <c r="G629" s="27">
        <f t="shared" si="338"/>
        <v>0</v>
      </c>
      <c r="H629" s="32">
        <f>IF(D629="no",0,F629*$H$609)</f>
        <v>0</v>
      </c>
      <c r="I629" s="33">
        <f t="shared" si="339"/>
        <v>0</v>
      </c>
      <c r="J629" s="26"/>
      <c r="K629" s="27">
        <f t="shared" si="324"/>
        <v>0</v>
      </c>
      <c r="L629" s="27">
        <f>IF(D629="no",F629*H616-J629,0)</f>
        <v>0</v>
      </c>
      <c r="M629" s="94"/>
      <c r="N629" s="95"/>
      <c r="O629" s="1"/>
      <c r="P629" s="3"/>
      <c r="Q629" s="1"/>
      <c r="R629" s="1"/>
      <c r="S629" s="1"/>
      <c r="T629" s="1"/>
      <c r="U629" s="4"/>
    </row>
    <row r="630" spans="1:21" ht="18.75" customHeight="1">
      <c r="A630" s="39" t="s">
        <v>616</v>
      </c>
      <c r="B630" s="29" t="s">
        <v>37</v>
      </c>
      <c r="C630" s="30"/>
      <c r="D630" s="21"/>
      <c r="E630" s="27"/>
      <c r="F630" s="31">
        <f t="shared" si="337"/>
        <v>0</v>
      </c>
      <c r="G630" s="27">
        <f t="shared" si="338"/>
        <v>0</v>
      </c>
      <c r="H630" s="37"/>
      <c r="I630" s="33">
        <f>IF(D630="no",0,H630*3.3%)</f>
        <v>0</v>
      </c>
      <c r="J630" s="26"/>
      <c r="K630" s="27">
        <f>IF(D630="no",0,H630-I630-J630)</f>
        <v>0</v>
      </c>
      <c r="L630" s="27">
        <f>IF(D630="no",F630*H617-J630,0)</f>
        <v>0</v>
      </c>
      <c r="M630" s="572"/>
      <c r="N630" s="564"/>
      <c r="O630" s="1"/>
      <c r="P630" s="3"/>
      <c r="Q630" s="1"/>
      <c r="R630" s="1"/>
      <c r="S630" s="1"/>
      <c r="T630" s="1"/>
      <c r="U630" s="4"/>
    </row>
    <row r="631" spans="1:21" ht="18.75" customHeight="1">
      <c r="A631" s="39" t="s">
        <v>616</v>
      </c>
      <c r="B631" s="29" t="s">
        <v>106</v>
      </c>
      <c r="C631" s="30"/>
      <c r="D631" s="21"/>
      <c r="E631" s="27"/>
      <c r="F631" s="31">
        <f t="shared" si="337"/>
        <v>0</v>
      </c>
      <c r="G631" s="27">
        <f t="shared" si="338"/>
        <v>0</v>
      </c>
      <c r="H631" s="32">
        <f t="shared" si="336"/>
        <v>0</v>
      </c>
      <c r="I631" s="33">
        <f t="shared" si="339"/>
        <v>0</v>
      </c>
      <c r="J631" s="26"/>
      <c r="K631" s="27">
        <f>IF(D631="no",0,H631-I631-J631)</f>
        <v>0</v>
      </c>
      <c r="L631" s="27">
        <f>IF(D631="no",F631*H618-J631,0)</f>
        <v>0</v>
      </c>
      <c r="M631" s="625"/>
      <c r="N631" s="601"/>
      <c r="O631" s="1"/>
      <c r="P631" s="3"/>
      <c r="Q631" s="1"/>
      <c r="R631" s="1"/>
      <c r="S631" s="1"/>
      <c r="T631" s="1"/>
      <c r="U631" s="4"/>
    </row>
    <row r="632" spans="1:21" ht="18.75" customHeight="1">
      <c r="A632" s="575" t="s">
        <v>42</v>
      </c>
      <c r="B632" s="576"/>
      <c r="C632" s="576"/>
      <c r="D632" s="577"/>
      <c r="E632" s="42">
        <f>SUM(E611:E631)</f>
        <v>1650000</v>
      </c>
      <c r="F632" s="17">
        <f t="shared" ref="F632:L632" si="340">SUM(F611:F631)</f>
        <v>1499999.9999999998</v>
      </c>
      <c r="G632" s="42">
        <f t="shared" si="340"/>
        <v>150000</v>
      </c>
      <c r="H632" s="42">
        <f t="shared" si="340"/>
        <v>749999.99999999988</v>
      </c>
      <c r="I632" s="42">
        <f t="shared" si="340"/>
        <v>24750</v>
      </c>
      <c r="J632" s="42">
        <f t="shared" si="340"/>
        <v>0</v>
      </c>
      <c r="K632" s="42">
        <f t="shared" si="340"/>
        <v>725249.99999999988</v>
      </c>
      <c r="L632" s="42">
        <f t="shared" si="340"/>
        <v>0</v>
      </c>
      <c r="M632" s="44"/>
      <c r="N632" s="45"/>
      <c r="O632" s="1"/>
      <c r="P632" s="3"/>
      <c r="Q632" s="1"/>
      <c r="R632" s="1"/>
      <c r="S632" s="1"/>
      <c r="T632" s="1"/>
      <c r="U632" s="4"/>
    </row>
    <row r="633" spans="1:21" ht="18.75" customHeight="1">
      <c r="A633" s="46" t="s">
        <v>37</v>
      </c>
      <c r="B633" s="47" t="s">
        <v>43</v>
      </c>
      <c r="C633" s="48">
        <f>D609</f>
        <v>3</v>
      </c>
      <c r="D633" s="47" t="s">
        <v>44</v>
      </c>
      <c r="E633" s="49"/>
      <c r="F633" s="84"/>
      <c r="G633" s="85"/>
      <c r="H633" s="49"/>
      <c r="I633" s="53" t="s">
        <v>46</v>
      </c>
      <c r="J633" s="54">
        <v>46875</v>
      </c>
      <c r="K633" s="50"/>
      <c r="L633" s="55"/>
      <c r="M633" s="63"/>
      <c r="N633" s="64"/>
      <c r="O633" s="1"/>
      <c r="P633" s="3"/>
      <c r="Q633" s="1"/>
      <c r="R633" s="1"/>
      <c r="S633" s="1"/>
      <c r="T633" s="1"/>
      <c r="U633" s="4"/>
    </row>
    <row r="634" spans="1:21" ht="16.5" customHeight="1" thickBot="1">
      <c r="A634" s="56" t="s">
        <v>48</v>
      </c>
      <c r="B634" s="57" t="s">
        <v>49</v>
      </c>
      <c r="C634" s="58">
        <f>ROUND(F632/10000,0)</f>
        <v>150</v>
      </c>
      <c r="D634" s="57" t="s">
        <v>50</v>
      </c>
      <c r="E634" s="52"/>
      <c r="F634" s="86"/>
      <c r="G634" s="87"/>
      <c r="H634" s="52"/>
      <c r="I634" s="59"/>
      <c r="J634" s="61"/>
      <c r="K634" s="59"/>
      <c r="L634" s="62"/>
      <c r="M634" s="63"/>
      <c r="N634" s="64"/>
      <c r="O634" s="1"/>
      <c r="P634" s="3"/>
      <c r="Q634" s="1"/>
      <c r="R634" s="1"/>
      <c r="S634" s="1"/>
      <c r="T634" s="1"/>
      <c r="U634" s="4"/>
    </row>
    <row r="635" spans="1:21" ht="18.75" customHeight="1" thickBot="1">
      <c r="A635" s="566" t="s">
        <v>52</v>
      </c>
      <c r="B635" s="567"/>
      <c r="C635" s="567"/>
      <c r="D635" s="568"/>
      <c r="E635" s="65"/>
      <c r="F635" s="569" t="s">
        <v>53</v>
      </c>
      <c r="G635" s="568"/>
      <c r="H635" s="66">
        <f>H632-J633</f>
        <v>703124.99999999988</v>
      </c>
      <c r="I635" s="67">
        <f>H635*3.3%</f>
        <v>23203.124999999996</v>
      </c>
      <c r="J635" s="68">
        <f>SUM(J632)</f>
        <v>0</v>
      </c>
      <c r="K635" s="69">
        <f>H635-I635-J635</f>
        <v>679921.87499999988</v>
      </c>
      <c r="L635" s="70">
        <f>L632+SUM(H633:H634)+J634</f>
        <v>0</v>
      </c>
      <c r="M635" s="570">
        <f>K635+L635</f>
        <v>679921.87499999988</v>
      </c>
      <c r="N635" s="571"/>
      <c r="O635" s="1"/>
      <c r="P635" s="3"/>
      <c r="Q635" s="3"/>
      <c r="R635" s="1"/>
      <c r="S635" s="1"/>
      <c r="T635" s="1"/>
      <c r="U635" s="4"/>
    </row>
    <row r="636" spans="1:21" ht="15" hidden="1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3"/>
      <c r="Q636" s="1"/>
      <c r="R636" s="1"/>
      <c r="S636" s="1"/>
      <c r="T636" s="1"/>
      <c r="U636" s="4"/>
    </row>
    <row r="637" spans="1:21" ht="18.75" hidden="1" customHeight="1">
      <c r="A637" s="6"/>
      <c r="B637" s="7" t="str">
        <f>$B$34</f>
        <v>1월</v>
      </c>
      <c r="C637" s="8" t="s">
        <v>1</v>
      </c>
      <c r="D637" s="9">
        <f>COUNTIF($C639:$C642,"계약")+(COUNTIF($C639:$C642,"계약2")*2)</f>
        <v>0</v>
      </c>
      <c r="E637" s="3">
        <f>COUNTIF(C639:C642,"낙찰수수료")</f>
        <v>0</v>
      </c>
      <c r="F637" s="3"/>
      <c r="G637" s="89" t="s">
        <v>81</v>
      </c>
      <c r="H637" s="123">
        <v>0.4</v>
      </c>
      <c r="I637" s="12">
        <v>3.3000000000000002E-2</v>
      </c>
      <c r="J637" s="1"/>
      <c r="K637" s="1"/>
      <c r="L637" s="1"/>
      <c r="M637" s="1"/>
      <c r="N637" s="1"/>
      <c r="O637" s="1"/>
      <c r="P637" s="3"/>
      <c r="Q637" s="1"/>
      <c r="R637" s="1"/>
      <c r="S637" s="1"/>
      <c r="T637" s="1"/>
      <c r="U637" s="4"/>
    </row>
    <row r="638" spans="1:21" ht="18.75" hidden="1" customHeight="1">
      <c r="A638" s="13" t="s">
        <v>3</v>
      </c>
      <c r="B638" s="14" t="s">
        <v>4</v>
      </c>
      <c r="C638" s="14" t="s">
        <v>5</v>
      </c>
      <c r="D638" s="101" t="s">
        <v>6</v>
      </c>
      <c r="E638" s="16" t="s">
        <v>7</v>
      </c>
      <c r="F638" s="17" t="s">
        <v>8</v>
      </c>
      <c r="G638" s="14" t="s">
        <v>9</v>
      </c>
      <c r="H638" s="15" t="s">
        <v>10</v>
      </c>
      <c r="I638" s="14" t="s">
        <v>11</v>
      </c>
      <c r="J638" s="15" t="s">
        <v>12</v>
      </c>
      <c r="K638" s="14" t="s">
        <v>13</v>
      </c>
      <c r="L638" s="14" t="s">
        <v>14</v>
      </c>
      <c r="M638" s="579" t="s">
        <v>15</v>
      </c>
      <c r="N638" s="577"/>
      <c r="O638" s="1"/>
      <c r="P638" s="3"/>
      <c r="Q638" s="1"/>
      <c r="R638" s="1"/>
      <c r="S638" s="1"/>
      <c r="T638" s="1"/>
      <c r="U638" s="4"/>
    </row>
    <row r="639" spans="1:21" ht="18.75" hidden="1" customHeight="1">
      <c r="A639" s="28"/>
      <c r="B639" s="29"/>
      <c r="C639" s="30"/>
      <c r="D639" s="38"/>
      <c r="E639" s="27"/>
      <c r="F639" s="31">
        <f>IF(D639="no",E639,E639/1.1)</f>
        <v>0</v>
      </c>
      <c r="G639" s="27">
        <f>IF(D639="no",0,F639*0.1)</f>
        <v>0</v>
      </c>
      <c r="H639" s="32">
        <f>IF(D639="no",0,F639*H637)</f>
        <v>0</v>
      </c>
      <c r="I639" s="33">
        <f t="shared" ref="I639:I642" si="341">IF(D639="no",0,H639*3.3%)</f>
        <v>0</v>
      </c>
      <c r="J639" s="26"/>
      <c r="K639" s="27">
        <f t="shared" ref="K639:K642" si="342">IF(D639="no",0,H639-I639-J639)</f>
        <v>0</v>
      </c>
      <c r="L639" s="27">
        <f>IF(D639="no",F639*H637-J639,0)</f>
        <v>0</v>
      </c>
      <c r="M639" s="580"/>
      <c r="N639" s="581"/>
      <c r="O639" s="1"/>
      <c r="P639" s="3"/>
      <c r="Q639" s="1"/>
      <c r="R639" s="1"/>
      <c r="S639" s="1"/>
      <c r="T639" s="1"/>
      <c r="U639" s="4"/>
    </row>
    <row r="640" spans="1:21" ht="18.75" hidden="1" customHeight="1">
      <c r="A640" s="39" t="s">
        <v>501</v>
      </c>
      <c r="B640" s="29" t="s">
        <v>61</v>
      </c>
      <c r="C640" s="30"/>
      <c r="D640" s="38"/>
      <c r="E640" s="27"/>
      <c r="F640" s="31"/>
      <c r="G640" s="27"/>
      <c r="H640" s="37">
        <v>0</v>
      </c>
      <c r="I640" s="33">
        <f t="shared" si="341"/>
        <v>0</v>
      </c>
      <c r="J640" s="26"/>
      <c r="K640" s="27">
        <f t="shared" si="342"/>
        <v>0</v>
      </c>
      <c r="L640" s="27">
        <f>IF(D640="no",F640*H636-J640,0)</f>
        <v>0</v>
      </c>
      <c r="M640" s="572"/>
      <c r="N640" s="564"/>
      <c r="O640" s="1"/>
      <c r="P640" s="3"/>
      <c r="Q640" s="1"/>
      <c r="R640" s="1"/>
      <c r="S640" s="1"/>
      <c r="T640" s="1"/>
      <c r="U640" s="4"/>
    </row>
    <row r="641" spans="1:21" ht="18.75" hidden="1" customHeight="1">
      <c r="A641" s="39" t="s">
        <v>501</v>
      </c>
      <c r="B641" s="29" t="s">
        <v>35</v>
      </c>
      <c r="C641" s="30"/>
      <c r="D641" s="21"/>
      <c r="E641" s="27"/>
      <c r="F641" s="31">
        <f>IF(D641="no",E641,E641/1.1)</f>
        <v>0</v>
      </c>
      <c r="G641" s="27">
        <f>IF(D641="no",0,F641*0.1)</f>
        <v>0</v>
      </c>
      <c r="H641" s="32"/>
      <c r="I641" s="33">
        <f t="shared" si="341"/>
        <v>0</v>
      </c>
      <c r="J641" s="26"/>
      <c r="K641" s="27">
        <f t="shared" si="342"/>
        <v>0</v>
      </c>
      <c r="L641" s="1"/>
      <c r="M641" s="574"/>
      <c r="N641" s="564"/>
      <c r="O641" s="1"/>
      <c r="P641" s="3"/>
      <c r="Q641" s="1"/>
      <c r="R641" s="1"/>
      <c r="S641" s="1"/>
      <c r="T641" s="1"/>
      <c r="U641" s="4"/>
    </row>
    <row r="642" spans="1:21" ht="18.75" hidden="1" customHeight="1">
      <c r="A642" s="39" t="s">
        <v>501</v>
      </c>
      <c r="B642" s="29" t="s">
        <v>37</v>
      </c>
      <c r="C642" s="30"/>
      <c r="D642" s="21"/>
      <c r="E642" s="27"/>
      <c r="F642" s="31">
        <f>IF(D642="no",E642,E642/1.1)</f>
        <v>0</v>
      </c>
      <c r="G642" s="27">
        <f>IF(D642="no",0,F642*0.1)</f>
        <v>0</v>
      </c>
      <c r="H642" s="37">
        <v>0</v>
      </c>
      <c r="I642" s="33">
        <f t="shared" si="341"/>
        <v>0</v>
      </c>
      <c r="J642" s="26"/>
      <c r="K642" s="27">
        <f t="shared" si="342"/>
        <v>0</v>
      </c>
      <c r="L642" s="27"/>
      <c r="M642" s="572"/>
      <c r="N642" s="564"/>
      <c r="O642" s="1"/>
      <c r="P642" s="3"/>
      <c r="Q642" s="1"/>
      <c r="R642" s="1"/>
      <c r="S642" s="1"/>
      <c r="T642" s="1"/>
      <c r="U642" s="4"/>
    </row>
    <row r="643" spans="1:21" ht="18.75" hidden="1" customHeight="1">
      <c r="A643" s="575" t="s">
        <v>42</v>
      </c>
      <c r="B643" s="576"/>
      <c r="C643" s="576"/>
      <c r="D643" s="577"/>
      <c r="E643" s="42">
        <f t="shared" ref="E643:L643" si="343">SUM(E639:E642)</f>
        <v>0</v>
      </c>
      <c r="F643" s="17">
        <f t="shared" si="343"/>
        <v>0</v>
      </c>
      <c r="G643" s="42">
        <f t="shared" si="343"/>
        <v>0</v>
      </c>
      <c r="H643" s="43">
        <f t="shared" si="343"/>
        <v>0</v>
      </c>
      <c r="I643" s="42">
        <f t="shared" si="343"/>
        <v>0</v>
      </c>
      <c r="J643" s="43">
        <f t="shared" si="343"/>
        <v>0</v>
      </c>
      <c r="K643" s="42">
        <f t="shared" si="343"/>
        <v>0</v>
      </c>
      <c r="L643" s="42">
        <f t="shared" si="343"/>
        <v>0</v>
      </c>
      <c r="M643" s="44"/>
      <c r="N643" s="45"/>
      <c r="O643" s="1"/>
      <c r="P643" s="3"/>
      <c r="Q643" s="1"/>
      <c r="R643" s="1"/>
      <c r="S643" s="1"/>
      <c r="T643" s="1"/>
      <c r="U643" s="4"/>
    </row>
    <row r="644" spans="1:21" ht="18.75" hidden="1" customHeight="1">
      <c r="A644" s="46" t="s">
        <v>37</v>
      </c>
      <c r="B644" s="47" t="s">
        <v>43</v>
      </c>
      <c r="C644" s="48">
        <f>D637</f>
        <v>0</v>
      </c>
      <c r="D644" s="47" t="s">
        <v>44</v>
      </c>
      <c r="E644" s="49"/>
      <c r="F644" s="84"/>
      <c r="G644" s="85"/>
      <c r="H644" s="49"/>
      <c r="I644" s="53" t="s">
        <v>46</v>
      </c>
      <c r="J644" s="54"/>
      <c r="K644" s="50"/>
      <c r="L644" s="55"/>
      <c r="M644" s="63"/>
      <c r="N644" s="64"/>
      <c r="O644" s="1"/>
      <c r="P644" s="3"/>
      <c r="Q644" s="1"/>
      <c r="R644" s="1"/>
      <c r="S644" s="1"/>
      <c r="T644" s="1"/>
      <c r="U644" s="4"/>
    </row>
    <row r="645" spans="1:21" ht="16.5" hidden="1" customHeight="1" thickBot="1">
      <c r="A645" s="56" t="s">
        <v>48</v>
      </c>
      <c r="B645" s="57" t="s">
        <v>49</v>
      </c>
      <c r="C645" s="58">
        <f>ROUND(F643/10000,0)</f>
        <v>0</v>
      </c>
      <c r="D645" s="57" t="s">
        <v>50</v>
      </c>
      <c r="E645" s="52">
        <f>IF(C645&gt;=8000,5200000,IF(C645&gt;=5000,2700000,IF(C645&gt;=200,200000,0)))</f>
        <v>0</v>
      </c>
      <c r="F645" s="86"/>
      <c r="G645" s="87"/>
      <c r="H645" s="52"/>
      <c r="I645" s="59"/>
      <c r="J645" s="61"/>
      <c r="K645" s="59"/>
      <c r="L645" s="62"/>
      <c r="M645" s="63"/>
      <c r="N645" s="64"/>
      <c r="O645" s="1"/>
      <c r="P645" s="3"/>
      <c r="Q645" s="1"/>
      <c r="R645" s="1"/>
      <c r="S645" s="1"/>
      <c r="T645" s="1"/>
      <c r="U645" s="4"/>
    </row>
    <row r="646" spans="1:21" ht="18.75" hidden="1" customHeight="1" thickBot="1">
      <c r="A646" s="566" t="s">
        <v>52</v>
      </c>
      <c r="B646" s="567"/>
      <c r="C646" s="567"/>
      <c r="D646" s="568"/>
      <c r="E646" s="65"/>
      <c r="F646" s="569" t="s">
        <v>53</v>
      </c>
      <c r="G646" s="568"/>
      <c r="H646" s="66">
        <f>H643-J644</f>
        <v>0</v>
      </c>
      <c r="I646" s="67">
        <f>H646*3.3%</f>
        <v>0</v>
      </c>
      <c r="J646" s="68">
        <f>SUM(J643)</f>
        <v>0</v>
      </c>
      <c r="K646" s="69">
        <f>H646-I646-J646</f>
        <v>0</v>
      </c>
      <c r="L646" s="70">
        <f>L643+SUM(H644:H645)+J645</f>
        <v>0</v>
      </c>
      <c r="M646" s="570">
        <f>K646+L646</f>
        <v>0</v>
      </c>
      <c r="N646" s="571"/>
      <c r="O646" s="1"/>
      <c r="P646" s="3"/>
      <c r="Q646" s="1"/>
      <c r="R646" s="1"/>
      <c r="S646" s="1"/>
      <c r="T646" s="1"/>
      <c r="U646" s="4"/>
    </row>
    <row r="647" spans="1:21" ht="1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3"/>
      <c r="Q647" s="1"/>
      <c r="R647" s="1"/>
      <c r="S647" s="1"/>
      <c r="T647" s="1"/>
      <c r="U647" s="4"/>
    </row>
    <row r="648" spans="1:21" ht="18.75" customHeight="1">
      <c r="A648" s="6" t="s">
        <v>111</v>
      </c>
      <c r="B648" s="7" t="str">
        <f>$B$34</f>
        <v>1월</v>
      </c>
      <c r="C648" s="8" t="s">
        <v>1</v>
      </c>
      <c r="D648" s="9">
        <f>COUNTIF($C650:$C668,"계약")+(COUNTIF($C650:$C668,"계약2")*2)</f>
        <v>4</v>
      </c>
      <c r="E648" s="3">
        <f>COUNTIF(C650:C668,"낙찰수수료")</f>
        <v>2</v>
      </c>
      <c r="F648" s="3"/>
      <c r="G648" s="89" t="s">
        <v>112</v>
      </c>
      <c r="H648" s="11">
        <v>0.5</v>
      </c>
      <c r="I648" s="12">
        <v>3.3000000000000002E-2</v>
      </c>
      <c r="J648" s="1"/>
      <c r="K648" s="1"/>
      <c r="L648" s="1"/>
      <c r="M648" s="1"/>
      <c r="N648" s="1"/>
      <c r="O648" s="1"/>
      <c r="P648" s="3"/>
      <c r="Q648" s="1"/>
      <c r="R648" s="1"/>
      <c r="S648" s="1"/>
      <c r="T648" s="1"/>
      <c r="U648" s="4"/>
    </row>
    <row r="649" spans="1:21" ht="18.75" customHeight="1">
      <c r="A649" s="13" t="s">
        <v>3</v>
      </c>
      <c r="B649" s="14" t="s">
        <v>4</v>
      </c>
      <c r="C649" s="14" t="s">
        <v>5</v>
      </c>
      <c r="D649" s="101" t="s">
        <v>6</v>
      </c>
      <c r="E649" s="16" t="s">
        <v>7</v>
      </c>
      <c r="F649" s="17" t="s">
        <v>8</v>
      </c>
      <c r="G649" s="14" t="s">
        <v>9</v>
      </c>
      <c r="H649" s="15" t="s">
        <v>10</v>
      </c>
      <c r="I649" s="14" t="s">
        <v>11</v>
      </c>
      <c r="J649" s="15" t="s">
        <v>12</v>
      </c>
      <c r="K649" s="14" t="s">
        <v>13</v>
      </c>
      <c r="L649" s="14" t="s">
        <v>14</v>
      </c>
      <c r="M649" s="579" t="s">
        <v>15</v>
      </c>
      <c r="N649" s="577"/>
      <c r="O649" s="1"/>
      <c r="P649" s="3"/>
      <c r="Q649" s="1"/>
      <c r="R649" s="1"/>
      <c r="S649" s="1"/>
      <c r="T649" s="1"/>
      <c r="U649" s="4"/>
    </row>
    <row r="650" spans="1:21" ht="18.75" customHeight="1">
      <c r="A650" s="28">
        <v>46031</v>
      </c>
      <c r="B650" s="29" t="s">
        <v>825</v>
      </c>
      <c r="C650" s="30" t="s">
        <v>56</v>
      </c>
      <c r="D650" s="38"/>
      <c r="E650" s="27">
        <v>2524500</v>
      </c>
      <c r="F650" s="31">
        <f t="shared" ref="F650:F663" si="344">IF(D650="no",E650,E650/1.1)</f>
        <v>2295000</v>
      </c>
      <c r="G650" s="27">
        <f t="shared" ref="G650:G663" si="345">IF(D650="no",0,F650*0.1)</f>
        <v>229500</v>
      </c>
      <c r="H650" s="32">
        <f>IF(D650="no",0,F650*H648)</f>
        <v>1147500</v>
      </c>
      <c r="I650" s="33">
        <f t="shared" ref="I650:I669" si="346">IF(D650="no",0,H650*3.3%)</f>
        <v>37867.5</v>
      </c>
      <c r="J650" s="26"/>
      <c r="K650" s="27">
        <f t="shared" ref="K650:K669" si="347">IF(D650="no",0,H650-I650-J650)</f>
        <v>1109632.5</v>
      </c>
      <c r="L650" s="27">
        <f>IF(D650="no",F650*H648-J650,0)</f>
        <v>0</v>
      </c>
      <c r="M650" s="580"/>
      <c r="N650" s="581"/>
      <c r="O650" s="1"/>
      <c r="P650" s="3"/>
      <c r="Q650" s="1"/>
      <c r="R650" s="1"/>
      <c r="S650" s="1"/>
      <c r="T650" s="1"/>
      <c r="U650" s="4"/>
    </row>
    <row r="651" spans="1:21" ht="18.75" customHeight="1">
      <c r="A651" s="28">
        <v>46035</v>
      </c>
      <c r="B651" s="29" t="s">
        <v>824</v>
      </c>
      <c r="C651" s="30" t="s">
        <v>357</v>
      </c>
      <c r="D651" s="38"/>
      <c r="E651" s="27">
        <v>1100000</v>
      </c>
      <c r="F651" s="31">
        <f t="shared" si="344"/>
        <v>999999.99999999988</v>
      </c>
      <c r="G651" s="27">
        <f t="shared" si="345"/>
        <v>100000</v>
      </c>
      <c r="H651" s="32">
        <f>IF(D651="no",0,F651*H648)</f>
        <v>499999.99999999994</v>
      </c>
      <c r="I651" s="33">
        <f t="shared" si="346"/>
        <v>16500</v>
      </c>
      <c r="J651" s="26"/>
      <c r="K651" s="27">
        <f t="shared" si="347"/>
        <v>483499.99999999994</v>
      </c>
      <c r="L651" s="27">
        <f>IF(D651="no",F651*H644-J651,0)</f>
        <v>0</v>
      </c>
      <c r="M651" s="572"/>
      <c r="N651" s="564"/>
      <c r="O651" s="1"/>
      <c r="P651" s="3"/>
      <c r="Q651" s="1"/>
      <c r="R651" s="1"/>
      <c r="S651" s="1"/>
      <c r="T651" s="1"/>
      <c r="U651" s="4"/>
    </row>
    <row r="652" spans="1:21" ht="18.75" customHeight="1">
      <c r="A652" s="39">
        <v>46044</v>
      </c>
      <c r="B652" s="29" t="s">
        <v>806</v>
      </c>
      <c r="C652" s="30" t="s">
        <v>357</v>
      </c>
      <c r="D652" s="95"/>
      <c r="E652" s="102">
        <v>550000</v>
      </c>
      <c r="F652" s="31">
        <f t="shared" si="344"/>
        <v>499999.99999999994</v>
      </c>
      <c r="G652" s="27">
        <f t="shared" si="345"/>
        <v>50000</v>
      </c>
      <c r="H652" s="32">
        <f>IF(D652="no",0,F652*H648)</f>
        <v>249999.99999999997</v>
      </c>
      <c r="I652" s="33">
        <f t="shared" si="346"/>
        <v>8250</v>
      </c>
      <c r="J652" s="26"/>
      <c r="K652" s="27">
        <f t="shared" si="347"/>
        <v>241749.99999999997</v>
      </c>
      <c r="L652" s="27">
        <f>IF(D652="no",F652*H644-J652,0)</f>
        <v>0</v>
      </c>
      <c r="M652" s="572"/>
      <c r="N652" s="564"/>
      <c r="O652" s="1"/>
      <c r="P652" s="3"/>
      <c r="Q652" s="1"/>
      <c r="R652" s="1"/>
      <c r="S652" s="1"/>
      <c r="T652" s="1"/>
      <c r="U652" s="4"/>
    </row>
    <row r="653" spans="1:21" ht="18.75" customHeight="1">
      <c r="A653" s="39">
        <v>46051</v>
      </c>
      <c r="B653" s="29" t="s">
        <v>816</v>
      </c>
      <c r="C653" s="30" t="s">
        <v>56</v>
      </c>
      <c r="D653" s="38"/>
      <c r="E653" s="102">
        <v>3322000</v>
      </c>
      <c r="F653" s="31">
        <f t="shared" si="344"/>
        <v>3019999.9999999995</v>
      </c>
      <c r="G653" s="27">
        <f t="shared" si="345"/>
        <v>301999.99999999994</v>
      </c>
      <c r="H653" s="32">
        <f>IF(D653="no",0,F653*H648)</f>
        <v>1509999.9999999998</v>
      </c>
      <c r="I653" s="33">
        <f t="shared" si="346"/>
        <v>49829.999999999993</v>
      </c>
      <c r="J653" s="26"/>
      <c r="K653" s="27">
        <f t="shared" si="347"/>
        <v>1460169.9999999998</v>
      </c>
      <c r="L653" s="27">
        <f>IF(D653="no",F653*H644-J653,0)</f>
        <v>0</v>
      </c>
      <c r="M653" s="572"/>
      <c r="N653" s="564"/>
      <c r="O653" s="1"/>
      <c r="P653" s="3"/>
      <c r="Q653" s="1"/>
      <c r="R653" s="1"/>
      <c r="S653" s="1"/>
      <c r="T653" s="1"/>
      <c r="U653" s="4"/>
    </row>
    <row r="654" spans="1:21" ht="18.75" customHeight="1">
      <c r="A654" s="28">
        <v>46052</v>
      </c>
      <c r="B654" s="29" t="s">
        <v>836</v>
      </c>
      <c r="C654" s="30" t="s">
        <v>23</v>
      </c>
      <c r="D654" s="38"/>
      <c r="E654" s="27">
        <v>2200000</v>
      </c>
      <c r="F654" s="31">
        <f t="shared" si="344"/>
        <v>1999999.9999999998</v>
      </c>
      <c r="G654" s="27">
        <f t="shared" si="345"/>
        <v>200000</v>
      </c>
      <c r="H654" s="32">
        <f>IF(D654="no",0,F654*H648)</f>
        <v>999999.99999999988</v>
      </c>
      <c r="I654" s="33">
        <f t="shared" si="346"/>
        <v>33000</v>
      </c>
      <c r="J654" s="26"/>
      <c r="K654" s="27">
        <f t="shared" si="347"/>
        <v>966999.99999999988</v>
      </c>
      <c r="L654" s="27">
        <f t="shared" ref="L654:L663" si="348">IF(D654="no",F654*H645-J654,0)</f>
        <v>0</v>
      </c>
      <c r="M654" s="563"/>
      <c r="N654" s="564"/>
      <c r="O654" s="1"/>
      <c r="P654" s="3"/>
      <c r="Q654" s="1"/>
      <c r="R654" s="1"/>
      <c r="S654" s="1"/>
      <c r="T654" s="1"/>
      <c r="U654" s="4"/>
    </row>
    <row r="655" spans="1:21" ht="18.75" customHeight="1">
      <c r="A655" s="28"/>
      <c r="B655" s="29"/>
      <c r="C655" s="30"/>
      <c r="D655" s="38"/>
      <c r="E655" s="27"/>
      <c r="F655" s="31">
        <f t="shared" si="344"/>
        <v>0</v>
      </c>
      <c r="G655" s="27">
        <f t="shared" si="345"/>
        <v>0</v>
      </c>
      <c r="H655" s="32">
        <f>IF(D655="no",0,F655*H648)</f>
        <v>0</v>
      </c>
      <c r="I655" s="33">
        <f t="shared" si="346"/>
        <v>0</v>
      </c>
      <c r="J655" s="26"/>
      <c r="K655" s="27">
        <f t="shared" si="347"/>
        <v>0</v>
      </c>
      <c r="L655" s="27">
        <f t="shared" si="348"/>
        <v>0</v>
      </c>
      <c r="M655" s="572"/>
      <c r="N655" s="564"/>
      <c r="O655" s="1"/>
      <c r="P655" s="3"/>
      <c r="Q655" s="1"/>
      <c r="R655" s="1"/>
      <c r="S655" s="1"/>
      <c r="T655" s="1"/>
      <c r="U655" s="4"/>
    </row>
    <row r="656" spans="1:21" ht="18.75" hidden="1" customHeight="1">
      <c r="A656" s="39"/>
      <c r="B656" s="29"/>
      <c r="C656" s="30"/>
      <c r="D656" s="95"/>
      <c r="E656" s="102"/>
      <c r="F656" s="31">
        <f t="shared" si="344"/>
        <v>0</v>
      </c>
      <c r="G656" s="27">
        <f t="shared" si="345"/>
        <v>0</v>
      </c>
      <c r="H656" s="32">
        <f>IF(D656="no",0,F656*H648)</f>
        <v>0</v>
      </c>
      <c r="I656" s="33">
        <f t="shared" si="346"/>
        <v>0</v>
      </c>
      <c r="J656" s="26"/>
      <c r="K656" s="27">
        <f t="shared" si="347"/>
        <v>0</v>
      </c>
      <c r="L656" s="27">
        <f t="shared" si="348"/>
        <v>0</v>
      </c>
      <c r="M656" s="572"/>
      <c r="N656" s="564"/>
      <c r="O656" s="1"/>
      <c r="P656" s="3"/>
      <c r="Q656" s="1"/>
      <c r="R656" s="1"/>
      <c r="S656" s="1"/>
      <c r="T656" s="1"/>
      <c r="U656" s="4"/>
    </row>
    <row r="657" spans="1:21" ht="18.75" hidden="1" customHeight="1">
      <c r="A657" s="39"/>
      <c r="B657" s="29"/>
      <c r="C657" s="30"/>
      <c r="D657" s="38"/>
      <c r="E657" s="102"/>
      <c r="F657" s="31">
        <f t="shared" si="344"/>
        <v>0</v>
      </c>
      <c r="G657" s="27">
        <f t="shared" si="345"/>
        <v>0</v>
      </c>
      <c r="H657" s="32">
        <f>IF(D657="no",0,F657*H648)</f>
        <v>0</v>
      </c>
      <c r="I657" s="33">
        <f t="shared" si="346"/>
        <v>0</v>
      </c>
      <c r="J657" s="26"/>
      <c r="K657" s="27">
        <f t="shared" si="347"/>
        <v>0</v>
      </c>
      <c r="L657" s="27">
        <f t="shared" si="348"/>
        <v>0</v>
      </c>
      <c r="M657" s="572"/>
      <c r="N657" s="564"/>
      <c r="O657" s="1"/>
      <c r="P657" s="3"/>
      <c r="Q657" s="1"/>
      <c r="R657" s="1"/>
      <c r="S657" s="1"/>
      <c r="T657" s="1"/>
      <c r="U657" s="4"/>
    </row>
    <row r="658" spans="1:21" ht="18.75" hidden="1" customHeight="1">
      <c r="A658" s="28"/>
      <c r="B658" s="29"/>
      <c r="C658" s="30"/>
      <c r="D658" s="38"/>
      <c r="E658" s="27"/>
      <c r="F658" s="31">
        <f t="shared" si="344"/>
        <v>0</v>
      </c>
      <c r="G658" s="27">
        <f t="shared" si="345"/>
        <v>0</v>
      </c>
      <c r="H658" s="32">
        <f>IF(D658="no",0,F658*H648)</f>
        <v>0</v>
      </c>
      <c r="I658" s="33">
        <f t="shared" si="346"/>
        <v>0</v>
      </c>
      <c r="J658" s="26"/>
      <c r="K658" s="27">
        <f t="shared" si="347"/>
        <v>0</v>
      </c>
      <c r="L658" s="27">
        <f t="shared" si="348"/>
        <v>0</v>
      </c>
      <c r="M658" s="563"/>
      <c r="N658" s="564"/>
      <c r="O658" s="1"/>
      <c r="P658" s="3"/>
      <c r="Q658" s="1"/>
      <c r="R658" s="1"/>
      <c r="S658" s="1"/>
      <c r="T658" s="1"/>
      <c r="U658" s="4"/>
    </row>
    <row r="659" spans="1:21" ht="18.75" hidden="1" customHeight="1">
      <c r="A659" s="39"/>
      <c r="B659" s="29"/>
      <c r="C659" s="30"/>
      <c r="D659" s="38"/>
      <c r="E659" s="102"/>
      <c r="F659" s="31">
        <f t="shared" si="344"/>
        <v>0</v>
      </c>
      <c r="G659" s="27">
        <f t="shared" si="345"/>
        <v>0</v>
      </c>
      <c r="H659" s="32">
        <f>IF(D659="no",0,F659*H648)</f>
        <v>0</v>
      </c>
      <c r="I659" s="33">
        <f t="shared" si="346"/>
        <v>0</v>
      </c>
      <c r="J659" s="26"/>
      <c r="K659" s="27">
        <f t="shared" si="347"/>
        <v>0</v>
      </c>
      <c r="L659" s="27">
        <f t="shared" si="348"/>
        <v>0</v>
      </c>
      <c r="M659" s="572"/>
      <c r="N659" s="564"/>
      <c r="O659" s="1"/>
      <c r="P659" s="3"/>
      <c r="Q659" s="1"/>
      <c r="R659" s="1"/>
      <c r="S659" s="1"/>
      <c r="T659" s="1"/>
      <c r="U659" s="4"/>
    </row>
    <row r="660" spans="1:21" ht="18.75" hidden="1" customHeight="1">
      <c r="A660" s="28"/>
      <c r="B660" s="29"/>
      <c r="C660" s="30"/>
      <c r="D660" s="38"/>
      <c r="E660" s="27"/>
      <c r="F660" s="31">
        <f t="shared" si="344"/>
        <v>0</v>
      </c>
      <c r="G660" s="27">
        <f t="shared" si="345"/>
        <v>0</v>
      </c>
      <c r="H660" s="32">
        <f>IF(D660="no",0,F660*H648)</f>
        <v>0</v>
      </c>
      <c r="I660" s="33">
        <f t="shared" si="346"/>
        <v>0</v>
      </c>
      <c r="J660" s="26"/>
      <c r="K660" s="27">
        <f t="shared" si="347"/>
        <v>0</v>
      </c>
      <c r="L660" s="27">
        <f t="shared" si="348"/>
        <v>0</v>
      </c>
      <c r="M660" s="563"/>
      <c r="N660" s="564"/>
      <c r="O660" s="1"/>
      <c r="P660" s="3"/>
      <c r="Q660" s="1"/>
      <c r="R660" s="1"/>
      <c r="S660" s="1"/>
      <c r="T660" s="1"/>
      <c r="U660" s="4"/>
    </row>
    <row r="661" spans="1:21" ht="18.75" hidden="1" customHeight="1">
      <c r="A661" s="28"/>
      <c r="B661" s="29"/>
      <c r="C661" s="30"/>
      <c r="D661" s="21"/>
      <c r="E661" s="27"/>
      <c r="F661" s="31">
        <f t="shared" si="344"/>
        <v>0</v>
      </c>
      <c r="G661" s="27">
        <f t="shared" si="345"/>
        <v>0</v>
      </c>
      <c r="H661" s="32">
        <f>IF(D661="no",0,F661*H648)</f>
        <v>0</v>
      </c>
      <c r="I661" s="33">
        <f t="shared" si="346"/>
        <v>0</v>
      </c>
      <c r="J661" s="26"/>
      <c r="K661" s="27">
        <f t="shared" si="347"/>
        <v>0</v>
      </c>
      <c r="L661" s="27">
        <f t="shared" si="348"/>
        <v>0</v>
      </c>
      <c r="M661" s="572"/>
      <c r="N661" s="564"/>
      <c r="O661" s="1"/>
      <c r="P661" s="3"/>
      <c r="Q661" s="1"/>
      <c r="R661" s="1"/>
      <c r="S661" s="1"/>
      <c r="T661" s="1"/>
      <c r="U661" s="4"/>
    </row>
    <row r="662" spans="1:21" ht="18.75" hidden="1" customHeight="1">
      <c r="A662" s="28"/>
      <c r="B662" s="29"/>
      <c r="C662" s="30"/>
      <c r="D662" s="38"/>
      <c r="E662" s="27"/>
      <c r="F662" s="31">
        <f t="shared" si="344"/>
        <v>0</v>
      </c>
      <c r="G662" s="27">
        <f t="shared" si="345"/>
        <v>0</v>
      </c>
      <c r="H662" s="32">
        <f>IF(D662="no",0,F662*H648)</f>
        <v>0</v>
      </c>
      <c r="I662" s="33">
        <f t="shared" si="346"/>
        <v>0</v>
      </c>
      <c r="J662" s="26"/>
      <c r="K662" s="27">
        <f t="shared" si="347"/>
        <v>0</v>
      </c>
      <c r="L662" s="27">
        <f t="shared" si="348"/>
        <v>0</v>
      </c>
      <c r="M662" s="572"/>
      <c r="N662" s="564"/>
      <c r="O662" s="1"/>
      <c r="P662" s="3"/>
      <c r="Q662" s="1"/>
      <c r="R662" s="1"/>
      <c r="S662" s="1"/>
      <c r="T662" s="1"/>
      <c r="U662" s="4"/>
    </row>
    <row r="663" spans="1:21" ht="18.75" hidden="1" customHeight="1">
      <c r="A663" s="28"/>
      <c r="B663" s="29"/>
      <c r="C663" s="30"/>
      <c r="D663" s="21"/>
      <c r="E663" s="27"/>
      <c r="F663" s="31">
        <f t="shared" si="344"/>
        <v>0</v>
      </c>
      <c r="G663" s="27">
        <f t="shared" si="345"/>
        <v>0</v>
      </c>
      <c r="H663" s="32"/>
      <c r="I663" s="33">
        <f t="shared" si="346"/>
        <v>0</v>
      </c>
      <c r="J663" s="26"/>
      <c r="K663" s="27">
        <f t="shared" si="347"/>
        <v>0</v>
      </c>
      <c r="L663" s="27">
        <f t="shared" si="348"/>
        <v>0</v>
      </c>
      <c r="M663" s="573"/>
      <c r="N663" s="564"/>
      <c r="O663" s="1"/>
      <c r="P663" s="3"/>
      <c r="Q663" s="1"/>
      <c r="R663" s="1"/>
      <c r="S663" s="1"/>
      <c r="T663" s="1"/>
      <c r="U663" s="4"/>
    </row>
    <row r="664" spans="1:21" ht="18.75" hidden="1" customHeight="1">
      <c r="A664" s="39"/>
      <c r="B664" s="29"/>
      <c r="C664" s="30"/>
      <c r="D664" s="21"/>
      <c r="E664" s="27"/>
      <c r="F664" s="31">
        <f t="shared" ref="F664:F665" si="349">IF(D664="no",E664,E664/1.1)</f>
        <v>0</v>
      </c>
      <c r="G664" s="27">
        <f t="shared" ref="G664:G665" si="350">IF(D664="no",0,F664*0.1)</f>
        <v>0</v>
      </c>
      <c r="H664" s="32">
        <f>IF(D664="no",0,F664*H648)</f>
        <v>0</v>
      </c>
      <c r="I664" s="33">
        <f t="shared" ref="I664:I665" si="351">IF(D664="no",0,H664*3.3%)</f>
        <v>0</v>
      </c>
      <c r="J664" s="26"/>
      <c r="K664" s="27">
        <f t="shared" si="347"/>
        <v>0</v>
      </c>
      <c r="L664" s="27">
        <f>IF(D664="no",F664*H664-J664,0)</f>
        <v>0</v>
      </c>
      <c r="M664" s="572"/>
      <c r="N664" s="564"/>
      <c r="O664" s="1"/>
      <c r="P664" s="3"/>
      <c r="Q664" s="1"/>
      <c r="R664" s="1"/>
      <c r="S664" s="1"/>
      <c r="T664" s="1"/>
      <c r="U664" s="4"/>
    </row>
    <row r="665" spans="1:21" s="321" customFormat="1" ht="18.75" customHeight="1">
      <c r="A665" s="39" t="s">
        <v>616</v>
      </c>
      <c r="B665" s="29" t="s">
        <v>343</v>
      </c>
      <c r="C665" s="30"/>
      <c r="D665" s="320"/>
      <c r="E665" s="27"/>
      <c r="F665" s="31">
        <f t="shared" si="349"/>
        <v>0</v>
      </c>
      <c r="G665" s="27">
        <f t="shared" si="350"/>
        <v>0</v>
      </c>
      <c r="H665" s="37">
        <f>IF(D665="no",0,F665*H648)</f>
        <v>0</v>
      </c>
      <c r="I665" s="33">
        <f t="shared" si="351"/>
        <v>0</v>
      </c>
      <c r="J665" s="26"/>
      <c r="K665" s="27">
        <f t="shared" si="347"/>
        <v>0</v>
      </c>
      <c r="L665" s="40">
        <f>IF(D665="no",F665*H641-J665,0)</f>
        <v>0</v>
      </c>
      <c r="M665" s="590"/>
      <c r="N665" s="564"/>
      <c r="O665" s="1"/>
      <c r="P665" s="3"/>
      <c r="Q665" s="1"/>
      <c r="R665" s="1"/>
      <c r="S665" s="1"/>
      <c r="T665" s="1"/>
      <c r="U665" s="4"/>
    </row>
    <row r="666" spans="1:21" ht="18.75" customHeight="1">
      <c r="A666" s="39" t="s">
        <v>616</v>
      </c>
      <c r="B666" s="29" t="s">
        <v>35</v>
      </c>
      <c r="C666" s="30"/>
      <c r="D666" s="21"/>
      <c r="E666" s="27"/>
      <c r="F666" s="31">
        <f t="shared" ref="F666" si="352">IF(D666="no",E666,E666/1.1)</f>
        <v>0</v>
      </c>
      <c r="G666" s="27">
        <f t="shared" ref="G666" si="353">IF(D666="no",0,F666*0.1)</f>
        <v>0</v>
      </c>
      <c r="H666" s="32">
        <f>IF(D666="no",0,F666*H648)</f>
        <v>0</v>
      </c>
      <c r="I666" s="33">
        <f t="shared" ref="I666" si="354">IF(D666="no",0,H666*3.3%)</f>
        <v>0</v>
      </c>
      <c r="J666" s="26"/>
      <c r="K666" s="27">
        <f>IF(D666="no",0,H666-I666-J666)</f>
        <v>0</v>
      </c>
      <c r="L666" s="27">
        <f>IF(D666="no",F666*H656-J666,0)</f>
        <v>0</v>
      </c>
      <c r="M666" s="574"/>
      <c r="N666" s="564"/>
      <c r="O666" s="1"/>
      <c r="P666" s="3"/>
      <c r="Q666" s="1"/>
      <c r="R666" s="1"/>
      <c r="S666" s="1"/>
      <c r="T666" s="1"/>
      <c r="U666" s="4"/>
    </row>
    <row r="667" spans="1:21" ht="18.75" customHeight="1">
      <c r="A667" s="39" t="s">
        <v>616</v>
      </c>
      <c r="B667" s="29" t="s">
        <v>61</v>
      </c>
      <c r="C667" s="30"/>
      <c r="D667" s="38"/>
      <c r="E667" s="27"/>
      <c r="F667" s="31">
        <f t="shared" ref="F667:F668" si="355">IF(D667="no",E667,E667/1.1)</f>
        <v>0</v>
      </c>
      <c r="G667" s="27">
        <f t="shared" ref="G667:G668" si="356">IF(D667="no",0,F667*0.1)</f>
        <v>0</v>
      </c>
      <c r="H667" s="32">
        <f>IF(D667="no",0,F667*H657)</f>
        <v>0</v>
      </c>
      <c r="I667" s="33">
        <f t="shared" ref="I667" si="357">IF(D667="no",0,H667*3.3%)</f>
        <v>0</v>
      </c>
      <c r="J667" s="26"/>
      <c r="K667" s="27">
        <f t="shared" si="347"/>
        <v>0</v>
      </c>
      <c r="L667" s="27">
        <f>IF(D667="no",F667*H657-J667,0)</f>
        <v>0</v>
      </c>
      <c r="M667" s="572"/>
      <c r="N667" s="564"/>
      <c r="O667" s="1"/>
      <c r="P667" s="3"/>
      <c r="Q667" s="1"/>
      <c r="R667" s="1"/>
      <c r="S667" s="1"/>
      <c r="T667" s="1"/>
      <c r="U667" s="4"/>
    </row>
    <row r="668" spans="1:21" ht="18.75" customHeight="1">
      <c r="A668" s="39" t="s">
        <v>616</v>
      </c>
      <c r="B668" s="29" t="s">
        <v>37</v>
      </c>
      <c r="C668" s="30"/>
      <c r="D668" s="21"/>
      <c r="E668" s="27"/>
      <c r="F668" s="31">
        <f t="shared" si="355"/>
        <v>0</v>
      </c>
      <c r="G668" s="27">
        <f t="shared" si="356"/>
        <v>0</v>
      </c>
      <c r="H668" s="37"/>
      <c r="I668" s="33">
        <f>IF(D668="no",0,H668*3.3%)</f>
        <v>0</v>
      </c>
      <c r="J668" s="26"/>
      <c r="K668" s="27">
        <f>IF(D668="no",0,H668-I668-J668)</f>
        <v>0</v>
      </c>
      <c r="L668" s="27">
        <f>IF(D668="no",F668*H658-J668,0)</f>
        <v>0</v>
      </c>
      <c r="M668" s="572"/>
      <c r="N668" s="564"/>
      <c r="O668" s="1"/>
      <c r="P668" s="3"/>
      <c r="Q668" s="1"/>
      <c r="R668" s="1"/>
      <c r="S668" s="1"/>
      <c r="T668" s="1"/>
      <c r="U668" s="4"/>
    </row>
    <row r="669" spans="1:21" s="268" customFormat="1" ht="18.75" customHeight="1">
      <c r="A669" s="39" t="s">
        <v>616</v>
      </c>
      <c r="B669" s="29" t="s">
        <v>106</v>
      </c>
      <c r="C669" s="30"/>
      <c r="D669" s="267"/>
      <c r="E669" s="27"/>
      <c r="F669" s="31">
        <f t="shared" ref="F669" si="358">IF(D669="no",E669,E669/1.1)</f>
        <v>0</v>
      </c>
      <c r="G669" s="27">
        <f t="shared" ref="G669" si="359">IF(D669="no",0,F669*0.1)</f>
        <v>0</v>
      </c>
      <c r="H669" s="32"/>
      <c r="I669" s="33">
        <f t="shared" si="346"/>
        <v>0</v>
      </c>
      <c r="J669" s="26"/>
      <c r="K669" s="27">
        <f t="shared" si="347"/>
        <v>0</v>
      </c>
      <c r="L669" s="27">
        <f>IF(D669="no",F669*H659-J669,0)</f>
        <v>0</v>
      </c>
      <c r="M669" s="625"/>
      <c r="N669" s="601"/>
      <c r="O669" s="1"/>
      <c r="P669" s="3"/>
      <c r="Q669" s="1"/>
      <c r="R669" s="1"/>
      <c r="S669" s="1"/>
      <c r="T669" s="1"/>
      <c r="U669" s="4"/>
    </row>
    <row r="670" spans="1:21" ht="18.75" customHeight="1">
      <c r="A670" s="575" t="s">
        <v>42</v>
      </c>
      <c r="B670" s="576"/>
      <c r="C670" s="576"/>
      <c r="D670" s="577"/>
      <c r="E670" s="42">
        <f>SUM(E650:E669)</f>
        <v>9696500</v>
      </c>
      <c r="F670" s="17">
        <f>SUM(F650:F669)</f>
        <v>8815000</v>
      </c>
      <c r="G670" s="42">
        <f t="shared" ref="G670:L670" si="360">SUM(G650:G668)</f>
        <v>881500</v>
      </c>
      <c r="H670" s="42">
        <f t="shared" si="360"/>
        <v>4407500</v>
      </c>
      <c r="I670" s="42">
        <f t="shared" si="360"/>
        <v>145447.5</v>
      </c>
      <c r="J670" s="42">
        <f t="shared" si="360"/>
        <v>0</v>
      </c>
      <c r="K670" s="42">
        <f t="shared" si="360"/>
        <v>4262052.5</v>
      </c>
      <c r="L670" s="42">
        <f t="shared" si="360"/>
        <v>0</v>
      </c>
      <c r="M670" s="44"/>
      <c r="N670" s="45"/>
      <c r="O670" s="1"/>
      <c r="P670" s="3"/>
      <c r="Q670" s="1"/>
      <c r="R670" s="1"/>
      <c r="S670" s="1"/>
      <c r="T670" s="1"/>
      <c r="U670" s="4"/>
    </row>
    <row r="671" spans="1:21" ht="18.75" customHeight="1">
      <c r="A671" s="46" t="s">
        <v>37</v>
      </c>
      <c r="B671" s="47" t="s">
        <v>43</v>
      </c>
      <c r="C671" s="48">
        <f>D648</f>
        <v>4</v>
      </c>
      <c r="D671" s="47" t="s">
        <v>44</v>
      </c>
      <c r="E671" s="49"/>
      <c r="F671" s="84"/>
      <c r="G671" s="85"/>
      <c r="H671" s="49"/>
      <c r="I671" s="53" t="s">
        <v>46</v>
      </c>
      <c r="J671" s="54">
        <v>160566</v>
      </c>
      <c r="K671" s="50"/>
      <c r="L671" s="55"/>
      <c r="M671" s="63"/>
      <c r="N671" s="64"/>
      <c r="O671" s="1"/>
      <c r="P671" s="24"/>
      <c r="Q671" s="1"/>
      <c r="R671" s="1"/>
      <c r="S671" s="1"/>
      <c r="T671" s="1"/>
      <c r="U671" s="4"/>
    </row>
    <row r="672" spans="1:21" ht="16.5" customHeight="1" thickBot="1">
      <c r="A672" s="56" t="s">
        <v>48</v>
      </c>
      <c r="B672" s="57" t="s">
        <v>49</v>
      </c>
      <c r="C672" s="58">
        <f>ROUND(F670/10000,0)</f>
        <v>882</v>
      </c>
      <c r="D672" s="57" t="s">
        <v>50</v>
      </c>
      <c r="E672" s="52">
        <f>IF(C672&gt;=8000,5200000,IF(C672&gt;=5000,2700000,IF(C672&gt;=200,200000,0)))</f>
        <v>200000</v>
      </c>
      <c r="F672" s="86"/>
      <c r="G672" s="87"/>
      <c r="H672" s="52"/>
      <c r="I672" s="59"/>
      <c r="J672" s="61"/>
      <c r="K672" s="59"/>
      <c r="L672" s="62"/>
      <c r="M672" s="63"/>
      <c r="N672" s="64"/>
      <c r="O672" s="1"/>
      <c r="P672" s="3"/>
      <c r="Q672" s="1"/>
      <c r="R672" s="1"/>
      <c r="S672" s="1"/>
      <c r="T672" s="1"/>
      <c r="U672" s="4"/>
    </row>
    <row r="673" spans="1:21" ht="18.75" customHeight="1" thickBot="1">
      <c r="A673" s="566" t="s">
        <v>52</v>
      </c>
      <c r="B673" s="567"/>
      <c r="C673" s="567"/>
      <c r="D673" s="568"/>
      <c r="E673" s="65"/>
      <c r="F673" s="569" t="s">
        <v>53</v>
      </c>
      <c r="G673" s="568"/>
      <c r="H673" s="66">
        <f>H670-J671</f>
        <v>4246934</v>
      </c>
      <c r="I673" s="67">
        <f>H673*3.3%</f>
        <v>140148.82200000001</v>
      </c>
      <c r="J673" s="68">
        <f>SUM(J670)</f>
        <v>0</v>
      </c>
      <c r="K673" s="69">
        <f>H673-I673-J673</f>
        <v>4106785.1779999998</v>
      </c>
      <c r="L673" s="70">
        <f>L670+SUM(H671:H672)+J672</f>
        <v>0</v>
      </c>
      <c r="M673" s="570">
        <f>K673+L673</f>
        <v>4106785.1779999998</v>
      </c>
      <c r="N673" s="571"/>
      <c r="O673" s="1"/>
      <c r="P673" s="3"/>
      <c r="Q673" s="1"/>
      <c r="R673" s="1"/>
      <c r="S673" s="1"/>
      <c r="T673" s="1"/>
      <c r="U673" s="4"/>
    </row>
    <row r="674" spans="1:21" ht="18.75" customHeight="1">
      <c r="A674" s="1"/>
      <c r="B674" s="1"/>
      <c r="C674" s="1"/>
      <c r="D674" s="1"/>
      <c r="E674" s="1"/>
      <c r="F674" s="1"/>
      <c r="G674" s="1"/>
      <c r="H674" s="536">
        <v>1</v>
      </c>
      <c r="I674" s="1"/>
      <c r="J674" s="1"/>
      <c r="K674" s="1"/>
      <c r="L674" s="1"/>
      <c r="M674" s="1"/>
      <c r="N674" s="1"/>
      <c r="O674" s="1"/>
      <c r="P674" s="3"/>
      <c r="Q674" s="1"/>
      <c r="R674" s="1"/>
      <c r="S674" s="1"/>
      <c r="T674" s="1"/>
      <c r="U674" s="4"/>
    </row>
    <row r="675" spans="1:21" ht="18.75" customHeight="1">
      <c r="A675" s="6" t="s">
        <v>127</v>
      </c>
      <c r="B675" s="7" t="str">
        <f>$B$34</f>
        <v>1월</v>
      </c>
      <c r="C675" s="8" t="s">
        <v>1</v>
      </c>
      <c r="D675" s="9">
        <f>COUNTIF($C677:$C695,"계약")+(COUNTIF($C677:$C695,"계약2")*2)</f>
        <v>1</v>
      </c>
      <c r="E675" s="3">
        <f>COUNTIF(C677:C695,"낙찰수수료")</f>
        <v>4</v>
      </c>
      <c r="F675" s="3"/>
      <c r="G675" s="89" t="s">
        <v>128</v>
      </c>
      <c r="H675" s="11">
        <v>0.5</v>
      </c>
      <c r="I675" s="12">
        <v>3.3000000000000002E-2</v>
      </c>
      <c r="J675" s="1"/>
      <c r="K675" s="1"/>
      <c r="L675" s="1"/>
      <c r="M675" s="1"/>
      <c r="N675" s="1"/>
      <c r="O675" s="1"/>
      <c r="P675" s="3"/>
      <c r="Q675" s="1"/>
      <c r="R675" s="1"/>
      <c r="S675" s="1"/>
      <c r="T675" s="1"/>
      <c r="U675" s="4"/>
    </row>
    <row r="676" spans="1:21" ht="18.75" customHeight="1">
      <c r="A676" s="13" t="s">
        <v>3</v>
      </c>
      <c r="B676" s="14" t="s">
        <v>4</v>
      </c>
      <c r="C676" s="14" t="s">
        <v>5</v>
      </c>
      <c r="D676" s="101" t="s">
        <v>6</v>
      </c>
      <c r="E676" s="16" t="s">
        <v>7</v>
      </c>
      <c r="F676" s="17" t="s">
        <v>8</v>
      </c>
      <c r="G676" s="14" t="s">
        <v>9</v>
      </c>
      <c r="H676" s="15" t="s">
        <v>10</v>
      </c>
      <c r="I676" s="14" t="s">
        <v>11</v>
      </c>
      <c r="J676" s="15" t="s">
        <v>12</v>
      </c>
      <c r="K676" s="14" t="s">
        <v>13</v>
      </c>
      <c r="L676" s="14" t="s">
        <v>14</v>
      </c>
      <c r="M676" s="579" t="s">
        <v>15</v>
      </c>
      <c r="N676" s="577"/>
      <c r="O676" s="1"/>
      <c r="P676" s="3"/>
      <c r="Q676" s="1"/>
      <c r="R676" s="1"/>
      <c r="S676" s="1"/>
      <c r="T676" s="1"/>
      <c r="U676" s="4"/>
    </row>
    <row r="677" spans="1:21" ht="18.75" customHeight="1">
      <c r="A677" s="28">
        <v>46027</v>
      </c>
      <c r="B677" s="29" t="s">
        <v>773</v>
      </c>
      <c r="C677" s="30" t="s">
        <v>56</v>
      </c>
      <c r="D677" s="38"/>
      <c r="E677" s="27">
        <v>2500000</v>
      </c>
      <c r="F677" s="31">
        <f t="shared" ref="F677:F692" si="361">IF(D677="no",E677,E677/1.1)</f>
        <v>2272727.2727272725</v>
      </c>
      <c r="G677" s="27">
        <f t="shared" ref="G677:G692" si="362">IF(D677="no",0,F677*0.1)</f>
        <v>227272.72727272726</v>
      </c>
      <c r="H677" s="32">
        <f>IF(D677="no",0,F677*$H$675)</f>
        <v>1136363.6363636362</v>
      </c>
      <c r="I677" s="33">
        <f t="shared" ref="I677:I696" si="363">IF(D677="no",0,H677*3.3%)</f>
        <v>37500</v>
      </c>
      <c r="J677" s="26"/>
      <c r="K677" s="27">
        <f t="shared" ref="K677:K696" si="364">IF(D677="no",0,H677-I677-J677)</f>
        <v>1098863.6363636362</v>
      </c>
      <c r="L677" s="27">
        <f>IF(D677="no",F677*H677-J677,0)</f>
        <v>0</v>
      </c>
      <c r="M677" s="580"/>
      <c r="N677" s="581"/>
      <c r="O677" s="1"/>
      <c r="P677" s="3"/>
      <c r="Q677" s="1"/>
      <c r="R677" s="1"/>
      <c r="S677" s="1"/>
      <c r="T677" s="1"/>
      <c r="U677" s="4"/>
    </row>
    <row r="678" spans="1:21" ht="18.75" customHeight="1">
      <c r="A678" s="28">
        <v>46035</v>
      </c>
      <c r="B678" s="29" t="s">
        <v>771</v>
      </c>
      <c r="C678" s="30" t="s">
        <v>56</v>
      </c>
      <c r="D678" s="38"/>
      <c r="E678" s="27">
        <v>4400000</v>
      </c>
      <c r="F678" s="31">
        <f t="shared" si="361"/>
        <v>3999999.9999999995</v>
      </c>
      <c r="G678" s="27">
        <f t="shared" si="362"/>
        <v>400000</v>
      </c>
      <c r="H678" s="32">
        <f>IF(D678="no",0,F678*$H$675)</f>
        <v>1999999.9999999998</v>
      </c>
      <c r="I678" s="33">
        <f t="shared" si="363"/>
        <v>66000</v>
      </c>
      <c r="J678" s="26"/>
      <c r="K678" s="27">
        <f t="shared" si="364"/>
        <v>1933999.9999999998</v>
      </c>
      <c r="L678" s="27">
        <f t="shared" ref="L678:L696" si="365">IF(D678="no",F678*H678-J678,0)</f>
        <v>0</v>
      </c>
      <c r="M678" s="572"/>
      <c r="N678" s="564"/>
      <c r="O678" s="1"/>
      <c r="P678" s="3"/>
      <c r="Q678" s="1"/>
      <c r="R678" s="1"/>
      <c r="S678" s="1"/>
      <c r="T678" s="1"/>
      <c r="U678" s="4"/>
    </row>
    <row r="679" spans="1:21" ht="18.75" customHeight="1">
      <c r="A679" s="39">
        <v>46041</v>
      </c>
      <c r="B679" s="29" t="s">
        <v>774</v>
      </c>
      <c r="C679" s="30" t="s">
        <v>55</v>
      </c>
      <c r="D679" s="95"/>
      <c r="E679" s="102">
        <v>110000</v>
      </c>
      <c r="F679" s="31">
        <f t="shared" si="361"/>
        <v>99999.999999999985</v>
      </c>
      <c r="G679" s="27">
        <f t="shared" si="362"/>
        <v>10000</v>
      </c>
      <c r="H679" s="32">
        <f>IF(D679="no",0,F679*$H$675)</f>
        <v>49999.999999999993</v>
      </c>
      <c r="I679" s="33">
        <f t="shared" si="363"/>
        <v>1649.9999999999998</v>
      </c>
      <c r="J679" s="26"/>
      <c r="K679" s="27">
        <f t="shared" si="364"/>
        <v>48349.999999999993</v>
      </c>
      <c r="L679" s="27">
        <f t="shared" si="365"/>
        <v>0</v>
      </c>
      <c r="M679" s="572"/>
      <c r="N679" s="564"/>
      <c r="O679" s="1"/>
      <c r="P679" s="3"/>
      <c r="Q679" s="1"/>
      <c r="R679" s="1"/>
      <c r="S679" s="1"/>
      <c r="T679" s="1"/>
      <c r="U679" s="4"/>
    </row>
    <row r="680" spans="1:21" ht="18.75" customHeight="1">
      <c r="A680" s="39">
        <v>46044</v>
      </c>
      <c r="B680" s="29" t="s">
        <v>775</v>
      </c>
      <c r="C680" s="30" t="s">
        <v>55</v>
      </c>
      <c r="D680" s="38"/>
      <c r="E680" s="102">
        <v>110000</v>
      </c>
      <c r="F680" s="31">
        <f t="shared" si="361"/>
        <v>99999.999999999985</v>
      </c>
      <c r="G680" s="27">
        <f t="shared" si="362"/>
        <v>10000</v>
      </c>
      <c r="H680" s="32">
        <f>IF(D680="no",0,F680*$H$675)</f>
        <v>49999.999999999993</v>
      </c>
      <c r="I680" s="33">
        <f t="shared" si="363"/>
        <v>1649.9999999999998</v>
      </c>
      <c r="J680" s="26"/>
      <c r="K680" s="27">
        <f t="shared" si="364"/>
        <v>48349.999999999993</v>
      </c>
      <c r="L680" s="27">
        <f t="shared" si="365"/>
        <v>0</v>
      </c>
      <c r="M680" s="572"/>
      <c r="N680" s="564"/>
      <c r="O680" s="1"/>
      <c r="P680" s="3"/>
      <c r="Q680" s="1"/>
      <c r="R680" s="1"/>
      <c r="S680" s="1"/>
      <c r="T680" s="1"/>
      <c r="U680" s="4"/>
    </row>
    <row r="681" spans="1:21" ht="18.75" customHeight="1">
      <c r="A681" s="28">
        <v>46044</v>
      </c>
      <c r="B681" s="29" t="s">
        <v>776</v>
      </c>
      <c r="C681" s="30" t="s">
        <v>55</v>
      </c>
      <c r="D681" s="38"/>
      <c r="E681" s="27">
        <v>110000</v>
      </c>
      <c r="F681" s="31">
        <f t="shared" si="361"/>
        <v>99999.999999999985</v>
      </c>
      <c r="G681" s="27">
        <f t="shared" si="362"/>
        <v>10000</v>
      </c>
      <c r="H681" s="32">
        <f>IF(D681="no",0,F681*$H$675)</f>
        <v>49999.999999999993</v>
      </c>
      <c r="I681" s="33">
        <f t="shared" si="363"/>
        <v>1649.9999999999998</v>
      </c>
      <c r="J681" s="26"/>
      <c r="K681" s="27">
        <f t="shared" si="364"/>
        <v>48349.999999999993</v>
      </c>
      <c r="L681" s="27">
        <f t="shared" si="365"/>
        <v>0</v>
      </c>
      <c r="M681" s="563"/>
      <c r="N681" s="564"/>
      <c r="O681" s="1"/>
      <c r="P681" s="3"/>
      <c r="Q681" s="1"/>
      <c r="R681" s="1"/>
      <c r="S681" s="1"/>
      <c r="T681" s="1"/>
      <c r="U681" s="4"/>
    </row>
    <row r="682" spans="1:21" ht="18.75" customHeight="1">
      <c r="A682" s="28">
        <v>46044</v>
      </c>
      <c r="B682" s="29" t="s">
        <v>771</v>
      </c>
      <c r="C682" s="30" t="s">
        <v>56</v>
      </c>
      <c r="D682" s="21"/>
      <c r="E682" s="27">
        <v>2200000</v>
      </c>
      <c r="F682" s="31">
        <f t="shared" si="361"/>
        <v>1999999.9999999998</v>
      </c>
      <c r="G682" s="27">
        <f t="shared" si="362"/>
        <v>200000</v>
      </c>
      <c r="H682" s="32">
        <f t="shared" ref="H682:H691" si="366">IF(D682="no",0,F682*$H$675)</f>
        <v>999999.99999999988</v>
      </c>
      <c r="I682" s="33">
        <f t="shared" si="363"/>
        <v>33000</v>
      </c>
      <c r="J682" s="26"/>
      <c r="K682" s="27">
        <f t="shared" si="364"/>
        <v>966999.99999999988</v>
      </c>
      <c r="L682" s="27">
        <f t="shared" si="365"/>
        <v>0</v>
      </c>
      <c r="M682" s="572"/>
      <c r="N682" s="564"/>
      <c r="O682" s="1"/>
      <c r="P682" s="3"/>
      <c r="Q682" s="1"/>
      <c r="R682" s="1"/>
      <c r="S682" s="1"/>
      <c r="T682" s="1"/>
      <c r="U682" s="4"/>
    </row>
    <row r="683" spans="1:21" ht="18.75" customHeight="1">
      <c r="A683" s="28">
        <v>46045</v>
      </c>
      <c r="B683" s="29" t="s">
        <v>772</v>
      </c>
      <c r="C683" s="30" t="s">
        <v>357</v>
      </c>
      <c r="D683" s="38"/>
      <c r="E683" s="27">
        <v>550000</v>
      </c>
      <c r="F683" s="31">
        <f t="shared" si="361"/>
        <v>499999.99999999994</v>
      </c>
      <c r="G683" s="27">
        <f t="shared" si="362"/>
        <v>50000</v>
      </c>
      <c r="H683" s="32">
        <f t="shared" si="366"/>
        <v>249999.99999999997</v>
      </c>
      <c r="I683" s="33">
        <f t="shared" si="363"/>
        <v>8250</v>
      </c>
      <c r="J683" s="26"/>
      <c r="K683" s="27">
        <f t="shared" si="364"/>
        <v>241749.99999999997</v>
      </c>
      <c r="L683" s="27">
        <f t="shared" si="365"/>
        <v>0</v>
      </c>
      <c r="M683" s="572"/>
      <c r="N683" s="564"/>
      <c r="O683" s="1"/>
      <c r="P683" s="3"/>
      <c r="Q683" s="1"/>
      <c r="R683" s="1"/>
      <c r="S683" s="1"/>
      <c r="T683" s="1"/>
      <c r="U683" s="4"/>
    </row>
    <row r="684" spans="1:21" ht="18.75" customHeight="1">
      <c r="A684" s="28">
        <v>46050</v>
      </c>
      <c r="B684" s="29" t="s">
        <v>587</v>
      </c>
      <c r="C684" s="30" t="s">
        <v>56</v>
      </c>
      <c r="D684" s="38"/>
      <c r="E684" s="27">
        <v>8500000</v>
      </c>
      <c r="F684" s="31">
        <f t="shared" si="361"/>
        <v>7727272.7272727266</v>
      </c>
      <c r="G684" s="27">
        <f t="shared" si="362"/>
        <v>772727.27272727271</v>
      </c>
      <c r="H684" s="32">
        <f t="shared" si="366"/>
        <v>3863636.3636363633</v>
      </c>
      <c r="I684" s="33">
        <f t="shared" si="363"/>
        <v>127500</v>
      </c>
      <c r="J684" s="26"/>
      <c r="K684" s="27">
        <f t="shared" si="364"/>
        <v>3736136.3636363633</v>
      </c>
      <c r="L684" s="27">
        <f t="shared" si="365"/>
        <v>0</v>
      </c>
      <c r="M684" s="572"/>
      <c r="N684" s="564"/>
      <c r="O684" s="1"/>
      <c r="P684" s="3"/>
      <c r="Q684" s="1"/>
      <c r="R684" s="1"/>
      <c r="S684" s="1"/>
      <c r="T684" s="1"/>
      <c r="U684" s="4"/>
    </row>
    <row r="685" spans="1:21" ht="18.75" customHeight="1">
      <c r="A685" s="39"/>
      <c r="B685" s="29"/>
      <c r="C685" s="30"/>
      <c r="D685" s="95"/>
      <c r="E685" s="102"/>
      <c r="F685" s="31">
        <f t="shared" si="361"/>
        <v>0</v>
      </c>
      <c r="G685" s="27">
        <f t="shared" si="362"/>
        <v>0</v>
      </c>
      <c r="H685" s="32">
        <f t="shared" si="366"/>
        <v>0</v>
      </c>
      <c r="I685" s="33">
        <f t="shared" si="363"/>
        <v>0</v>
      </c>
      <c r="J685" s="26"/>
      <c r="K685" s="27">
        <f t="shared" si="364"/>
        <v>0</v>
      </c>
      <c r="L685" s="27">
        <f t="shared" si="365"/>
        <v>0</v>
      </c>
      <c r="M685" s="572"/>
      <c r="N685" s="564"/>
      <c r="O685" s="1"/>
      <c r="P685" s="3"/>
      <c r="Q685" s="1"/>
      <c r="R685" s="1"/>
      <c r="S685" s="1"/>
      <c r="T685" s="1"/>
      <c r="U685" s="4"/>
    </row>
    <row r="686" spans="1:21" ht="18.75" customHeight="1">
      <c r="A686" s="39"/>
      <c r="B686" s="29"/>
      <c r="C686" s="30"/>
      <c r="D686" s="38"/>
      <c r="E686" s="102"/>
      <c r="F686" s="31">
        <f t="shared" si="361"/>
        <v>0</v>
      </c>
      <c r="G686" s="27">
        <f t="shared" si="362"/>
        <v>0</v>
      </c>
      <c r="H686" s="32">
        <f t="shared" si="366"/>
        <v>0</v>
      </c>
      <c r="I686" s="33">
        <f t="shared" si="363"/>
        <v>0</v>
      </c>
      <c r="J686" s="26"/>
      <c r="K686" s="27">
        <f t="shared" si="364"/>
        <v>0</v>
      </c>
      <c r="L686" s="27">
        <f t="shared" si="365"/>
        <v>0</v>
      </c>
      <c r="M686" s="572"/>
      <c r="N686" s="564"/>
      <c r="O686" s="1"/>
      <c r="P686" s="3"/>
      <c r="Q686" s="1"/>
      <c r="R686" s="1"/>
      <c r="S686" s="1"/>
      <c r="T686" s="1"/>
      <c r="U686" s="4"/>
    </row>
    <row r="687" spans="1:21" ht="18.75" hidden="1" customHeight="1">
      <c r="A687" s="28"/>
      <c r="B687" s="29"/>
      <c r="C687" s="30"/>
      <c r="D687" s="38"/>
      <c r="E687" s="27"/>
      <c r="F687" s="31">
        <f t="shared" si="361"/>
        <v>0</v>
      </c>
      <c r="G687" s="27">
        <f t="shared" si="362"/>
        <v>0</v>
      </c>
      <c r="H687" s="32">
        <f t="shared" si="366"/>
        <v>0</v>
      </c>
      <c r="I687" s="33">
        <f t="shared" si="363"/>
        <v>0</v>
      </c>
      <c r="J687" s="26"/>
      <c r="K687" s="27">
        <f t="shared" si="364"/>
        <v>0</v>
      </c>
      <c r="L687" s="27">
        <f t="shared" si="365"/>
        <v>0</v>
      </c>
      <c r="M687" s="563"/>
      <c r="N687" s="564"/>
      <c r="O687" s="1"/>
      <c r="P687" s="3"/>
      <c r="Q687" s="1"/>
      <c r="R687" s="1"/>
      <c r="S687" s="1"/>
      <c r="T687" s="1"/>
      <c r="U687" s="4"/>
    </row>
    <row r="688" spans="1:21" ht="18.75" hidden="1" customHeight="1">
      <c r="A688" s="28"/>
      <c r="B688" s="29"/>
      <c r="C688" s="30"/>
      <c r="D688" s="21"/>
      <c r="E688" s="27"/>
      <c r="F688" s="31">
        <f t="shared" si="361"/>
        <v>0</v>
      </c>
      <c r="G688" s="27">
        <f t="shared" si="362"/>
        <v>0</v>
      </c>
      <c r="H688" s="32">
        <f t="shared" si="366"/>
        <v>0</v>
      </c>
      <c r="I688" s="33">
        <f t="shared" si="363"/>
        <v>0</v>
      </c>
      <c r="J688" s="26"/>
      <c r="K688" s="27">
        <f t="shared" si="364"/>
        <v>0</v>
      </c>
      <c r="L688" s="27">
        <f t="shared" si="365"/>
        <v>0</v>
      </c>
      <c r="M688" s="572"/>
      <c r="N688" s="564"/>
      <c r="O688" s="1"/>
      <c r="P688" s="3"/>
      <c r="Q688" s="1"/>
      <c r="R688" s="1"/>
      <c r="S688" s="1"/>
      <c r="T688" s="1"/>
      <c r="U688" s="4"/>
    </row>
    <row r="689" spans="1:21" ht="18.75" hidden="1" customHeight="1">
      <c r="A689" s="28"/>
      <c r="B689" s="29"/>
      <c r="C689" s="30"/>
      <c r="D689" s="38"/>
      <c r="E689" s="27"/>
      <c r="F689" s="31">
        <f t="shared" si="361"/>
        <v>0</v>
      </c>
      <c r="G689" s="27">
        <f t="shared" si="362"/>
        <v>0</v>
      </c>
      <c r="H689" s="32">
        <f t="shared" si="366"/>
        <v>0</v>
      </c>
      <c r="I689" s="33">
        <f t="shared" si="363"/>
        <v>0</v>
      </c>
      <c r="J689" s="26"/>
      <c r="K689" s="27">
        <f t="shared" si="364"/>
        <v>0</v>
      </c>
      <c r="L689" s="27">
        <f t="shared" si="365"/>
        <v>0</v>
      </c>
      <c r="M689" s="572"/>
      <c r="N689" s="564"/>
      <c r="O689" s="1"/>
      <c r="P689" s="3"/>
      <c r="Q689" s="1"/>
      <c r="R689" s="1"/>
      <c r="S689" s="1"/>
      <c r="T689" s="1"/>
      <c r="U689" s="4"/>
    </row>
    <row r="690" spans="1:21" ht="18.75" hidden="1" customHeight="1">
      <c r="A690" s="28"/>
      <c r="B690" s="29"/>
      <c r="C690" s="30"/>
      <c r="D690" s="38"/>
      <c r="E690" s="27"/>
      <c r="F690" s="31">
        <f t="shared" si="361"/>
        <v>0</v>
      </c>
      <c r="G690" s="27">
        <f t="shared" si="362"/>
        <v>0</v>
      </c>
      <c r="H690" s="32">
        <f t="shared" si="366"/>
        <v>0</v>
      </c>
      <c r="I690" s="33">
        <f t="shared" si="363"/>
        <v>0</v>
      </c>
      <c r="J690" s="26"/>
      <c r="K690" s="27">
        <f t="shared" si="364"/>
        <v>0</v>
      </c>
      <c r="L690" s="27">
        <f t="shared" si="365"/>
        <v>0</v>
      </c>
      <c r="M690" s="572"/>
      <c r="N690" s="564"/>
      <c r="O690" s="1"/>
      <c r="P690" s="3"/>
      <c r="Q690" s="1"/>
      <c r="R690" s="1"/>
      <c r="S690" s="1"/>
      <c r="T690" s="1"/>
      <c r="U690" s="4"/>
    </row>
    <row r="691" spans="1:21" ht="18.75" customHeight="1">
      <c r="A691" s="39"/>
      <c r="B691" s="29"/>
      <c r="C691" s="30"/>
      <c r="D691" s="95"/>
      <c r="E691" s="102"/>
      <c r="F691" s="31">
        <f t="shared" si="361"/>
        <v>0</v>
      </c>
      <c r="G691" s="27">
        <f t="shared" si="362"/>
        <v>0</v>
      </c>
      <c r="H691" s="32">
        <f t="shared" si="366"/>
        <v>0</v>
      </c>
      <c r="I691" s="33">
        <f t="shared" si="363"/>
        <v>0</v>
      </c>
      <c r="J691" s="26"/>
      <c r="K691" s="27">
        <f t="shared" si="364"/>
        <v>0</v>
      </c>
      <c r="L691" s="27">
        <f t="shared" si="365"/>
        <v>0</v>
      </c>
      <c r="M691" s="572"/>
      <c r="N691" s="564"/>
      <c r="O691" s="1"/>
      <c r="P691" s="3"/>
      <c r="Q691" s="1"/>
      <c r="R691" s="1"/>
      <c r="S691" s="1"/>
      <c r="T691" s="1"/>
      <c r="U691" s="4"/>
    </row>
    <row r="692" spans="1:21" s="321" customFormat="1" ht="18.75" customHeight="1">
      <c r="A692" s="39" t="s">
        <v>616</v>
      </c>
      <c r="B692" s="29" t="s">
        <v>343</v>
      </c>
      <c r="C692" s="30"/>
      <c r="D692" s="320"/>
      <c r="E692" s="27"/>
      <c r="F692" s="31">
        <f t="shared" si="361"/>
        <v>0</v>
      </c>
      <c r="G692" s="27">
        <f t="shared" si="362"/>
        <v>0</v>
      </c>
      <c r="H692" s="37">
        <f>IF(D692="no",0,F692*H675)</f>
        <v>0</v>
      </c>
      <c r="I692" s="33">
        <f t="shared" si="363"/>
        <v>0</v>
      </c>
      <c r="J692" s="26"/>
      <c r="K692" s="27">
        <f t="shared" si="364"/>
        <v>0</v>
      </c>
      <c r="L692" s="27">
        <f t="shared" si="365"/>
        <v>0</v>
      </c>
      <c r="M692" s="590"/>
      <c r="N692" s="564"/>
      <c r="O692" s="1"/>
      <c r="P692" s="3"/>
      <c r="Q692" s="1"/>
      <c r="R692" s="1"/>
      <c r="S692" s="1"/>
      <c r="T692" s="1"/>
      <c r="U692" s="4"/>
    </row>
    <row r="693" spans="1:21" ht="18.75" customHeight="1">
      <c r="A693" s="39" t="s">
        <v>616</v>
      </c>
      <c r="B693" s="29" t="s">
        <v>35</v>
      </c>
      <c r="C693" s="30"/>
      <c r="D693" s="21"/>
      <c r="E693" s="27"/>
      <c r="F693" s="31">
        <f t="shared" ref="F693:F695" si="367">IF(D693="no",E693,E693/1.1)</f>
        <v>0</v>
      </c>
      <c r="G693" s="27">
        <f t="shared" ref="G693:G695" si="368">IF(D693="no",0,F693*0.1)</f>
        <v>0</v>
      </c>
      <c r="H693" s="32">
        <f>IF(D693="no",0,F693*$H$675)</f>
        <v>0</v>
      </c>
      <c r="I693" s="33">
        <f t="shared" ref="I693:I694" si="369">IF(D693="no",0,H693*3.3%)</f>
        <v>0</v>
      </c>
      <c r="J693" s="26"/>
      <c r="K693" s="27">
        <f>IF(D693="no",0,H693-I693-J693)</f>
        <v>0</v>
      </c>
      <c r="L693" s="27">
        <f t="shared" si="365"/>
        <v>0</v>
      </c>
      <c r="M693" s="574"/>
      <c r="N693" s="564"/>
      <c r="O693" s="1"/>
      <c r="P693" s="3"/>
      <c r="Q693" s="1"/>
      <c r="R693" s="1"/>
      <c r="S693" s="1"/>
      <c r="T693" s="1"/>
      <c r="U693" s="4"/>
    </row>
    <row r="694" spans="1:21" ht="18.75" customHeight="1">
      <c r="A694" s="39" t="s">
        <v>616</v>
      </c>
      <c r="B694" s="29" t="s">
        <v>61</v>
      </c>
      <c r="C694" s="30"/>
      <c r="D694" s="21"/>
      <c r="E694" s="27"/>
      <c r="F694" s="31">
        <f t="shared" si="367"/>
        <v>0</v>
      </c>
      <c r="G694" s="27">
        <f t="shared" si="368"/>
        <v>0</v>
      </c>
      <c r="H694" s="32">
        <f>IF(D694="no",0,F694*$H$675)</f>
        <v>0</v>
      </c>
      <c r="I694" s="33">
        <f t="shared" si="369"/>
        <v>0</v>
      </c>
      <c r="J694" s="26"/>
      <c r="K694" s="27">
        <f t="shared" si="364"/>
        <v>0</v>
      </c>
      <c r="L694" s="27">
        <f t="shared" si="365"/>
        <v>0</v>
      </c>
      <c r="M694" s="94"/>
      <c r="N694" s="95"/>
      <c r="O694" s="1"/>
      <c r="P694" s="3"/>
      <c r="Q694" s="1"/>
      <c r="R694" s="1"/>
      <c r="S694" s="1"/>
      <c r="T694" s="1"/>
      <c r="U694" s="4"/>
    </row>
    <row r="695" spans="1:21" ht="18.75" customHeight="1">
      <c r="A695" s="39" t="s">
        <v>616</v>
      </c>
      <c r="B695" s="29" t="s">
        <v>37</v>
      </c>
      <c r="C695" s="30"/>
      <c r="D695" s="21"/>
      <c r="E695" s="27"/>
      <c r="F695" s="31">
        <f t="shared" si="367"/>
        <v>0</v>
      </c>
      <c r="G695" s="27">
        <f t="shared" si="368"/>
        <v>0</v>
      </c>
      <c r="H695" s="37"/>
      <c r="I695" s="33">
        <f>IF(D695="no",0,H695*3.3%)</f>
        <v>0</v>
      </c>
      <c r="J695" s="26"/>
      <c r="K695" s="27">
        <f>IF(D695="no",0,H695-I695-J695)</f>
        <v>0</v>
      </c>
      <c r="L695" s="27">
        <f t="shared" si="365"/>
        <v>0</v>
      </c>
      <c r="M695" s="572"/>
      <c r="N695" s="564"/>
      <c r="O695" s="1"/>
      <c r="P695" s="3"/>
      <c r="Q695" s="1"/>
      <c r="R695" s="1"/>
      <c r="S695" s="1"/>
      <c r="T695" s="1"/>
      <c r="U695" s="4"/>
    </row>
    <row r="696" spans="1:21" s="268" customFormat="1" ht="18.75" customHeight="1">
      <c r="A696" s="39" t="s">
        <v>616</v>
      </c>
      <c r="B696" s="29" t="s">
        <v>106</v>
      </c>
      <c r="C696" s="30"/>
      <c r="D696" s="267"/>
      <c r="E696" s="27"/>
      <c r="F696" s="31">
        <f t="shared" ref="F696" si="370">IF(D696="no",E696,E696/1.1)</f>
        <v>0</v>
      </c>
      <c r="G696" s="27">
        <f t="shared" ref="G696" si="371">IF(D696="no",0,F696*0.1)</f>
        <v>0</v>
      </c>
      <c r="H696" s="32"/>
      <c r="I696" s="33">
        <f t="shared" si="363"/>
        <v>0</v>
      </c>
      <c r="J696" s="26"/>
      <c r="K696" s="27">
        <f t="shared" si="364"/>
        <v>0</v>
      </c>
      <c r="L696" s="27">
        <f t="shared" si="365"/>
        <v>0</v>
      </c>
      <c r="M696" s="625"/>
      <c r="N696" s="601"/>
      <c r="O696" s="1"/>
      <c r="P696" s="3"/>
      <c r="Q696" s="1"/>
      <c r="R696" s="1"/>
      <c r="S696" s="1"/>
      <c r="T696" s="1"/>
      <c r="U696" s="4"/>
    </row>
    <row r="697" spans="1:21" ht="18.75" customHeight="1">
      <c r="A697" s="575" t="s">
        <v>42</v>
      </c>
      <c r="B697" s="576"/>
      <c r="C697" s="576"/>
      <c r="D697" s="577"/>
      <c r="E697" s="42">
        <f t="shared" ref="E697:L697" si="372">SUM(E677:E696)</f>
        <v>18480000</v>
      </c>
      <c r="F697" s="17">
        <f t="shared" si="372"/>
        <v>16800000</v>
      </c>
      <c r="G697" s="42">
        <f t="shared" si="372"/>
        <v>1680000</v>
      </c>
      <c r="H697" s="42">
        <f t="shared" si="372"/>
        <v>8400000</v>
      </c>
      <c r="I697" s="42">
        <f t="shared" si="372"/>
        <v>277200</v>
      </c>
      <c r="J697" s="42">
        <f t="shared" si="372"/>
        <v>0</v>
      </c>
      <c r="K697" s="42">
        <f t="shared" si="372"/>
        <v>8122799.9999999991</v>
      </c>
      <c r="L697" s="42">
        <f t="shared" si="372"/>
        <v>0</v>
      </c>
      <c r="M697" s="44"/>
      <c r="N697" s="45"/>
      <c r="O697" s="1"/>
      <c r="P697" s="3"/>
      <c r="Q697" s="1"/>
      <c r="R697" s="1"/>
      <c r="S697" s="1"/>
      <c r="T697" s="1"/>
      <c r="U697" s="4"/>
    </row>
    <row r="698" spans="1:21" ht="18.75" customHeight="1">
      <c r="A698" s="46" t="s">
        <v>37</v>
      </c>
      <c r="B698" s="47" t="s">
        <v>43</v>
      </c>
      <c r="C698" s="48">
        <f>D675</f>
        <v>1</v>
      </c>
      <c r="D698" s="47" t="s">
        <v>44</v>
      </c>
      <c r="E698" s="49"/>
      <c r="F698" s="84"/>
      <c r="G698" s="85"/>
      <c r="H698" s="49"/>
      <c r="I698" s="53" t="s">
        <v>46</v>
      </c>
      <c r="J698" s="54">
        <v>64125</v>
      </c>
      <c r="K698" s="50"/>
      <c r="L698" s="55"/>
      <c r="M698" s="63"/>
      <c r="N698" s="64"/>
      <c r="O698" s="1"/>
      <c r="P698" s="3"/>
      <c r="Q698" s="1"/>
      <c r="R698" s="1"/>
      <c r="S698" s="1"/>
      <c r="T698" s="1"/>
      <c r="U698" s="4"/>
    </row>
    <row r="699" spans="1:21" ht="16.5" customHeight="1" thickBot="1">
      <c r="A699" s="56" t="s">
        <v>48</v>
      </c>
      <c r="B699" s="57" t="s">
        <v>49</v>
      </c>
      <c r="C699" s="58">
        <f>ROUND(F697/10000,0)</f>
        <v>1680</v>
      </c>
      <c r="D699" s="57" t="s">
        <v>50</v>
      </c>
      <c r="E699" s="52">
        <v>0</v>
      </c>
      <c r="F699" s="86"/>
      <c r="G699" s="87"/>
      <c r="H699" s="52"/>
      <c r="I699" s="59"/>
      <c r="J699" s="61"/>
      <c r="K699" s="59"/>
      <c r="L699" s="62"/>
      <c r="M699" s="63"/>
      <c r="N699" s="64"/>
      <c r="O699" s="1"/>
      <c r="P699" s="3"/>
      <c r="Q699" s="1"/>
      <c r="R699" s="1"/>
      <c r="S699" s="1"/>
      <c r="T699" s="1"/>
      <c r="U699" s="4"/>
    </row>
    <row r="700" spans="1:21" ht="18.75" customHeight="1" thickBot="1">
      <c r="A700" s="566" t="s">
        <v>52</v>
      </c>
      <c r="B700" s="567"/>
      <c r="C700" s="567"/>
      <c r="D700" s="568"/>
      <c r="E700" s="65"/>
      <c r="F700" s="569" t="s">
        <v>53</v>
      </c>
      <c r="G700" s="568"/>
      <c r="H700" s="66">
        <f>H697-J698</f>
        <v>8335875</v>
      </c>
      <c r="I700" s="67">
        <f>H700*3.3%</f>
        <v>275083.875</v>
      </c>
      <c r="J700" s="68">
        <f>SUM(J697)</f>
        <v>0</v>
      </c>
      <c r="K700" s="69">
        <f>H700-I700-J700</f>
        <v>8060791.125</v>
      </c>
      <c r="L700" s="70">
        <f>L697+SUM(H698:H699)+J699</f>
        <v>0</v>
      </c>
      <c r="M700" s="570">
        <f>K700+L700</f>
        <v>8060791.125</v>
      </c>
      <c r="N700" s="571"/>
      <c r="O700" s="1"/>
      <c r="P700" s="3"/>
      <c r="Q700" s="1"/>
      <c r="R700" s="1"/>
      <c r="S700" s="1"/>
      <c r="T700" s="1"/>
      <c r="U700" s="4"/>
    </row>
    <row r="701" spans="1:21" ht="18.75" customHeight="1">
      <c r="A701" s="1"/>
      <c r="B701" s="1"/>
      <c r="C701" s="1"/>
      <c r="D701" s="1"/>
      <c r="E701" s="1"/>
      <c r="F701" s="1"/>
      <c r="G701" s="1"/>
      <c r="H701" s="141"/>
      <c r="I701" s="1"/>
      <c r="J701" s="1"/>
      <c r="K701" s="1"/>
      <c r="L701" s="1"/>
      <c r="M701" s="1"/>
      <c r="N701" s="1"/>
      <c r="O701" s="1"/>
      <c r="P701" s="3"/>
      <c r="Q701" s="1"/>
      <c r="R701" s="1"/>
      <c r="S701" s="1"/>
      <c r="T701" s="1"/>
      <c r="U701" s="4"/>
    </row>
    <row r="702" spans="1:21" ht="15" customHeight="1">
      <c r="A702" s="1"/>
      <c r="B702" s="1"/>
      <c r="C702" s="1"/>
      <c r="D702" s="1"/>
      <c r="E702" s="1"/>
      <c r="F702" s="1"/>
      <c r="G702" s="1"/>
      <c r="H702" s="536">
        <v>1</v>
      </c>
      <c r="I702" s="1"/>
      <c r="J702" s="1"/>
      <c r="K702" s="1"/>
      <c r="L702" s="1"/>
      <c r="M702" s="1"/>
      <c r="N702" s="1"/>
      <c r="O702" s="1"/>
      <c r="P702" s="3"/>
      <c r="Q702" s="1"/>
      <c r="R702" s="1"/>
      <c r="S702" s="1"/>
      <c r="T702" s="1"/>
      <c r="U702" s="4"/>
    </row>
    <row r="703" spans="1:21" ht="18.75" customHeight="1">
      <c r="A703" s="6" t="s">
        <v>113</v>
      </c>
      <c r="B703" s="7" t="str">
        <f>$B$34</f>
        <v>1월</v>
      </c>
      <c r="C703" s="8" t="s">
        <v>1</v>
      </c>
      <c r="D703" s="9">
        <f>COUNTIF($C705:$C724,"계약")+(COUNTIF($C705:$C724,"계약2")*2)</f>
        <v>2</v>
      </c>
      <c r="E703" s="3">
        <f>COUNTIF(C705:C724,"낙찰수수료")</f>
        <v>0</v>
      </c>
      <c r="F703" s="3"/>
      <c r="G703" s="89" t="s">
        <v>114</v>
      </c>
      <c r="H703" s="11">
        <v>0.5</v>
      </c>
      <c r="I703" s="12">
        <v>3.3000000000000002E-2</v>
      </c>
      <c r="J703" s="1"/>
      <c r="K703" s="1"/>
      <c r="L703" s="1"/>
      <c r="M703" s="1"/>
      <c r="N703" s="1"/>
      <c r="O703" s="1"/>
      <c r="P703" s="3"/>
      <c r="Q703" s="1"/>
      <c r="R703" s="1"/>
      <c r="S703" s="1"/>
      <c r="T703" s="1"/>
      <c r="U703" s="4"/>
    </row>
    <row r="704" spans="1:21" ht="18.75" customHeight="1">
      <c r="A704" s="13" t="s">
        <v>3</v>
      </c>
      <c r="B704" s="14" t="s">
        <v>4</v>
      </c>
      <c r="C704" s="14" t="s">
        <v>5</v>
      </c>
      <c r="D704" s="101" t="s">
        <v>6</v>
      </c>
      <c r="E704" s="16" t="s">
        <v>7</v>
      </c>
      <c r="F704" s="17" t="s">
        <v>8</v>
      </c>
      <c r="G704" s="14" t="s">
        <v>9</v>
      </c>
      <c r="H704" s="15" t="s">
        <v>10</v>
      </c>
      <c r="I704" s="14" t="s">
        <v>11</v>
      </c>
      <c r="J704" s="15" t="s">
        <v>12</v>
      </c>
      <c r="K704" s="14" t="s">
        <v>13</v>
      </c>
      <c r="L704" s="14" t="s">
        <v>14</v>
      </c>
      <c r="M704" s="579" t="s">
        <v>15</v>
      </c>
      <c r="N704" s="577"/>
      <c r="O704" s="1"/>
      <c r="P704" s="3"/>
      <c r="Q704" s="1"/>
      <c r="R704" s="1"/>
      <c r="S704" s="1"/>
      <c r="T704" s="1"/>
      <c r="U704" s="4"/>
    </row>
    <row r="705" spans="1:21" ht="18.75" customHeight="1">
      <c r="A705" s="28">
        <v>46034</v>
      </c>
      <c r="B705" s="29" t="s">
        <v>785</v>
      </c>
      <c r="C705" s="30" t="s">
        <v>357</v>
      </c>
      <c r="D705" s="38"/>
      <c r="E705" s="27">
        <v>550000</v>
      </c>
      <c r="F705" s="31">
        <f t="shared" ref="F705:F719" si="373">IF(D705="no",E705,E705/1.1)</f>
        <v>499999.99999999994</v>
      </c>
      <c r="G705" s="27">
        <f t="shared" ref="G705:G719" si="374">IF(D705="no",0,F705*0.1)</f>
        <v>50000</v>
      </c>
      <c r="H705" s="112">
        <f>IF(D705="no",0,F705*H703)</f>
        <v>249999.99999999997</v>
      </c>
      <c r="I705" s="33">
        <f t="shared" ref="I705:I725" si="375">IF(D705="no",0,H705*3.3%)</f>
        <v>8250</v>
      </c>
      <c r="J705" s="26"/>
      <c r="K705" s="27">
        <f t="shared" ref="K705:K725" si="376">IF(D705="no",0,H705-I705-J705)</f>
        <v>241749.99999999997</v>
      </c>
      <c r="L705" s="27">
        <f>IF(D705="no",F705*H703-J705,0)</f>
        <v>0</v>
      </c>
      <c r="M705" s="580"/>
      <c r="N705" s="581"/>
      <c r="O705" s="1"/>
      <c r="P705" s="3"/>
      <c r="Q705" s="1"/>
      <c r="R705" s="1"/>
      <c r="S705" s="1"/>
      <c r="T705" s="1"/>
      <c r="U705" s="4"/>
    </row>
    <row r="706" spans="1:21" ht="18.75" customHeight="1">
      <c r="A706" s="28">
        <v>46043</v>
      </c>
      <c r="B706" s="29" t="s">
        <v>786</v>
      </c>
      <c r="C706" s="30" t="s">
        <v>357</v>
      </c>
      <c r="D706" s="38"/>
      <c r="E706" s="27">
        <v>550000</v>
      </c>
      <c r="F706" s="31">
        <f t="shared" si="373"/>
        <v>499999.99999999994</v>
      </c>
      <c r="G706" s="27">
        <f t="shared" si="374"/>
        <v>50000</v>
      </c>
      <c r="H706" s="32">
        <f>IF(D706="no",0,F706*H703)</f>
        <v>249999.99999999997</v>
      </c>
      <c r="I706" s="33">
        <f t="shared" si="375"/>
        <v>8250</v>
      </c>
      <c r="J706" s="26"/>
      <c r="K706" s="27">
        <f t="shared" si="376"/>
        <v>241749.99999999997</v>
      </c>
      <c r="L706" s="27">
        <f>IF(D706="no",F706*H672-J706,0)</f>
        <v>0</v>
      </c>
      <c r="M706" s="572"/>
      <c r="N706" s="564"/>
      <c r="O706" s="1"/>
      <c r="P706" s="3"/>
      <c r="Q706" s="1"/>
      <c r="R706" s="1"/>
      <c r="S706" s="1"/>
      <c r="T706" s="1"/>
      <c r="U706" s="4"/>
    </row>
    <row r="707" spans="1:21" ht="18.75" customHeight="1">
      <c r="A707" s="39">
        <v>46052</v>
      </c>
      <c r="B707" s="29" t="s">
        <v>787</v>
      </c>
      <c r="C707" s="30" t="s">
        <v>55</v>
      </c>
      <c r="D707" s="95"/>
      <c r="E707" s="102">
        <v>110000</v>
      </c>
      <c r="F707" s="31">
        <f t="shared" si="373"/>
        <v>99999.999999999985</v>
      </c>
      <c r="G707" s="27">
        <f t="shared" si="374"/>
        <v>10000</v>
      </c>
      <c r="H707" s="32">
        <f>IF(D707="no",0,F707*H703)</f>
        <v>49999.999999999993</v>
      </c>
      <c r="I707" s="33">
        <f t="shared" si="375"/>
        <v>1649.9999999999998</v>
      </c>
      <c r="J707" s="26"/>
      <c r="K707" s="27">
        <f t="shared" si="376"/>
        <v>48349.999999999993</v>
      </c>
      <c r="L707" s="27">
        <f>IF(D707="no",F707*H672-J707,0)</f>
        <v>0</v>
      </c>
      <c r="M707" s="572"/>
      <c r="N707" s="564"/>
      <c r="O707" s="1"/>
      <c r="P707" s="3"/>
      <c r="Q707" s="1"/>
      <c r="R707" s="1"/>
      <c r="S707" s="1"/>
      <c r="T707" s="1"/>
      <c r="U707" s="4"/>
    </row>
    <row r="708" spans="1:21" s="347" customFormat="1" ht="18.75" customHeight="1">
      <c r="A708" s="305"/>
      <c r="B708" s="108"/>
      <c r="C708" s="109"/>
      <c r="D708" s="352"/>
      <c r="E708" s="353"/>
      <c r="F708" s="31">
        <f t="shared" si="373"/>
        <v>0</v>
      </c>
      <c r="G708" s="27">
        <f t="shared" si="374"/>
        <v>0</v>
      </c>
      <c r="H708" s="32">
        <f>IF(D708="no",0,F708*H703)</f>
        <v>0</v>
      </c>
      <c r="I708" s="33">
        <f t="shared" si="375"/>
        <v>0</v>
      </c>
      <c r="J708" s="26"/>
      <c r="K708" s="27">
        <f t="shared" si="376"/>
        <v>0</v>
      </c>
      <c r="L708" s="27"/>
      <c r="M708" s="345"/>
      <c r="N708" s="344"/>
      <c r="O708" s="1"/>
      <c r="P708" s="3"/>
      <c r="Q708" s="1"/>
      <c r="R708" s="1"/>
      <c r="S708" s="1"/>
      <c r="T708" s="1"/>
      <c r="U708" s="4"/>
    </row>
    <row r="709" spans="1:21" ht="18.75" customHeight="1">
      <c r="A709" s="39"/>
      <c r="B709" s="29"/>
      <c r="C709" s="30"/>
      <c r="D709" s="38"/>
      <c r="E709" s="102"/>
      <c r="F709" s="31">
        <f t="shared" si="373"/>
        <v>0</v>
      </c>
      <c r="G709" s="27">
        <f t="shared" si="374"/>
        <v>0</v>
      </c>
      <c r="H709" s="32">
        <f>IF(D709="no",0,F709*H703)</f>
        <v>0</v>
      </c>
      <c r="I709" s="33">
        <f t="shared" si="375"/>
        <v>0</v>
      </c>
      <c r="J709" s="26"/>
      <c r="K709" s="27">
        <f t="shared" si="376"/>
        <v>0</v>
      </c>
      <c r="L709" s="27">
        <f>IF(D709="no",F709*H672-J709,0)</f>
        <v>0</v>
      </c>
      <c r="M709" s="572"/>
      <c r="N709" s="564"/>
      <c r="O709" s="1"/>
      <c r="P709" s="3"/>
      <c r="Q709" s="1"/>
      <c r="R709" s="1"/>
      <c r="S709" s="1"/>
      <c r="T709" s="1"/>
      <c r="U709" s="4"/>
    </row>
    <row r="710" spans="1:21" ht="18.75" hidden="1" customHeight="1">
      <c r="A710" s="39"/>
      <c r="B710" s="29"/>
      <c r="C710" s="30"/>
      <c r="D710" s="38"/>
      <c r="E710" s="27"/>
      <c r="F710" s="31">
        <f t="shared" si="373"/>
        <v>0</v>
      </c>
      <c r="G710" s="27">
        <f t="shared" si="374"/>
        <v>0</v>
      </c>
      <c r="H710" s="32">
        <f>IF(D710="no",0,F710*H703)</f>
        <v>0</v>
      </c>
      <c r="I710" s="33">
        <f t="shared" si="375"/>
        <v>0</v>
      </c>
      <c r="J710" s="26"/>
      <c r="K710" s="27">
        <f t="shared" si="376"/>
        <v>0</v>
      </c>
      <c r="L710" s="27">
        <f t="shared" ref="L710:L720" si="377">IF(D710="no",F710*H672-J710,0)</f>
        <v>0</v>
      </c>
      <c r="M710" s="563"/>
      <c r="N710" s="564"/>
      <c r="O710" s="1"/>
      <c r="P710" s="3"/>
      <c r="Q710" s="1"/>
      <c r="R710" s="1"/>
      <c r="S710" s="1"/>
      <c r="T710" s="1"/>
      <c r="U710" s="4"/>
    </row>
    <row r="711" spans="1:21" ht="18.75" hidden="1" customHeight="1">
      <c r="A711" s="28"/>
      <c r="B711" s="29"/>
      <c r="C711" s="30"/>
      <c r="D711" s="38"/>
      <c r="E711" s="27"/>
      <c r="F711" s="31">
        <f t="shared" si="373"/>
        <v>0</v>
      </c>
      <c r="G711" s="27">
        <f t="shared" si="374"/>
        <v>0</v>
      </c>
      <c r="H711" s="32">
        <f>IF(D711="no",0,F711*H703)</f>
        <v>0</v>
      </c>
      <c r="I711" s="33">
        <f t="shared" si="375"/>
        <v>0</v>
      </c>
      <c r="J711" s="26"/>
      <c r="K711" s="27">
        <f t="shared" si="376"/>
        <v>0</v>
      </c>
      <c r="L711" s="27">
        <f t="shared" si="377"/>
        <v>0</v>
      </c>
      <c r="M711" s="572"/>
      <c r="N711" s="564"/>
      <c r="O711" s="1"/>
      <c r="P711" s="3"/>
      <c r="Q711" s="1"/>
      <c r="R711" s="1"/>
      <c r="S711" s="1"/>
      <c r="T711" s="1"/>
      <c r="U711" s="4"/>
    </row>
    <row r="712" spans="1:21" ht="18.75" hidden="1" customHeight="1">
      <c r="A712" s="39"/>
      <c r="B712" s="29"/>
      <c r="C712" s="30"/>
      <c r="D712" s="95"/>
      <c r="E712" s="102"/>
      <c r="F712" s="31">
        <f t="shared" si="373"/>
        <v>0</v>
      </c>
      <c r="G712" s="27">
        <f t="shared" si="374"/>
        <v>0</v>
      </c>
      <c r="H712" s="32">
        <f>IF(D712="no",0,F712*H703)</f>
        <v>0</v>
      </c>
      <c r="I712" s="33">
        <f t="shared" si="375"/>
        <v>0</v>
      </c>
      <c r="J712" s="26"/>
      <c r="K712" s="27">
        <f t="shared" si="376"/>
        <v>0</v>
      </c>
      <c r="L712" s="27">
        <f t="shared" si="377"/>
        <v>0</v>
      </c>
      <c r="M712" s="572"/>
      <c r="N712" s="564"/>
      <c r="O712" s="1"/>
      <c r="P712" s="3"/>
      <c r="Q712" s="1"/>
      <c r="R712" s="1"/>
      <c r="S712" s="1"/>
      <c r="T712" s="1"/>
      <c r="U712" s="4"/>
    </row>
    <row r="713" spans="1:21" ht="18.75" hidden="1" customHeight="1">
      <c r="A713" s="39"/>
      <c r="B713" s="29"/>
      <c r="C713" s="30"/>
      <c r="D713" s="38"/>
      <c r="E713" s="102"/>
      <c r="F713" s="31">
        <f t="shared" si="373"/>
        <v>0</v>
      </c>
      <c r="G713" s="27">
        <f t="shared" si="374"/>
        <v>0</v>
      </c>
      <c r="H713" s="32">
        <f>IF(D713="no",0,F713*H730)</f>
        <v>0</v>
      </c>
      <c r="I713" s="33">
        <f t="shared" si="375"/>
        <v>0</v>
      </c>
      <c r="J713" s="26"/>
      <c r="K713" s="27">
        <f t="shared" si="376"/>
        <v>0</v>
      </c>
      <c r="L713" s="27">
        <f t="shared" si="377"/>
        <v>0</v>
      </c>
      <c r="M713" s="572"/>
      <c r="N713" s="564"/>
      <c r="O713" s="1"/>
      <c r="P713" s="3"/>
      <c r="Q713" s="1"/>
      <c r="R713" s="1"/>
      <c r="S713" s="1"/>
      <c r="T713" s="1"/>
      <c r="U713" s="4"/>
    </row>
    <row r="714" spans="1:21" ht="18.75" hidden="1" customHeight="1">
      <c r="A714" s="28"/>
      <c r="B714" s="29"/>
      <c r="C714" s="30"/>
      <c r="D714" s="38"/>
      <c r="E714" s="27"/>
      <c r="F714" s="31">
        <f t="shared" si="373"/>
        <v>0</v>
      </c>
      <c r="G714" s="27">
        <f t="shared" si="374"/>
        <v>0</v>
      </c>
      <c r="H714" s="32">
        <f>IF(D714="no",0,F714*H730)</f>
        <v>0</v>
      </c>
      <c r="I714" s="33">
        <f t="shared" si="375"/>
        <v>0</v>
      </c>
      <c r="J714" s="26"/>
      <c r="K714" s="27">
        <f t="shared" si="376"/>
        <v>0</v>
      </c>
      <c r="L714" s="27">
        <f t="shared" si="377"/>
        <v>0</v>
      </c>
      <c r="M714" s="563"/>
      <c r="N714" s="564"/>
      <c r="O714" s="1"/>
      <c r="P714" s="3"/>
      <c r="Q714" s="1"/>
      <c r="R714" s="1"/>
      <c r="S714" s="1"/>
      <c r="T714" s="1"/>
      <c r="U714" s="4"/>
    </row>
    <row r="715" spans="1:21" ht="18.75" hidden="1" customHeight="1">
      <c r="A715" s="39"/>
      <c r="B715" s="29"/>
      <c r="C715" s="30"/>
      <c r="D715" s="38"/>
      <c r="E715" s="102"/>
      <c r="F715" s="31">
        <f t="shared" si="373"/>
        <v>0</v>
      </c>
      <c r="G715" s="27">
        <f t="shared" si="374"/>
        <v>0</v>
      </c>
      <c r="H715" s="32">
        <f>IF(D715="no",0,F715*H703)</f>
        <v>0</v>
      </c>
      <c r="I715" s="33">
        <f t="shared" si="375"/>
        <v>0</v>
      </c>
      <c r="J715" s="26"/>
      <c r="K715" s="27">
        <f t="shared" si="376"/>
        <v>0</v>
      </c>
      <c r="L715" s="27">
        <f t="shared" si="377"/>
        <v>0</v>
      </c>
      <c r="M715" s="572"/>
      <c r="N715" s="564"/>
      <c r="O715" s="1"/>
      <c r="P715" s="3"/>
      <c r="Q715" s="1"/>
      <c r="R715" s="1"/>
      <c r="S715" s="1"/>
      <c r="T715" s="1"/>
      <c r="U715" s="4"/>
    </row>
    <row r="716" spans="1:21" ht="18.75" hidden="1" customHeight="1">
      <c r="A716" s="28"/>
      <c r="B716" s="29"/>
      <c r="C716" s="30"/>
      <c r="D716" s="38"/>
      <c r="E716" s="27"/>
      <c r="F716" s="31">
        <f t="shared" si="373"/>
        <v>0</v>
      </c>
      <c r="G716" s="27">
        <f t="shared" si="374"/>
        <v>0</v>
      </c>
      <c r="H716" s="32">
        <f>IF(D716="no",0,F716*H703)</f>
        <v>0</v>
      </c>
      <c r="I716" s="33">
        <f t="shared" si="375"/>
        <v>0</v>
      </c>
      <c r="J716" s="26"/>
      <c r="K716" s="27">
        <f t="shared" si="376"/>
        <v>0</v>
      </c>
      <c r="L716" s="27">
        <f t="shared" si="377"/>
        <v>0</v>
      </c>
      <c r="M716" s="563"/>
      <c r="N716" s="564"/>
      <c r="O716" s="1"/>
      <c r="P716" s="3"/>
      <c r="Q716" s="1"/>
      <c r="R716" s="1"/>
      <c r="S716" s="1"/>
      <c r="T716" s="1"/>
      <c r="U716" s="4"/>
    </row>
    <row r="717" spans="1:21" ht="18.75" hidden="1" customHeight="1">
      <c r="A717" s="28"/>
      <c r="B717" s="29"/>
      <c r="C717" s="30"/>
      <c r="D717" s="21"/>
      <c r="E717" s="27"/>
      <c r="F717" s="31">
        <f t="shared" si="373"/>
        <v>0</v>
      </c>
      <c r="G717" s="27">
        <f t="shared" si="374"/>
        <v>0</v>
      </c>
      <c r="H717" s="32">
        <f>IF(D717="no",0,F717*H703)</f>
        <v>0</v>
      </c>
      <c r="I717" s="33">
        <f t="shared" si="375"/>
        <v>0</v>
      </c>
      <c r="J717" s="26"/>
      <c r="K717" s="27">
        <f t="shared" si="376"/>
        <v>0</v>
      </c>
      <c r="L717" s="27">
        <f t="shared" si="377"/>
        <v>0</v>
      </c>
      <c r="M717" s="572"/>
      <c r="N717" s="564"/>
      <c r="O717" s="1"/>
      <c r="P717" s="3"/>
      <c r="Q717" s="1"/>
      <c r="R717" s="1"/>
      <c r="S717" s="1"/>
      <c r="T717" s="1"/>
      <c r="U717" s="4"/>
    </row>
    <row r="718" spans="1:21" ht="18.75" hidden="1" customHeight="1">
      <c r="A718" s="28"/>
      <c r="B718" s="29"/>
      <c r="C718" s="30"/>
      <c r="D718" s="38"/>
      <c r="E718" s="27"/>
      <c r="F718" s="31">
        <f t="shared" si="373"/>
        <v>0</v>
      </c>
      <c r="G718" s="27">
        <f t="shared" si="374"/>
        <v>0</v>
      </c>
      <c r="H718" s="32">
        <f>IF(D718="no",0,F718*H703)</f>
        <v>0</v>
      </c>
      <c r="I718" s="33">
        <f t="shared" si="375"/>
        <v>0</v>
      </c>
      <c r="J718" s="26"/>
      <c r="K718" s="27">
        <f t="shared" si="376"/>
        <v>0</v>
      </c>
      <c r="L718" s="27">
        <f t="shared" si="377"/>
        <v>0</v>
      </c>
      <c r="M718" s="572"/>
      <c r="N718" s="564"/>
      <c r="O718" s="1"/>
      <c r="P718" s="3"/>
      <c r="Q718" s="1"/>
      <c r="R718" s="1"/>
      <c r="S718" s="1"/>
      <c r="T718" s="1"/>
      <c r="U718" s="4"/>
    </row>
    <row r="719" spans="1:21" ht="18.75" hidden="1" customHeight="1">
      <c r="A719" s="28"/>
      <c r="B719" s="29"/>
      <c r="C719" s="30"/>
      <c r="D719" s="21"/>
      <c r="E719" s="27"/>
      <c r="F719" s="31">
        <f t="shared" si="373"/>
        <v>0</v>
      </c>
      <c r="G719" s="27">
        <f t="shared" si="374"/>
        <v>0</v>
      </c>
      <c r="H719" s="32"/>
      <c r="I719" s="33">
        <f t="shared" si="375"/>
        <v>0</v>
      </c>
      <c r="J719" s="26"/>
      <c r="K719" s="27">
        <f t="shared" si="376"/>
        <v>0</v>
      </c>
      <c r="L719" s="27">
        <f t="shared" si="377"/>
        <v>0</v>
      </c>
      <c r="M719" s="573"/>
      <c r="N719" s="564"/>
      <c r="O719" s="1"/>
      <c r="P719" s="3"/>
      <c r="Q719" s="1"/>
      <c r="R719" s="1"/>
      <c r="S719" s="1"/>
      <c r="T719" s="1"/>
      <c r="U719" s="4"/>
    </row>
    <row r="720" spans="1:21" ht="18.75" customHeight="1">
      <c r="A720" s="39"/>
      <c r="B720" s="29"/>
      <c r="C720" s="30"/>
      <c r="D720" s="21"/>
      <c r="E720" s="27"/>
      <c r="F720" s="31">
        <f t="shared" ref="F720:F724" si="378">IF(D720="no",E720,E720/1.1)</f>
        <v>0</v>
      </c>
      <c r="G720" s="27">
        <f t="shared" ref="G720:G724" si="379">IF(D720="no",0,F720*0.1)</f>
        <v>0</v>
      </c>
      <c r="H720" s="32">
        <f>IF(D720="no",0,F720*H703)</f>
        <v>0</v>
      </c>
      <c r="I720" s="33">
        <f t="shared" ref="I720:I723" si="380">IF(D720="no",0,H720*3.3%)</f>
        <v>0</v>
      </c>
      <c r="J720" s="26"/>
      <c r="K720" s="27">
        <f t="shared" si="376"/>
        <v>0</v>
      </c>
      <c r="L720" s="27">
        <f t="shared" si="377"/>
        <v>0</v>
      </c>
      <c r="M720" s="572"/>
      <c r="N720" s="564"/>
      <c r="O720" s="1"/>
      <c r="P720" s="3"/>
      <c r="Q720" s="1"/>
      <c r="R720" s="1"/>
      <c r="S720" s="1"/>
      <c r="T720" s="1"/>
      <c r="U720" s="4"/>
    </row>
    <row r="721" spans="1:21" s="321" customFormat="1" ht="18.75" customHeight="1">
      <c r="A721" s="39" t="s">
        <v>616</v>
      </c>
      <c r="B721" s="29" t="s">
        <v>343</v>
      </c>
      <c r="C721" s="30"/>
      <c r="D721" s="320"/>
      <c r="E721" s="27"/>
      <c r="F721" s="31">
        <f t="shared" si="378"/>
        <v>0</v>
      </c>
      <c r="G721" s="27">
        <f t="shared" si="379"/>
        <v>0</v>
      </c>
      <c r="H721" s="37">
        <f>IF(D721="no",0,F721*H703)</f>
        <v>0</v>
      </c>
      <c r="I721" s="33">
        <f t="shared" si="380"/>
        <v>0</v>
      </c>
      <c r="J721" s="26"/>
      <c r="K721" s="27">
        <f t="shared" si="376"/>
        <v>0</v>
      </c>
      <c r="L721" s="40">
        <f>IF(D721="no",F721*H696-J721,0)</f>
        <v>0</v>
      </c>
      <c r="M721" s="590"/>
      <c r="N721" s="564"/>
      <c r="O721" s="1"/>
      <c r="P721" s="3"/>
      <c r="Q721" s="1"/>
      <c r="R721" s="1"/>
      <c r="S721" s="1"/>
      <c r="T721" s="1"/>
      <c r="U721" s="4"/>
    </row>
    <row r="722" spans="1:21" ht="18.75" customHeight="1">
      <c r="A722" s="39" t="s">
        <v>616</v>
      </c>
      <c r="B722" s="29" t="s">
        <v>35</v>
      </c>
      <c r="C722" s="30"/>
      <c r="D722" s="21"/>
      <c r="E722" s="27"/>
      <c r="F722" s="31">
        <f t="shared" si="378"/>
        <v>0</v>
      </c>
      <c r="G722" s="27">
        <f t="shared" si="379"/>
        <v>0</v>
      </c>
      <c r="H722" s="32">
        <f>IF(D722="no",0,F722*H683)</f>
        <v>0</v>
      </c>
      <c r="I722" s="33">
        <f t="shared" si="380"/>
        <v>0</v>
      </c>
      <c r="J722" s="26"/>
      <c r="K722" s="27">
        <f>IF(D722="no",0,H722-I722-J722)</f>
        <v>0</v>
      </c>
      <c r="L722" s="27">
        <f>IF(D722="no",F722*H683-J722,0)</f>
        <v>0</v>
      </c>
      <c r="M722" s="574"/>
      <c r="N722" s="564"/>
      <c r="O722" s="1"/>
      <c r="P722" s="3"/>
      <c r="Q722" s="1"/>
      <c r="R722" s="1"/>
      <c r="S722" s="1"/>
      <c r="T722" s="1"/>
      <c r="U722" s="4"/>
    </row>
    <row r="723" spans="1:21" ht="18.75" customHeight="1">
      <c r="A723" s="39" t="s">
        <v>616</v>
      </c>
      <c r="B723" s="29" t="s">
        <v>61</v>
      </c>
      <c r="C723" s="30"/>
      <c r="D723" s="38"/>
      <c r="E723" s="27"/>
      <c r="F723" s="31">
        <f t="shared" si="378"/>
        <v>0</v>
      </c>
      <c r="G723" s="27">
        <f t="shared" si="379"/>
        <v>0</v>
      </c>
      <c r="H723" s="32">
        <f>IF(D723="no",0,F723*H684)</f>
        <v>0</v>
      </c>
      <c r="I723" s="33">
        <f t="shared" si="380"/>
        <v>0</v>
      </c>
      <c r="J723" s="26"/>
      <c r="K723" s="27">
        <f t="shared" si="376"/>
        <v>0</v>
      </c>
      <c r="L723" s="27">
        <f>IF(D723="no",F723*H684-J723,0)</f>
        <v>0</v>
      </c>
      <c r="M723" s="572"/>
      <c r="N723" s="564"/>
      <c r="O723" s="1"/>
      <c r="P723" s="3"/>
      <c r="Q723" s="1"/>
      <c r="R723" s="1"/>
      <c r="S723" s="1"/>
      <c r="T723" s="1"/>
      <c r="U723" s="4"/>
    </row>
    <row r="724" spans="1:21" ht="18.75" customHeight="1">
      <c r="A724" s="39" t="s">
        <v>616</v>
      </c>
      <c r="B724" s="29" t="s">
        <v>37</v>
      </c>
      <c r="C724" s="30"/>
      <c r="D724" s="21"/>
      <c r="E724" s="27"/>
      <c r="F724" s="31">
        <f t="shared" si="378"/>
        <v>0</v>
      </c>
      <c r="G724" s="27">
        <f t="shared" si="379"/>
        <v>0</v>
      </c>
      <c r="H724" s="37"/>
      <c r="I724" s="33">
        <f>IF(D724="no",0,H724*3.3%)</f>
        <v>0</v>
      </c>
      <c r="J724" s="26"/>
      <c r="K724" s="27">
        <f>IF(D724="no",0,H724-I724-J724)</f>
        <v>0</v>
      </c>
      <c r="L724" s="27">
        <f>IF(D724="no",F724*H685-J724,0)</f>
        <v>0</v>
      </c>
      <c r="M724" s="572"/>
      <c r="N724" s="564"/>
      <c r="O724" s="1"/>
      <c r="P724" s="3"/>
      <c r="Q724" s="1"/>
      <c r="R724" s="1"/>
      <c r="S724" s="1"/>
      <c r="T724" s="1"/>
      <c r="U724" s="4"/>
    </row>
    <row r="725" spans="1:21" s="268" customFormat="1" ht="18.75" customHeight="1">
      <c r="A725" s="39" t="s">
        <v>616</v>
      </c>
      <c r="B725" s="29" t="s">
        <v>106</v>
      </c>
      <c r="C725" s="30"/>
      <c r="D725" s="267"/>
      <c r="E725" s="27"/>
      <c r="F725" s="31">
        <f t="shared" ref="F725" si="381">IF(D725="no",E725,E725/1.1)</f>
        <v>0</v>
      </c>
      <c r="G725" s="27">
        <f t="shared" ref="G725" si="382">IF(D725="no",0,F725*0.1)</f>
        <v>0</v>
      </c>
      <c r="H725" s="32">
        <f>IF(D725="no",0,F725*H702)</f>
        <v>0</v>
      </c>
      <c r="I725" s="33">
        <f t="shared" si="375"/>
        <v>0</v>
      </c>
      <c r="J725" s="26"/>
      <c r="K725" s="27">
        <f t="shared" si="376"/>
        <v>0</v>
      </c>
      <c r="L725" s="27">
        <f>IF(D725="no",F725*H686-J725,0)</f>
        <v>0</v>
      </c>
      <c r="M725" s="625"/>
      <c r="N725" s="601"/>
      <c r="O725" s="1"/>
      <c r="P725" s="3"/>
      <c r="Q725" s="1"/>
      <c r="R725" s="1"/>
      <c r="S725" s="1"/>
      <c r="T725" s="1"/>
      <c r="U725" s="4"/>
    </row>
    <row r="726" spans="1:21" ht="18.75" customHeight="1">
      <c r="A726" s="575" t="s">
        <v>42</v>
      </c>
      <c r="B726" s="576"/>
      <c r="C726" s="576"/>
      <c r="D726" s="577"/>
      <c r="E726" s="42">
        <f t="shared" ref="E726:L726" si="383">SUM(E705:E725)</f>
        <v>1210000</v>
      </c>
      <c r="F726" s="17">
        <f t="shared" si="383"/>
        <v>1099999.9999999998</v>
      </c>
      <c r="G726" s="42">
        <f t="shared" si="383"/>
        <v>110000</v>
      </c>
      <c r="H726" s="42">
        <f t="shared" si="383"/>
        <v>549999.99999999988</v>
      </c>
      <c r="I726" s="42">
        <f t="shared" si="383"/>
        <v>18150</v>
      </c>
      <c r="J726" s="42">
        <f t="shared" si="383"/>
        <v>0</v>
      </c>
      <c r="K726" s="42">
        <f t="shared" si="383"/>
        <v>531849.99999999988</v>
      </c>
      <c r="L726" s="42">
        <f t="shared" si="383"/>
        <v>0</v>
      </c>
      <c r="M726" s="44"/>
      <c r="N726" s="45"/>
      <c r="O726" s="1"/>
      <c r="P726" s="3"/>
      <c r="Q726" s="1"/>
      <c r="R726" s="1"/>
      <c r="S726" s="1"/>
      <c r="T726" s="1"/>
      <c r="U726" s="4"/>
    </row>
    <row r="727" spans="1:21" ht="18.75" customHeight="1">
      <c r="A727" s="46" t="s">
        <v>37</v>
      </c>
      <c r="B727" s="47" t="s">
        <v>43</v>
      </c>
      <c r="C727" s="48">
        <f>D703</f>
        <v>2</v>
      </c>
      <c r="D727" s="47" t="s">
        <v>44</v>
      </c>
      <c r="E727" s="49"/>
      <c r="F727" s="84"/>
      <c r="G727" s="85"/>
      <c r="H727" s="49"/>
      <c r="I727" s="53" t="s">
        <v>46</v>
      </c>
      <c r="J727" s="54"/>
      <c r="K727" s="50"/>
      <c r="L727" s="55"/>
      <c r="M727" s="63"/>
      <c r="N727" s="64"/>
      <c r="O727" s="1"/>
      <c r="P727" s="24"/>
      <c r="Q727" s="1"/>
      <c r="R727" s="1"/>
      <c r="S727" s="1"/>
      <c r="T727" s="1"/>
      <c r="U727" s="4"/>
    </row>
    <row r="728" spans="1:21" ht="16.5" customHeight="1" thickBot="1">
      <c r="A728" s="56" t="s">
        <v>48</v>
      </c>
      <c r="B728" s="57" t="s">
        <v>49</v>
      </c>
      <c r="C728" s="58">
        <f>ROUND(F726/10000,0)</f>
        <v>110</v>
      </c>
      <c r="D728" s="57" t="s">
        <v>50</v>
      </c>
      <c r="E728" s="52"/>
      <c r="F728" s="86"/>
      <c r="G728" s="87"/>
      <c r="H728" s="52"/>
      <c r="I728" s="59"/>
      <c r="J728" s="61"/>
      <c r="K728" s="59"/>
      <c r="L728" s="62"/>
      <c r="M728" s="63"/>
      <c r="N728" s="64"/>
      <c r="O728" s="1"/>
      <c r="P728" s="73"/>
      <c r="Q728" s="1"/>
      <c r="R728" s="1"/>
      <c r="S728" s="1"/>
      <c r="T728" s="1"/>
      <c r="U728" s="4"/>
    </row>
    <row r="729" spans="1:21" ht="18.75" customHeight="1" thickBot="1">
      <c r="A729" s="566" t="s">
        <v>52</v>
      </c>
      <c r="B729" s="567"/>
      <c r="C729" s="567"/>
      <c r="D729" s="568"/>
      <c r="E729" s="65"/>
      <c r="F729" s="569" t="s">
        <v>53</v>
      </c>
      <c r="G729" s="568"/>
      <c r="H729" s="66">
        <f>H726-J727</f>
        <v>549999.99999999988</v>
      </c>
      <c r="I729" s="67">
        <f>H729*3.3%</f>
        <v>18149.999999999996</v>
      </c>
      <c r="J729" s="68">
        <f>SUM(J726)</f>
        <v>0</v>
      </c>
      <c r="K729" s="69">
        <f>H729-I729-J729</f>
        <v>531849.99999999988</v>
      </c>
      <c r="L729" s="70">
        <f>L726+SUM(H727:H728)+J728</f>
        <v>0</v>
      </c>
      <c r="M729" s="570">
        <f>K729+L729</f>
        <v>531849.99999999988</v>
      </c>
      <c r="N729" s="571"/>
      <c r="O729" s="1"/>
      <c r="P729" s="3"/>
      <c r="Q729" s="1"/>
      <c r="R729" s="1"/>
      <c r="S729" s="1"/>
      <c r="T729" s="1"/>
      <c r="U729" s="4"/>
    </row>
    <row r="730" spans="1:21" ht="19.5" customHeight="1">
      <c r="A730" s="1"/>
      <c r="B730" s="1"/>
      <c r="C730" s="1"/>
      <c r="D730" s="1"/>
      <c r="E730" s="1"/>
      <c r="F730" s="1"/>
      <c r="G730" s="1"/>
      <c r="H730" s="141"/>
      <c r="I730" s="1"/>
      <c r="J730" s="1"/>
      <c r="K730" s="1"/>
      <c r="L730" s="1"/>
      <c r="M730" s="1"/>
      <c r="N730" s="1"/>
      <c r="O730" s="1"/>
      <c r="P730" s="3"/>
      <c r="Q730" s="1"/>
      <c r="R730" s="1"/>
      <c r="S730" s="1"/>
      <c r="T730" s="1"/>
      <c r="U730" s="4"/>
    </row>
    <row r="731" spans="1:21" ht="15" customHeight="1">
      <c r="A731" s="1"/>
      <c r="B731" s="1"/>
      <c r="C731" s="1"/>
      <c r="D731" s="1"/>
      <c r="E731" s="1"/>
      <c r="F731" s="1"/>
      <c r="G731" s="1"/>
      <c r="H731" s="141">
        <v>1</v>
      </c>
      <c r="I731" s="1"/>
      <c r="J731" s="1"/>
      <c r="K731" s="1"/>
      <c r="L731" s="1"/>
      <c r="M731" s="1"/>
      <c r="N731" s="1"/>
      <c r="O731" s="1"/>
      <c r="P731" s="3"/>
      <c r="Q731" s="1"/>
      <c r="R731" s="1"/>
      <c r="S731" s="1"/>
      <c r="T731" s="1"/>
      <c r="U731" s="4"/>
    </row>
    <row r="732" spans="1:21" ht="18.75" customHeight="1">
      <c r="A732" s="6" t="s">
        <v>109</v>
      </c>
      <c r="B732" s="7" t="str">
        <f>$B$34</f>
        <v>1월</v>
      </c>
      <c r="C732" s="8" t="s">
        <v>1</v>
      </c>
      <c r="D732" s="9">
        <f>COUNTIF($C734:$C761,"계약")+(COUNTIF($C734:$C761,"계약2")*2)</f>
        <v>1</v>
      </c>
      <c r="E732" s="3">
        <f>COUNTIF(C734:C763,"낙찰수수료")</f>
        <v>3</v>
      </c>
      <c r="F732" s="10" t="s">
        <v>826</v>
      </c>
      <c r="G732" s="89" t="s">
        <v>110</v>
      </c>
      <c r="H732" s="11">
        <v>0.5</v>
      </c>
      <c r="I732" s="12">
        <v>3.3000000000000002E-2</v>
      </c>
      <c r="J732" s="1"/>
      <c r="K732" s="1"/>
      <c r="L732" s="1"/>
      <c r="M732" s="1"/>
      <c r="N732" s="1"/>
      <c r="O732" s="1"/>
      <c r="P732" s="3"/>
      <c r="Q732" s="1"/>
      <c r="R732" s="1"/>
      <c r="S732" s="1"/>
      <c r="T732" s="1"/>
      <c r="U732" s="4"/>
    </row>
    <row r="733" spans="1:21" ht="18.75" customHeight="1">
      <c r="A733" s="13" t="s">
        <v>3</v>
      </c>
      <c r="B733" s="14" t="s">
        <v>4</v>
      </c>
      <c r="C733" s="14" t="s">
        <v>5</v>
      </c>
      <c r="D733" s="101" t="s">
        <v>6</v>
      </c>
      <c r="E733" s="16" t="s">
        <v>7</v>
      </c>
      <c r="F733" s="17" t="s">
        <v>8</v>
      </c>
      <c r="G733" s="14" t="s">
        <v>9</v>
      </c>
      <c r="H733" s="15" t="s">
        <v>10</v>
      </c>
      <c r="I733" s="14" t="s">
        <v>11</v>
      </c>
      <c r="J733" s="15" t="s">
        <v>12</v>
      </c>
      <c r="K733" s="14" t="s">
        <v>13</v>
      </c>
      <c r="L733" s="14" t="s">
        <v>14</v>
      </c>
      <c r="M733" s="579" t="s">
        <v>15</v>
      </c>
      <c r="N733" s="577"/>
      <c r="O733" s="1"/>
      <c r="P733" s="3"/>
      <c r="Q733" s="1"/>
      <c r="R733" s="1"/>
      <c r="S733" s="1"/>
      <c r="T733" s="1"/>
      <c r="U733" s="4"/>
    </row>
    <row r="734" spans="1:21" ht="18.75" customHeight="1">
      <c r="A734" s="522">
        <v>46037</v>
      </c>
      <c r="B734" s="523" t="s">
        <v>807</v>
      </c>
      <c r="C734" s="524" t="s">
        <v>56</v>
      </c>
      <c r="D734" s="528"/>
      <c r="E734" s="527">
        <v>10258721</v>
      </c>
      <c r="F734" s="31">
        <f t="shared" ref="F734:F756" si="384">IF(D734="no",E734,E734/1.1)</f>
        <v>9326110</v>
      </c>
      <c r="G734" s="27">
        <f t="shared" ref="G734:G756" si="385">IF(D734="no",0,F734*0.1)</f>
        <v>932611</v>
      </c>
      <c r="H734" s="32">
        <f>IF(D734="no",0,F734*H732)</f>
        <v>4663055</v>
      </c>
      <c r="I734" s="33">
        <f t="shared" ref="I734:I762" si="386">IF(D734="no",0,H734*3.3%)</f>
        <v>153880.815</v>
      </c>
      <c r="J734" s="26"/>
      <c r="K734" s="27">
        <f t="shared" ref="K734:K762" si="387">IF(D734="no",0,H734-I734-J734)</f>
        <v>4509174.1849999996</v>
      </c>
      <c r="L734" s="27">
        <f>IF(D734="no",F734*H873-J734,0)</f>
        <v>0</v>
      </c>
      <c r="M734" s="563"/>
      <c r="N734" s="564"/>
      <c r="O734" s="1"/>
      <c r="P734" s="3"/>
      <c r="Q734" s="1"/>
      <c r="R734" s="1"/>
      <c r="S734" s="1"/>
      <c r="T734" s="1"/>
      <c r="U734" s="4"/>
    </row>
    <row r="735" spans="1:21" ht="18.75" customHeight="1">
      <c r="A735" s="28">
        <v>46045</v>
      </c>
      <c r="B735" s="29" t="s">
        <v>841</v>
      </c>
      <c r="C735" s="30" t="s">
        <v>56</v>
      </c>
      <c r="D735" s="38"/>
      <c r="E735" s="27">
        <v>7946720</v>
      </c>
      <c r="F735" s="31">
        <f t="shared" si="384"/>
        <v>7224290.9090909082</v>
      </c>
      <c r="G735" s="27">
        <f t="shared" si="385"/>
        <v>722429.09090909082</v>
      </c>
      <c r="H735" s="112">
        <f>IF(D735="no",0,F735*H732)</f>
        <v>3612145.4545454541</v>
      </c>
      <c r="I735" s="33">
        <f t="shared" si="386"/>
        <v>119200.79999999999</v>
      </c>
      <c r="J735" s="26"/>
      <c r="K735" s="27">
        <f t="shared" si="387"/>
        <v>3492944.6545454543</v>
      </c>
      <c r="L735" s="27">
        <f>IF(D735="no",F735*H880-J735,0)</f>
        <v>0</v>
      </c>
      <c r="M735" s="572"/>
      <c r="N735" s="564"/>
      <c r="O735" s="1"/>
      <c r="P735" s="3"/>
      <c r="Q735" s="1"/>
      <c r="R735" s="1"/>
      <c r="S735" s="1"/>
      <c r="T735" s="1"/>
      <c r="U735" s="4"/>
    </row>
    <row r="736" spans="1:21" s="325" customFormat="1" ht="18.75" customHeight="1">
      <c r="A736" s="28">
        <v>46048</v>
      </c>
      <c r="B736" s="29" t="s">
        <v>808</v>
      </c>
      <c r="C736" s="30" t="s">
        <v>357</v>
      </c>
      <c r="D736" s="326"/>
      <c r="E736" s="27">
        <v>1100000</v>
      </c>
      <c r="F736" s="31">
        <f t="shared" ref="F736" si="388">IF(D736="no",E736,E736/1.1)</f>
        <v>999999.99999999988</v>
      </c>
      <c r="G736" s="27">
        <f t="shared" ref="G736" si="389">IF(D736="no",0,F736*0.1)</f>
        <v>100000</v>
      </c>
      <c r="H736" s="32">
        <f>IF(D736="no",0,F736*H732)</f>
        <v>499999.99999999994</v>
      </c>
      <c r="I736" s="33">
        <f t="shared" ref="I736" si="390">IF(D736="no",0,H736*3.3%)</f>
        <v>16500</v>
      </c>
      <c r="J736" s="26"/>
      <c r="K736" s="27">
        <f t="shared" ref="K736" si="391">IF(D736="no",0,H736-I736-J736)</f>
        <v>483499.99999999994</v>
      </c>
      <c r="L736" s="27">
        <f>IF(D736="no",F736*H881-J736,0)</f>
        <v>0</v>
      </c>
      <c r="M736" s="586"/>
      <c r="N736" s="587"/>
      <c r="O736" s="1"/>
      <c r="P736" s="3"/>
      <c r="Q736" s="1"/>
      <c r="R736" s="1"/>
      <c r="S736" s="1"/>
      <c r="T736" s="1"/>
      <c r="U736" s="4"/>
    </row>
    <row r="737" spans="1:21" ht="18.75" customHeight="1">
      <c r="A737" s="39">
        <v>46052</v>
      </c>
      <c r="B737" s="29" t="s">
        <v>818</v>
      </c>
      <c r="C737" s="30" t="s">
        <v>819</v>
      </c>
      <c r="D737" s="95"/>
      <c r="E737" s="102">
        <v>3300000</v>
      </c>
      <c r="F737" s="31">
        <f t="shared" si="384"/>
        <v>2999999.9999999995</v>
      </c>
      <c r="G737" s="27">
        <f t="shared" si="385"/>
        <v>299999.99999999994</v>
      </c>
      <c r="H737" s="32">
        <f>IF(D737="no",0,F737*H732)</f>
        <v>1499999.9999999998</v>
      </c>
      <c r="I737" s="33">
        <f t="shared" si="386"/>
        <v>49499.999999999993</v>
      </c>
      <c r="J737" s="26"/>
      <c r="K737" s="27">
        <f t="shared" si="387"/>
        <v>1450499.9999999998</v>
      </c>
      <c r="L737" s="27">
        <f>IF(D737="no",F737*H880-J737,0)</f>
        <v>0</v>
      </c>
      <c r="M737" s="572"/>
      <c r="N737" s="564"/>
      <c r="O737" s="1"/>
      <c r="P737" s="3"/>
      <c r="Q737" s="1"/>
      <c r="R737" s="1"/>
      <c r="S737" s="1"/>
      <c r="T737" s="1"/>
      <c r="U737" s="4"/>
    </row>
    <row r="738" spans="1:21" s="387" customFormat="1" ht="18.75" customHeight="1">
      <c r="A738" s="39">
        <v>46052</v>
      </c>
      <c r="B738" s="29" t="s">
        <v>838</v>
      </c>
      <c r="C738" s="30" t="s">
        <v>837</v>
      </c>
      <c r="D738" s="388"/>
      <c r="E738" s="27">
        <v>550000</v>
      </c>
      <c r="F738" s="31">
        <f t="shared" ref="F738" si="392">IF(D738="no",E738,E738/1.1)</f>
        <v>499999.99999999994</v>
      </c>
      <c r="G738" s="27">
        <f t="shared" ref="G738" si="393">IF(D738="no",0,F738*0.1)</f>
        <v>50000</v>
      </c>
      <c r="H738" s="32">
        <f>IF(D738="no",0,F738*H732)</f>
        <v>249999.99999999997</v>
      </c>
      <c r="I738" s="33">
        <f t="shared" ref="I738" si="394">IF(D738="no",0,H738*3.3%)</f>
        <v>8250</v>
      </c>
      <c r="J738" s="26"/>
      <c r="K738" s="27">
        <f t="shared" ref="K738" si="395">IF(D738="no",0,H738-I738-J738)</f>
        <v>241749.99999999997</v>
      </c>
      <c r="L738" s="27">
        <f>IF(D738="no",F738*H876-J738,0)</f>
        <v>0</v>
      </c>
      <c r="M738" s="572"/>
      <c r="N738" s="564"/>
      <c r="O738" s="1"/>
      <c r="P738" s="3"/>
      <c r="Q738" s="1"/>
      <c r="R738" s="1"/>
      <c r="S738" s="1"/>
      <c r="T738" s="1"/>
      <c r="U738" s="4"/>
    </row>
    <row r="739" spans="1:21" ht="18.75" customHeight="1">
      <c r="A739" s="39"/>
      <c r="B739" s="29"/>
      <c r="C739" s="30"/>
      <c r="D739" s="38"/>
      <c r="E739" s="102"/>
      <c r="F739" s="31">
        <f t="shared" si="384"/>
        <v>0</v>
      </c>
      <c r="G739" s="27">
        <f t="shared" si="385"/>
        <v>0</v>
      </c>
      <c r="H739" s="32">
        <f>IF(D739="no",0,F739*H732)</f>
        <v>0</v>
      </c>
      <c r="I739" s="33">
        <f t="shared" si="386"/>
        <v>0</v>
      </c>
      <c r="J739" s="26"/>
      <c r="K739" s="27">
        <f t="shared" si="387"/>
        <v>0</v>
      </c>
      <c r="L739" s="27">
        <f>IF(D739="no",F739*H880-J739,0)</f>
        <v>0</v>
      </c>
      <c r="M739" s="572"/>
      <c r="N739" s="564"/>
      <c r="O739" s="1"/>
      <c r="P739" s="3"/>
      <c r="Q739" s="1"/>
      <c r="R739" s="1"/>
      <c r="S739" s="1"/>
      <c r="T739" s="1"/>
      <c r="U739" s="4"/>
    </row>
    <row r="740" spans="1:21" ht="18.75" hidden="1" customHeight="1">
      <c r="A740" s="39"/>
      <c r="B740" s="29"/>
      <c r="C740" s="30"/>
      <c r="D740" s="38"/>
      <c r="E740" s="102"/>
      <c r="F740" s="31">
        <f t="shared" si="384"/>
        <v>0</v>
      </c>
      <c r="G740" s="27">
        <f t="shared" si="385"/>
        <v>0</v>
      </c>
      <c r="H740" s="32">
        <f>IF(D740="no",0,F740*H732)</f>
        <v>0</v>
      </c>
      <c r="I740" s="33">
        <f t="shared" si="386"/>
        <v>0</v>
      </c>
      <c r="J740" s="26"/>
      <c r="K740" s="27">
        <f t="shared" si="387"/>
        <v>0</v>
      </c>
      <c r="L740" s="27">
        <f>IF(D740="no",F740*H880-J740,0)</f>
        <v>0</v>
      </c>
      <c r="M740" s="563"/>
      <c r="N740" s="564"/>
      <c r="O740" s="1"/>
      <c r="P740" s="3"/>
      <c r="Q740" s="1"/>
      <c r="R740" s="1"/>
      <c r="S740" s="1"/>
      <c r="T740" s="1"/>
      <c r="U740" s="4"/>
    </row>
    <row r="741" spans="1:21" s="263" customFormat="1" ht="18.75" hidden="1" customHeight="1">
      <c r="A741" s="39"/>
      <c r="B741" s="29"/>
      <c r="C741" s="30"/>
      <c r="D741" s="262"/>
      <c r="E741" s="27"/>
      <c r="F741" s="31">
        <f t="shared" si="384"/>
        <v>0</v>
      </c>
      <c r="G741" s="111">
        <f t="shared" si="385"/>
        <v>0</v>
      </c>
      <c r="H741" s="32">
        <f>IF(D741="no",0,F741*H732)</f>
        <v>0</v>
      </c>
      <c r="I741" s="33">
        <f t="shared" ref="I741:I745" si="396">IF(D741="no",0,H741*3.3%)</f>
        <v>0</v>
      </c>
      <c r="J741" s="26"/>
      <c r="K741" s="27">
        <f t="shared" ref="K741:K745" si="397">IF(D741="no",0,H741-I741-J741)</f>
        <v>0</v>
      </c>
      <c r="L741" s="27">
        <f>IF(D741="no",F741*H877-J741,0)</f>
        <v>0</v>
      </c>
      <c r="M741" s="586"/>
      <c r="N741" s="587"/>
      <c r="O741" s="1"/>
      <c r="P741" s="3"/>
      <c r="Q741" s="1"/>
      <c r="R741" s="1"/>
      <c r="S741" s="1"/>
      <c r="T741" s="1"/>
      <c r="U741" s="4"/>
    </row>
    <row r="742" spans="1:21" s="263" customFormat="1" ht="18.75" hidden="1" customHeight="1">
      <c r="A742" s="28"/>
      <c r="B742" s="29"/>
      <c r="C742" s="30"/>
      <c r="D742" s="261"/>
      <c r="E742" s="27"/>
      <c r="F742" s="31">
        <f t="shared" ref="F742:F745" si="398">IF(D742="no",E742,E742/1.1)</f>
        <v>0</v>
      </c>
      <c r="G742" s="27">
        <f t="shared" ref="G742:G745" si="399">IF(D742="no",0,F742*0.1)</f>
        <v>0</v>
      </c>
      <c r="H742" s="32">
        <f>IF(D742="no",0,F742*H732)</f>
        <v>0</v>
      </c>
      <c r="I742" s="33">
        <f t="shared" si="396"/>
        <v>0</v>
      </c>
      <c r="J742" s="26"/>
      <c r="K742" s="27">
        <f t="shared" si="397"/>
        <v>0</v>
      </c>
      <c r="L742" s="27">
        <f>IF(D742="no",F742*H880-J742,0)</f>
        <v>0</v>
      </c>
      <c r="M742" s="572"/>
      <c r="N742" s="564"/>
      <c r="O742" s="1"/>
      <c r="P742" s="3"/>
      <c r="Q742" s="1"/>
      <c r="R742" s="1"/>
      <c r="S742" s="1"/>
      <c r="T742" s="1"/>
      <c r="U742" s="4"/>
    </row>
    <row r="743" spans="1:21" s="263" customFormat="1" ht="18.75" hidden="1" customHeight="1">
      <c r="A743" s="39"/>
      <c r="B743" s="29"/>
      <c r="C743" s="30"/>
      <c r="D743" s="260"/>
      <c r="E743" s="102"/>
      <c r="F743" s="31">
        <f t="shared" si="398"/>
        <v>0</v>
      </c>
      <c r="G743" s="27">
        <f t="shared" si="399"/>
        <v>0</v>
      </c>
      <c r="H743" s="32">
        <f>IF(D743="no",0,F743*H732)</f>
        <v>0</v>
      </c>
      <c r="I743" s="33">
        <f t="shared" si="396"/>
        <v>0</v>
      </c>
      <c r="J743" s="26"/>
      <c r="K743" s="27">
        <f t="shared" si="397"/>
        <v>0</v>
      </c>
      <c r="L743" s="27">
        <f>IF(D743="no",F743*H880-J743,0)</f>
        <v>0</v>
      </c>
      <c r="M743" s="572"/>
      <c r="N743" s="564"/>
      <c r="O743" s="1"/>
      <c r="P743" s="3"/>
      <c r="Q743" s="1"/>
      <c r="R743" s="1"/>
      <c r="S743" s="1"/>
      <c r="T743" s="1"/>
      <c r="U743" s="4"/>
    </row>
    <row r="744" spans="1:21" s="263" customFormat="1" ht="18.75" hidden="1" customHeight="1">
      <c r="A744" s="39"/>
      <c r="B744" s="29"/>
      <c r="C744" s="30"/>
      <c r="D744" s="261"/>
      <c r="E744" s="102"/>
      <c r="F744" s="31">
        <f t="shared" si="398"/>
        <v>0</v>
      </c>
      <c r="G744" s="27">
        <f t="shared" si="399"/>
        <v>0</v>
      </c>
      <c r="H744" s="32">
        <f>IF(D744="no",0,F744*H732)</f>
        <v>0</v>
      </c>
      <c r="I744" s="33">
        <f t="shared" si="396"/>
        <v>0</v>
      </c>
      <c r="J744" s="26"/>
      <c r="K744" s="27">
        <f t="shared" si="397"/>
        <v>0</v>
      </c>
      <c r="L744" s="27">
        <f>IF(D744="no",F744*H880-J744,0)</f>
        <v>0</v>
      </c>
      <c r="M744" s="572"/>
      <c r="N744" s="564"/>
      <c r="O744" s="1"/>
      <c r="P744" s="3"/>
      <c r="Q744" s="1"/>
      <c r="R744" s="1"/>
      <c r="S744" s="1"/>
      <c r="T744" s="1"/>
      <c r="U744" s="4"/>
    </row>
    <row r="745" spans="1:21" s="263" customFormat="1" ht="18.75" hidden="1" customHeight="1">
      <c r="A745" s="28"/>
      <c r="B745" s="29"/>
      <c r="C745" s="30"/>
      <c r="D745" s="261"/>
      <c r="E745" s="27"/>
      <c r="F745" s="31">
        <f t="shared" si="398"/>
        <v>0</v>
      </c>
      <c r="G745" s="27">
        <f t="shared" si="399"/>
        <v>0</v>
      </c>
      <c r="H745" s="32">
        <f>IF(D745="no",0,F745*H880)</f>
        <v>0</v>
      </c>
      <c r="I745" s="33">
        <f t="shared" si="396"/>
        <v>0</v>
      </c>
      <c r="J745" s="26"/>
      <c r="K745" s="27">
        <f t="shared" si="397"/>
        <v>0</v>
      </c>
      <c r="L745" s="27">
        <f t="shared" ref="L745:L750" si="400">IF(D745="no",F745*H879-J745,0)</f>
        <v>0</v>
      </c>
      <c r="M745" s="563"/>
      <c r="N745" s="564"/>
      <c r="O745" s="1"/>
      <c r="P745" s="3"/>
      <c r="Q745" s="1"/>
      <c r="R745" s="1"/>
      <c r="S745" s="1"/>
      <c r="T745" s="1"/>
      <c r="U745" s="4"/>
    </row>
    <row r="746" spans="1:21" ht="18.75" hidden="1" customHeight="1">
      <c r="A746" s="28"/>
      <c r="B746" s="29"/>
      <c r="C746" s="30"/>
      <c r="D746" s="21"/>
      <c r="E746" s="27"/>
      <c r="F746" s="31">
        <f t="shared" si="384"/>
        <v>0</v>
      </c>
      <c r="G746" s="27">
        <f t="shared" si="385"/>
        <v>0</v>
      </c>
      <c r="H746" s="32">
        <f>IF(D746="no",0,F746*H732)</f>
        <v>0</v>
      </c>
      <c r="I746" s="33">
        <f t="shared" si="386"/>
        <v>0</v>
      </c>
      <c r="J746" s="26"/>
      <c r="K746" s="27">
        <f t="shared" si="387"/>
        <v>0</v>
      </c>
      <c r="L746" s="27">
        <f t="shared" si="400"/>
        <v>0</v>
      </c>
      <c r="M746" s="572"/>
      <c r="N746" s="564"/>
      <c r="O746" s="1"/>
      <c r="P746" s="3"/>
      <c r="Q746" s="1"/>
      <c r="R746" s="1"/>
      <c r="S746" s="1"/>
      <c r="T746" s="1"/>
      <c r="U746" s="4"/>
    </row>
    <row r="747" spans="1:21" ht="18.75" hidden="1" customHeight="1">
      <c r="A747" s="28"/>
      <c r="B747" s="29"/>
      <c r="C747" s="30"/>
      <c r="D747" s="38"/>
      <c r="E747" s="27"/>
      <c r="F747" s="31">
        <f t="shared" si="384"/>
        <v>0</v>
      </c>
      <c r="G747" s="27">
        <f t="shared" si="385"/>
        <v>0</v>
      </c>
      <c r="H747" s="32">
        <f>IF(D747="no",0,F747*H732)</f>
        <v>0</v>
      </c>
      <c r="I747" s="33">
        <f t="shared" si="386"/>
        <v>0</v>
      </c>
      <c r="J747" s="26"/>
      <c r="K747" s="27">
        <f t="shared" si="387"/>
        <v>0</v>
      </c>
      <c r="L747" s="27">
        <f t="shared" si="400"/>
        <v>0</v>
      </c>
      <c r="M747" s="572"/>
      <c r="N747" s="564"/>
      <c r="O747" s="1"/>
      <c r="P747" s="3"/>
      <c r="Q747" s="1"/>
      <c r="R747" s="1"/>
      <c r="S747" s="1"/>
      <c r="T747" s="1"/>
      <c r="U747" s="4"/>
    </row>
    <row r="748" spans="1:21" ht="18.75" hidden="1" customHeight="1">
      <c r="A748" s="39"/>
      <c r="B748" s="29"/>
      <c r="C748" s="30"/>
      <c r="D748" s="95"/>
      <c r="E748" s="102"/>
      <c r="F748" s="31">
        <f t="shared" si="384"/>
        <v>0</v>
      </c>
      <c r="G748" s="27">
        <f t="shared" si="385"/>
        <v>0</v>
      </c>
      <c r="H748" s="32">
        <f>IF(D748="no",0,F748*H732)</f>
        <v>0</v>
      </c>
      <c r="I748" s="33">
        <f t="shared" si="386"/>
        <v>0</v>
      </c>
      <c r="J748" s="26"/>
      <c r="K748" s="27">
        <f t="shared" si="387"/>
        <v>0</v>
      </c>
      <c r="L748" s="27">
        <f t="shared" si="400"/>
        <v>0</v>
      </c>
      <c r="M748" s="572"/>
      <c r="N748" s="564"/>
      <c r="O748" s="1"/>
      <c r="P748" s="3"/>
      <c r="Q748" s="1"/>
      <c r="R748" s="1"/>
      <c r="S748" s="1"/>
      <c r="T748" s="1"/>
      <c r="U748" s="4"/>
    </row>
    <row r="749" spans="1:21" ht="18.75" hidden="1" customHeight="1">
      <c r="A749" s="39"/>
      <c r="B749" s="29"/>
      <c r="C749" s="30"/>
      <c r="D749" s="38"/>
      <c r="E749" s="102"/>
      <c r="F749" s="31">
        <f t="shared" si="384"/>
        <v>0</v>
      </c>
      <c r="G749" s="27">
        <f t="shared" si="385"/>
        <v>0</v>
      </c>
      <c r="H749" s="32">
        <f>IF(D749="no",0,F749*H732)</f>
        <v>0</v>
      </c>
      <c r="I749" s="33">
        <f t="shared" si="386"/>
        <v>0</v>
      </c>
      <c r="J749" s="26"/>
      <c r="K749" s="27">
        <f t="shared" si="387"/>
        <v>0</v>
      </c>
      <c r="L749" s="27">
        <f t="shared" si="400"/>
        <v>0</v>
      </c>
      <c r="M749" s="572"/>
      <c r="N749" s="564"/>
      <c r="O749" s="1"/>
      <c r="P749" s="3"/>
      <c r="Q749" s="1"/>
      <c r="R749" s="1"/>
      <c r="S749" s="1"/>
      <c r="T749" s="1"/>
      <c r="U749" s="4"/>
    </row>
    <row r="750" spans="1:21" ht="18.75" hidden="1" customHeight="1">
      <c r="A750" s="28"/>
      <c r="B750" s="29"/>
      <c r="C750" s="30"/>
      <c r="D750" s="38"/>
      <c r="E750" s="27"/>
      <c r="F750" s="31">
        <f t="shared" si="384"/>
        <v>0</v>
      </c>
      <c r="G750" s="27">
        <f t="shared" si="385"/>
        <v>0</v>
      </c>
      <c r="H750" s="32">
        <f>IF(D750="no",0,F750*H732)</f>
        <v>0</v>
      </c>
      <c r="I750" s="33">
        <f t="shared" si="386"/>
        <v>0</v>
      </c>
      <c r="J750" s="26"/>
      <c r="K750" s="27">
        <f t="shared" si="387"/>
        <v>0</v>
      </c>
      <c r="L750" s="27">
        <f t="shared" si="400"/>
        <v>0</v>
      </c>
      <c r="M750" s="563"/>
      <c r="N750" s="564"/>
      <c r="O750" s="1"/>
      <c r="P750" s="3"/>
      <c r="Q750" s="1"/>
      <c r="R750" s="1"/>
      <c r="S750" s="1"/>
      <c r="T750" s="1"/>
      <c r="U750" s="4"/>
    </row>
    <row r="751" spans="1:21" ht="18.75" hidden="1" customHeight="1">
      <c r="A751" s="28"/>
      <c r="B751" s="29"/>
      <c r="C751" s="30"/>
      <c r="D751" s="38"/>
      <c r="E751" s="27"/>
      <c r="F751" s="31">
        <f t="shared" si="384"/>
        <v>0</v>
      </c>
      <c r="G751" s="27">
        <f t="shared" si="385"/>
        <v>0</v>
      </c>
      <c r="H751" s="32">
        <f>IF(D751="no",0,F751*H732)</f>
        <v>0</v>
      </c>
      <c r="I751" s="33">
        <f t="shared" si="386"/>
        <v>0</v>
      </c>
      <c r="J751" s="26"/>
      <c r="K751" s="27">
        <f t="shared" si="387"/>
        <v>0</v>
      </c>
      <c r="L751" s="27">
        <f>IF(D751="no",F751*H993-J751,0)</f>
        <v>0</v>
      </c>
      <c r="M751" s="563"/>
      <c r="N751" s="564"/>
      <c r="O751" s="1"/>
      <c r="P751" s="3"/>
      <c r="Q751" s="1"/>
      <c r="R751" s="1"/>
      <c r="S751" s="1"/>
      <c r="T751" s="1"/>
      <c r="U751" s="4"/>
    </row>
    <row r="752" spans="1:21" ht="18.75" hidden="1" customHeight="1">
      <c r="A752" s="28"/>
      <c r="B752" s="29"/>
      <c r="C752" s="30"/>
      <c r="D752" s="21"/>
      <c r="E752" s="27"/>
      <c r="F752" s="31">
        <f t="shared" si="384"/>
        <v>0</v>
      </c>
      <c r="G752" s="27">
        <f t="shared" si="385"/>
        <v>0</v>
      </c>
      <c r="H752" s="32">
        <f>IF(D752="no",0,F752*H732)</f>
        <v>0</v>
      </c>
      <c r="I752" s="33">
        <f t="shared" si="386"/>
        <v>0</v>
      </c>
      <c r="J752" s="26"/>
      <c r="K752" s="27">
        <f t="shared" si="387"/>
        <v>0</v>
      </c>
      <c r="L752" s="27">
        <f>IF(D752="no",F752*H994-J752,0)</f>
        <v>0</v>
      </c>
      <c r="M752" s="572"/>
      <c r="N752" s="564"/>
      <c r="O752" s="1"/>
      <c r="P752" s="3"/>
      <c r="Q752" s="1"/>
      <c r="R752" s="1"/>
      <c r="S752" s="1"/>
      <c r="T752" s="1"/>
      <c r="U752" s="4"/>
    </row>
    <row r="753" spans="1:21" ht="18.75" hidden="1" customHeight="1">
      <c r="A753" s="28"/>
      <c r="B753" s="29"/>
      <c r="C753" s="30"/>
      <c r="D753" s="38"/>
      <c r="E753" s="27"/>
      <c r="F753" s="31">
        <f t="shared" si="384"/>
        <v>0</v>
      </c>
      <c r="G753" s="27">
        <f t="shared" si="385"/>
        <v>0</v>
      </c>
      <c r="H753" s="32">
        <f>IF(D753="no",0,F753*H732)</f>
        <v>0</v>
      </c>
      <c r="I753" s="33">
        <f t="shared" si="386"/>
        <v>0</v>
      </c>
      <c r="J753" s="26"/>
      <c r="K753" s="27">
        <f t="shared" si="387"/>
        <v>0</v>
      </c>
      <c r="L753" s="27">
        <f>IF(D753="no",F753*H995-J753,0)</f>
        <v>0</v>
      </c>
      <c r="M753" s="572"/>
      <c r="N753" s="564"/>
      <c r="O753" s="1"/>
      <c r="P753" s="3"/>
      <c r="Q753" s="1"/>
      <c r="R753" s="1"/>
      <c r="S753" s="1"/>
      <c r="T753" s="1"/>
      <c r="U753" s="4"/>
    </row>
    <row r="754" spans="1:21" ht="18.75" hidden="1" customHeight="1">
      <c r="A754" s="28"/>
      <c r="B754" s="29"/>
      <c r="C754" s="30"/>
      <c r="D754" s="21"/>
      <c r="E754" s="27"/>
      <c r="F754" s="31">
        <f t="shared" si="384"/>
        <v>0</v>
      </c>
      <c r="G754" s="27">
        <f t="shared" si="385"/>
        <v>0</v>
      </c>
      <c r="H754" s="32"/>
      <c r="I754" s="33">
        <f t="shared" si="386"/>
        <v>0</v>
      </c>
      <c r="J754" s="26"/>
      <c r="K754" s="27">
        <f t="shared" si="387"/>
        <v>0</v>
      </c>
      <c r="L754" s="27">
        <f>IF(D754="no",F754*H996-J754,0)</f>
        <v>0</v>
      </c>
      <c r="M754" s="573"/>
      <c r="N754" s="564"/>
      <c r="O754" s="1"/>
      <c r="P754" s="3"/>
      <c r="Q754" s="1"/>
      <c r="R754" s="1"/>
      <c r="S754" s="1"/>
      <c r="T754" s="1"/>
      <c r="U754" s="4"/>
    </row>
    <row r="755" spans="1:21" ht="18.75" customHeight="1">
      <c r="A755" s="39"/>
      <c r="B755" s="29"/>
      <c r="C755" s="30"/>
      <c r="D755" s="21"/>
      <c r="E755" s="27"/>
      <c r="F755" s="31">
        <f t="shared" si="384"/>
        <v>0</v>
      </c>
      <c r="G755" s="27">
        <f t="shared" si="385"/>
        <v>0</v>
      </c>
      <c r="H755" s="32">
        <f>IF(D755="no",0,F755*H732)</f>
        <v>0</v>
      </c>
      <c r="I755" s="33">
        <f t="shared" si="386"/>
        <v>0</v>
      </c>
      <c r="J755" s="26"/>
      <c r="K755" s="27">
        <f t="shared" si="387"/>
        <v>0</v>
      </c>
      <c r="L755" s="27">
        <f>IF(D755="no",F755*H997-J755,0)</f>
        <v>0</v>
      </c>
      <c r="M755" s="572"/>
      <c r="N755" s="564"/>
      <c r="O755" s="1"/>
      <c r="P755" s="3"/>
      <c r="Q755" s="1"/>
      <c r="R755" s="1"/>
      <c r="S755" s="1"/>
      <c r="T755" s="1"/>
      <c r="U755" s="4"/>
    </row>
    <row r="756" spans="1:21" s="321" customFormat="1" ht="18.75" customHeight="1">
      <c r="A756" s="39" t="s">
        <v>616</v>
      </c>
      <c r="B756" s="29" t="s">
        <v>343</v>
      </c>
      <c r="C756" s="30"/>
      <c r="D756" s="320"/>
      <c r="E756" s="27"/>
      <c r="F756" s="31">
        <f t="shared" si="384"/>
        <v>0</v>
      </c>
      <c r="G756" s="27">
        <f t="shared" si="385"/>
        <v>0</v>
      </c>
      <c r="H756" s="37">
        <f>IF(D756="no",0,F756*H732)</f>
        <v>0</v>
      </c>
      <c r="I756" s="33">
        <f t="shared" si="386"/>
        <v>0</v>
      </c>
      <c r="J756" s="26"/>
      <c r="K756" s="27">
        <f t="shared" si="387"/>
        <v>0</v>
      </c>
      <c r="L756" s="40">
        <f>IF(D756="no",F756*#REF!-J756,0)</f>
        <v>0</v>
      </c>
      <c r="M756" s="590"/>
      <c r="N756" s="564"/>
      <c r="O756" s="1"/>
      <c r="P756" s="3"/>
      <c r="Q756" s="1"/>
      <c r="R756" s="1"/>
      <c r="S756" s="1"/>
      <c r="T756" s="1"/>
      <c r="U756" s="4"/>
    </row>
    <row r="757" spans="1:21" ht="18.75" customHeight="1">
      <c r="A757" s="39" t="s">
        <v>616</v>
      </c>
      <c r="B757" s="29" t="s">
        <v>35</v>
      </c>
      <c r="C757" s="30"/>
      <c r="D757" s="21"/>
      <c r="E757" s="27"/>
      <c r="F757" s="31">
        <f>IF(D757="no",E757,E757/1.1)</f>
        <v>0</v>
      </c>
      <c r="G757" s="27">
        <f>IF(D757="no",0,F757*0.1)</f>
        <v>0</v>
      </c>
      <c r="H757" s="37">
        <f>IF(D757="no",0,F757*H732)</f>
        <v>0</v>
      </c>
      <c r="I757" s="33">
        <f t="shared" ref="I757" si="401">IF(D757="no",0,H757*3.3%)</f>
        <v>0</v>
      </c>
      <c r="J757" s="26"/>
      <c r="K757" s="27">
        <f>IF(D757="no",0,H757-I757-J757)</f>
        <v>0</v>
      </c>
      <c r="L757" s="27">
        <f t="shared" ref="L757:L762" si="402">IF(D757="no",F757*H998-J757,0)</f>
        <v>0</v>
      </c>
      <c r="M757" s="574"/>
      <c r="N757" s="564"/>
      <c r="O757" s="1"/>
      <c r="P757" s="3"/>
      <c r="Q757" s="1"/>
      <c r="R757" s="1"/>
      <c r="S757" s="1"/>
      <c r="T757" s="1"/>
      <c r="U757" s="4"/>
    </row>
    <row r="758" spans="1:21" ht="18.75" customHeight="1">
      <c r="A758" s="39" t="s">
        <v>616</v>
      </c>
      <c r="B758" s="29" t="s">
        <v>61</v>
      </c>
      <c r="C758" s="30"/>
      <c r="D758" s="38"/>
      <c r="E758" s="27"/>
      <c r="F758" s="31">
        <f t="shared" ref="F758" si="403">IF(D758="no",E758,E758/1.1)</f>
        <v>0</v>
      </c>
      <c r="G758" s="27">
        <f t="shared" ref="G758" si="404">IF(D758="no",0,F758*0.1)</f>
        <v>0</v>
      </c>
      <c r="H758" s="32">
        <f>IF(D758="no",0,F758*H1000)</f>
        <v>0</v>
      </c>
      <c r="I758" s="33">
        <f t="shared" ref="I758" si="405">IF(D758="no",0,H758*3.3%)</f>
        <v>0</v>
      </c>
      <c r="J758" s="26"/>
      <c r="K758" s="27">
        <f t="shared" si="387"/>
        <v>0</v>
      </c>
      <c r="L758" s="27">
        <f t="shared" si="402"/>
        <v>0</v>
      </c>
      <c r="M758" s="572"/>
      <c r="N758" s="564"/>
      <c r="O758" s="1"/>
      <c r="P758" s="3"/>
      <c r="Q758" s="1"/>
      <c r="R758" s="1"/>
      <c r="S758" s="1"/>
      <c r="T758" s="1"/>
      <c r="U758" s="4"/>
    </row>
    <row r="759" spans="1:21" s="268" customFormat="1" ht="18.75" customHeight="1">
      <c r="A759" s="39" t="s">
        <v>616</v>
      </c>
      <c r="B759" s="29" t="s">
        <v>39</v>
      </c>
      <c r="C759" s="30"/>
      <c r="D759" s="266"/>
      <c r="E759" s="27"/>
      <c r="F759" s="31">
        <f>IF(D759="no",E759,E759/1.1)</f>
        <v>0</v>
      </c>
      <c r="G759" s="27">
        <f>IF(D759="no",0,F759*0.1)</f>
        <v>0</v>
      </c>
      <c r="H759" s="285">
        <v>1000000</v>
      </c>
      <c r="I759" s="33">
        <f>IF(D759="no",0,H759*3.3%)</f>
        <v>33000</v>
      </c>
      <c r="J759" s="26"/>
      <c r="K759" s="27">
        <f>IF(D759="no",0,H759-I759-J759)</f>
        <v>967000</v>
      </c>
      <c r="L759" s="27">
        <f t="shared" si="402"/>
        <v>0</v>
      </c>
      <c r="M759" s="588"/>
      <c r="N759" s="564"/>
      <c r="O759" s="1"/>
      <c r="P759" s="3"/>
      <c r="Q759" s="1"/>
      <c r="R759" s="1"/>
      <c r="S759" s="1"/>
      <c r="T759" s="1"/>
      <c r="U759" s="4"/>
    </row>
    <row r="760" spans="1:21" s="268" customFormat="1" ht="18.75" customHeight="1">
      <c r="A760" s="39" t="s">
        <v>616</v>
      </c>
      <c r="B760" s="29" t="s">
        <v>71</v>
      </c>
      <c r="C760" s="30"/>
      <c r="D760" s="267"/>
      <c r="E760" s="27"/>
      <c r="F760" s="31">
        <f t="shared" ref="F760:F762" si="406">IF(D760="no",E760,E760/1.1)</f>
        <v>0</v>
      </c>
      <c r="G760" s="27">
        <f t="shared" ref="G760:G762" si="407">IF(D760="no",0,F760*0.1)</f>
        <v>0</v>
      </c>
      <c r="H760" s="32">
        <f>100000/0.967</f>
        <v>103412.61633919338</v>
      </c>
      <c r="I760" s="33">
        <f t="shared" si="386"/>
        <v>3412.6163391933819</v>
      </c>
      <c r="J760" s="26"/>
      <c r="K760" s="27">
        <f t="shared" si="387"/>
        <v>100000</v>
      </c>
      <c r="L760" s="27">
        <f t="shared" si="402"/>
        <v>0</v>
      </c>
      <c r="M760" s="572"/>
      <c r="N760" s="564"/>
      <c r="O760" s="1"/>
      <c r="P760" s="3"/>
      <c r="Q760" s="1"/>
      <c r="R760" s="1"/>
      <c r="S760" s="1"/>
      <c r="T760" s="1"/>
      <c r="U760" s="4"/>
    </row>
    <row r="761" spans="1:21" ht="18.75" customHeight="1">
      <c r="A761" s="39" t="s">
        <v>616</v>
      </c>
      <c r="B761" s="29" t="s">
        <v>37</v>
      </c>
      <c r="C761" s="30"/>
      <c r="D761" s="21"/>
      <c r="E761" s="27"/>
      <c r="F761" s="31">
        <f t="shared" si="406"/>
        <v>0</v>
      </c>
      <c r="G761" s="27">
        <f t="shared" si="407"/>
        <v>0</v>
      </c>
      <c r="H761" s="37"/>
      <c r="I761" s="33">
        <f>IF(D761="no",0,H761*3.3%)</f>
        <v>0</v>
      </c>
      <c r="J761" s="26"/>
      <c r="K761" s="27">
        <f>IF(D761="no",0,H761-I761-J761)</f>
        <v>0</v>
      </c>
      <c r="L761" s="27">
        <f t="shared" si="402"/>
        <v>0</v>
      </c>
      <c r="M761" s="572"/>
      <c r="N761" s="564"/>
      <c r="O761" s="1"/>
      <c r="P761" s="3"/>
      <c r="Q761" s="1"/>
      <c r="R761" s="1"/>
      <c r="S761" s="1"/>
      <c r="T761" s="1"/>
      <c r="U761" s="4"/>
    </row>
    <row r="762" spans="1:21" ht="18.75" customHeight="1">
      <c r="A762" s="39" t="s">
        <v>616</v>
      </c>
      <c r="B762" s="29" t="s">
        <v>106</v>
      </c>
      <c r="C762" s="30"/>
      <c r="D762" s="21"/>
      <c r="E762" s="27"/>
      <c r="F762" s="31">
        <f t="shared" si="406"/>
        <v>0</v>
      </c>
      <c r="G762" s="27">
        <f t="shared" si="407"/>
        <v>0</v>
      </c>
      <c r="H762" s="32">
        <f>IF(D762="no",0,F762*H1004)</f>
        <v>0</v>
      </c>
      <c r="I762" s="33">
        <f t="shared" si="386"/>
        <v>0</v>
      </c>
      <c r="J762" s="26"/>
      <c r="K762" s="27">
        <f t="shared" si="387"/>
        <v>0</v>
      </c>
      <c r="L762" s="27">
        <f t="shared" si="402"/>
        <v>0</v>
      </c>
      <c r="M762" s="625"/>
      <c r="N762" s="601"/>
      <c r="O762" s="1"/>
      <c r="P762" s="3"/>
      <c r="Q762" s="1"/>
      <c r="R762" s="1"/>
      <c r="S762" s="1"/>
      <c r="T762" s="1"/>
      <c r="U762" s="4"/>
    </row>
    <row r="763" spans="1:21" ht="18.75" customHeight="1">
      <c r="A763" s="575" t="s">
        <v>42</v>
      </c>
      <c r="B763" s="576"/>
      <c r="C763" s="576"/>
      <c r="D763" s="577"/>
      <c r="E763" s="42">
        <f>SUM(E734:E762)</f>
        <v>23155441</v>
      </c>
      <c r="F763" s="17">
        <f>SUM(F734:F762)</f>
        <v>21050400.909090906</v>
      </c>
      <c r="G763" s="42">
        <f t="shared" ref="G763:L763" si="408">SUM(G734:G762)</f>
        <v>2105040.0909090908</v>
      </c>
      <c r="H763" s="42">
        <f t="shared" si="408"/>
        <v>11628613.070884647</v>
      </c>
      <c r="I763" s="42">
        <f t="shared" si="408"/>
        <v>383744.23133919336</v>
      </c>
      <c r="J763" s="42">
        <f t="shared" si="408"/>
        <v>0</v>
      </c>
      <c r="K763" s="42">
        <f t="shared" si="408"/>
        <v>11244868.839545453</v>
      </c>
      <c r="L763" s="42">
        <f t="shared" si="408"/>
        <v>0</v>
      </c>
      <c r="M763" s="44"/>
      <c r="N763" s="45"/>
      <c r="O763" s="1"/>
      <c r="P763" s="3"/>
      <c r="Q763" s="1"/>
      <c r="R763" s="1"/>
      <c r="S763" s="1"/>
      <c r="T763" s="1"/>
      <c r="U763" s="4"/>
    </row>
    <row r="764" spans="1:21" ht="18.75" customHeight="1">
      <c r="A764" s="46" t="s">
        <v>37</v>
      </c>
      <c r="B764" s="47" t="s">
        <v>43</v>
      </c>
      <c r="C764" s="48">
        <f>D732</f>
        <v>1</v>
      </c>
      <c r="D764" s="47" t="s">
        <v>44</v>
      </c>
      <c r="E764" s="49"/>
      <c r="F764" s="265" t="s">
        <v>66</v>
      </c>
      <c r="G764" s="286">
        <f>C764+C828+C881+C906+C932+C1031</f>
        <v>9</v>
      </c>
      <c r="H764" s="49"/>
      <c r="I764" s="53" t="s">
        <v>46</v>
      </c>
      <c r="J764" s="54">
        <v>21250</v>
      </c>
      <c r="K764" s="50"/>
      <c r="L764" s="55"/>
      <c r="M764" s="63"/>
      <c r="N764" s="64"/>
      <c r="O764" s="1"/>
      <c r="P764" s="3"/>
      <c r="Q764" s="1"/>
      <c r="R764" s="1"/>
      <c r="S764" s="1"/>
      <c r="T764" s="1"/>
      <c r="U764" s="4"/>
    </row>
    <row r="765" spans="1:21" ht="16.5" customHeight="1" thickBot="1">
      <c r="A765" s="56" t="s">
        <v>48</v>
      </c>
      <c r="B765" s="57" t="s">
        <v>49</v>
      </c>
      <c r="C765" s="58">
        <f>ROUND(F763/10000,0)</f>
        <v>2105</v>
      </c>
      <c r="D765" s="57" t="s">
        <v>50</v>
      </c>
      <c r="E765" s="52">
        <v>0</v>
      </c>
      <c r="F765" s="59" t="s">
        <v>67</v>
      </c>
      <c r="G765" s="287">
        <f>C765+C829+C882+C907+C933+C1032</f>
        <v>4866</v>
      </c>
      <c r="H765" s="52"/>
      <c r="I765" s="59"/>
      <c r="J765" s="61"/>
      <c r="K765" s="59"/>
      <c r="L765" s="62"/>
      <c r="M765" s="63"/>
      <c r="N765" s="64"/>
      <c r="O765" s="1"/>
      <c r="P765" s="3"/>
      <c r="Q765" s="1"/>
      <c r="R765" s="1"/>
      <c r="S765" s="1"/>
      <c r="T765" s="1"/>
      <c r="U765" s="4"/>
    </row>
    <row r="766" spans="1:21" ht="18.75" customHeight="1" thickBot="1">
      <c r="A766" s="566" t="s">
        <v>52</v>
      </c>
      <c r="B766" s="567"/>
      <c r="C766" s="567"/>
      <c r="D766" s="568"/>
      <c r="E766" s="65"/>
      <c r="F766" s="569" t="s">
        <v>53</v>
      </c>
      <c r="G766" s="568"/>
      <c r="H766" s="66">
        <f>H763-J764</f>
        <v>11607363.070884647</v>
      </c>
      <c r="I766" s="67">
        <f>H766*3.3%</f>
        <v>383042.98133919336</v>
      </c>
      <c r="J766" s="68">
        <f>SUM(J763)</f>
        <v>0</v>
      </c>
      <c r="K766" s="69">
        <f>H766-I766-J766</f>
        <v>11224320.089545453</v>
      </c>
      <c r="L766" s="70">
        <f>L763+SUM(H764:H765)+J765</f>
        <v>0</v>
      </c>
      <c r="M766" s="570">
        <f>K766+L766</f>
        <v>11224320.089545453</v>
      </c>
      <c r="N766" s="571"/>
      <c r="O766" s="1"/>
      <c r="P766" s="3"/>
      <c r="Q766" s="1"/>
      <c r="R766" s="1"/>
      <c r="S766" s="1"/>
      <c r="T766" s="1"/>
      <c r="U766" s="4"/>
    </row>
    <row r="767" spans="1:21" ht="1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3"/>
      <c r="Q767" s="1"/>
      <c r="R767" s="1"/>
      <c r="S767" s="1"/>
      <c r="T767" s="1"/>
      <c r="U767" s="4"/>
    </row>
    <row r="768" spans="1:21" ht="18.75" hidden="1" customHeight="1">
      <c r="A768" s="6" t="s">
        <v>117</v>
      </c>
      <c r="B768" s="7" t="str">
        <f>$B$34</f>
        <v>1월</v>
      </c>
      <c r="C768" s="8" t="s">
        <v>1</v>
      </c>
      <c r="D768" s="9">
        <f>COUNTIF($C770:$C775,"계약")+(COUNTIF($C770:$C775,"계약2")*2)</f>
        <v>0</v>
      </c>
      <c r="E768" s="3">
        <f>COUNTIF(C770:C775,"낙찰수수료")</f>
        <v>0</v>
      </c>
      <c r="F768" s="3"/>
      <c r="G768" s="89" t="s">
        <v>118</v>
      </c>
      <c r="H768" s="11">
        <v>0.5</v>
      </c>
      <c r="I768" s="12">
        <v>3.3000000000000002E-2</v>
      </c>
      <c r="J768" s="1"/>
      <c r="K768" s="1"/>
      <c r="L768" s="1"/>
      <c r="M768" s="1"/>
      <c r="N768" s="1"/>
      <c r="O768" s="1"/>
      <c r="P768" s="3"/>
      <c r="Q768" s="1"/>
      <c r="R768" s="1"/>
      <c r="S768" s="1"/>
      <c r="T768" s="1"/>
      <c r="U768" s="4"/>
    </row>
    <row r="769" spans="1:21" ht="18.75" hidden="1" customHeight="1">
      <c r="A769" s="13" t="s">
        <v>3</v>
      </c>
      <c r="B769" s="14" t="s">
        <v>4</v>
      </c>
      <c r="C769" s="14" t="s">
        <v>5</v>
      </c>
      <c r="D769" s="101" t="s">
        <v>6</v>
      </c>
      <c r="E769" s="16" t="s">
        <v>7</v>
      </c>
      <c r="F769" s="17" t="s">
        <v>8</v>
      </c>
      <c r="G769" s="14" t="s">
        <v>9</v>
      </c>
      <c r="H769" s="15" t="s">
        <v>10</v>
      </c>
      <c r="I769" s="14" t="s">
        <v>11</v>
      </c>
      <c r="J769" s="15" t="s">
        <v>12</v>
      </c>
      <c r="K769" s="14" t="s">
        <v>13</v>
      </c>
      <c r="L769" s="14" t="s">
        <v>14</v>
      </c>
      <c r="M769" s="579" t="s">
        <v>15</v>
      </c>
      <c r="N769" s="577"/>
      <c r="O769" s="1"/>
      <c r="P769" s="3"/>
      <c r="Q769" s="1"/>
      <c r="R769" s="1"/>
      <c r="S769" s="1"/>
      <c r="T769" s="1"/>
      <c r="U769" s="4"/>
    </row>
    <row r="770" spans="1:21" ht="18.75" hidden="1" customHeight="1">
      <c r="A770" s="28"/>
      <c r="B770" s="29"/>
      <c r="C770" s="30"/>
      <c r="D770" s="314"/>
      <c r="E770" s="27"/>
      <c r="F770" s="31">
        <f t="shared" ref="F770" si="409">IF(D770="no",E770,E770/1.1)</f>
        <v>0</v>
      </c>
      <c r="G770" s="27">
        <f t="shared" ref="G770" si="410">IF(D770="no",0,F770*0.1)</f>
        <v>0</v>
      </c>
      <c r="H770" s="32">
        <f>IF(D770="no",0,F770*$H$768)</f>
        <v>0</v>
      </c>
      <c r="I770" s="33">
        <f t="shared" ref="I770:I772" si="411">IF(D770="no",0,H770*3.3%)</f>
        <v>0</v>
      </c>
      <c r="J770" s="26"/>
      <c r="K770" s="27">
        <f t="shared" ref="K770:K776" si="412">IF(D770="no",0,H770-I770-J770)</f>
        <v>0</v>
      </c>
      <c r="L770" s="27">
        <f t="shared" ref="L770" si="413">IF(D770="no",F770*H768-J770,0)</f>
        <v>0</v>
      </c>
      <c r="M770" s="589"/>
      <c r="N770" s="581"/>
      <c r="O770" s="1"/>
      <c r="P770" s="3"/>
      <c r="Q770" s="1"/>
      <c r="R770" s="1"/>
      <c r="S770" s="1"/>
      <c r="T770" s="1"/>
      <c r="U770" s="4"/>
    </row>
    <row r="771" spans="1:21" ht="18.75" hidden="1" customHeight="1">
      <c r="A771" s="39" t="s">
        <v>435</v>
      </c>
      <c r="B771" s="29" t="s">
        <v>100</v>
      </c>
      <c r="C771" s="30"/>
      <c r="D771" s="21"/>
      <c r="E771" s="27"/>
      <c r="F771" s="31"/>
      <c r="G771" s="27"/>
      <c r="H771" s="32"/>
      <c r="I771" s="33">
        <f t="shared" si="411"/>
        <v>0</v>
      </c>
      <c r="J771" s="26"/>
      <c r="K771" s="27">
        <f t="shared" si="412"/>
        <v>0</v>
      </c>
      <c r="L771" s="1"/>
      <c r="M771" s="142"/>
      <c r="N771" s="143"/>
      <c r="O771" s="1"/>
      <c r="P771" s="3"/>
      <c r="Q771" s="1"/>
      <c r="R771" s="1"/>
      <c r="S771" s="1"/>
      <c r="T771" s="1"/>
      <c r="U771" s="4"/>
    </row>
    <row r="772" spans="1:21" s="321" customFormat="1" ht="18.75" hidden="1" customHeight="1">
      <c r="A772" s="39" t="s">
        <v>435</v>
      </c>
      <c r="B772" s="29" t="s">
        <v>343</v>
      </c>
      <c r="C772" s="30"/>
      <c r="D772" s="320"/>
      <c r="E772" s="27"/>
      <c r="F772" s="31">
        <f t="shared" ref="F772" si="414">IF(D772="no",E772,E772/1.1)</f>
        <v>0</v>
      </c>
      <c r="G772" s="27">
        <f t="shared" ref="G772" si="415">IF(D772="no",0,F772*0.1)</f>
        <v>0</v>
      </c>
      <c r="H772" s="37">
        <f>IF(D772="no",0,F772*H768)</f>
        <v>0</v>
      </c>
      <c r="I772" s="33">
        <f t="shared" si="411"/>
        <v>0</v>
      </c>
      <c r="J772" s="26"/>
      <c r="K772" s="27">
        <f t="shared" si="412"/>
        <v>0</v>
      </c>
      <c r="L772" s="40">
        <f>IF(D772="no",F772*H762-J772,0)</f>
        <v>0</v>
      </c>
      <c r="M772" s="590"/>
      <c r="N772" s="564"/>
      <c r="O772" s="1"/>
      <c r="P772" s="3"/>
      <c r="Q772" s="1"/>
      <c r="R772" s="1"/>
      <c r="S772" s="1"/>
      <c r="T772" s="1"/>
      <c r="U772" s="4"/>
    </row>
    <row r="773" spans="1:21" ht="18.75" hidden="1" customHeight="1">
      <c r="A773" s="39" t="s">
        <v>435</v>
      </c>
      <c r="B773" s="29" t="s">
        <v>35</v>
      </c>
      <c r="C773" s="30"/>
      <c r="D773" s="21"/>
      <c r="E773" s="27"/>
      <c r="F773" s="31">
        <f t="shared" ref="F773:F776" si="416">IF(D773="no",E773,E773/1.1)</f>
        <v>0</v>
      </c>
      <c r="G773" s="27">
        <f t="shared" ref="G773:G776" si="417">IF(D773="no",0,F773*0.1)</f>
        <v>0</v>
      </c>
      <c r="H773" s="32">
        <f>IF(D773="no",0,F773*$H$768)</f>
        <v>0</v>
      </c>
      <c r="I773" s="33">
        <f t="shared" ref="I773:I776" si="418">IF(D773="no",0,H773*3.3%)</f>
        <v>0</v>
      </c>
      <c r="J773" s="26"/>
      <c r="K773" s="27">
        <f>IF(D773="no",0,H773-I773-J773)</f>
        <v>0</v>
      </c>
      <c r="L773" s="27">
        <f>IF(D773="no",F773*#REF!-J773,0)</f>
        <v>0</v>
      </c>
      <c r="M773" s="574"/>
      <c r="N773" s="564"/>
      <c r="O773" s="1"/>
      <c r="P773" s="3"/>
      <c r="Q773" s="1"/>
      <c r="R773" s="1"/>
      <c r="S773" s="1"/>
      <c r="T773" s="1"/>
      <c r="U773" s="4"/>
    </row>
    <row r="774" spans="1:21" ht="18.75" hidden="1" customHeight="1">
      <c r="A774" s="39" t="s">
        <v>435</v>
      </c>
      <c r="B774" s="29" t="s">
        <v>61</v>
      </c>
      <c r="C774" s="30"/>
      <c r="D774" s="21"/>
      <c r="E774" s="27"/>
      <c r="F774" s="31">
        <f t="shared" si="416"/>
        <v>0</v>
      </c>
      <c r="G774" s="27">
        <f t="shared" si="417"/>
        <v>0</v>
      </c>
      <c r="H774" s="32">
        <f>IF(D774="no",0,F774*$H$768)</f>
        <v>0</v>
      </c>
      <c r="I774" s="33">
        <f t="shared" si="418"/>
        <v>0</v>
      </c>
      <c r="J774" s="26"/>
      <c r="K774" s="27">
        <f t="shared" si="412"/>
        <v>0</v>
      </c>
      <c r="L774" s="27">
        <f>IF(D774="no",F774*#REF!-J774,0)</f>
        <v>0</v>
      </c>
      <c r="M774" s="572"/>
      <c r="N774" s="564"/>
      <c r="O774" s="1"/>
      <c r="P774" s="3"/>
      <c r="Q774" s="1"/>
      <c r="R774" s="1"/>
      <c r="S774" s="1"/>
      <c r="T774" s="1"/>
      <c r="U774" s="4"/>
    </row>
    <row r="775" spans="1:21" ht="18.75" hidden="1" customHeight="1">
      <c r="A775" s="39" t="s">
        <v>435</v>
      </c>
      <c r="B775" s="29" t="s">
        <v>37</v>
      </c>
      <c r="C775" s="30"/>
      <c r="D775" s="21"/>
      <c r="E775" s="27"/>
      <c r="F775" s="31">
        <f t="shared" si="416"/>
        <v>0</v>
      </c>
      <c r="G775" s="27">
        <f t="shared" si="417"/>
        <v>0</v>
      </c>
      <c r="H775" s="37"/>
      <c r="I775" s="33">
        <f t="shared" si="418"/>
        <v>0</v>
      </c>
      <c r="J775" s="26"/>
      <c r="K775" s="27">
        <f t="shared" si="412"/>
        <v>0</v>
      </c>
      <c r="L775" s="27">
        <f>IF(D775="no",F775*#REF!-J775,0)</f>
        <v>0</v>
      </c>
      <c r="M775" s="572"/>
      <c r="N775" s="564"/>
      <c r="O775" s="1"/>
      <c r="P775" s="3"/>
      <c r="Q775" s="1"/>
      <c r="R775" s="1"/>
      <c r="S775" s="1"/>
      <c r="T775" s="1"/>
      <c r="U775" s="4"/>
    </row>
    <row r="776" spans="1:21" ht="18.75" hidden="1" customHeight="1">
      <c r="A776" s="39" t="s">
        <v>435</v>
      </c>
      <c r="B776" s="29" t="s">
        <v>106</v>
      </c>
      <c r="C776" s="30"/>
      <c r="D776" s="21"/>
      <c r="E776" s="27"/>
      <c r="F776" s="31">
        <f t="shared" si="416"/>
        <v>0</v>
      </c>
      <c r="G776" s="27">
        <f t="shared" si="417"/>
        <v>0</v>
      </c>
      <c r="H776" s="32">
        <f>IF(D776="no",0,F776*$H$768)</f>
        <v>0</v>
      </c>
      <c r="I776" s="33">
        <f t="shared" si="418"/>
        <v>0</v>
      </c>
      <c r="J776" s="26"/>
      <c r="K776" s="27">
        <f t="shared" si="412"/>
        <v>0</v>
      </c>
      <c r="L776" s="27">
        <f>IF(D776="no",F776*#REF!-J776,0)</f>
        <v>0</v>
      </c>
      <c r="M776" s="572"/>
      <c r="N776" s="564"/>
      <c r="O776" s="1"/>
      <c r="P776" s="3"/>
      <c r="Q776" s="1"/>
      <c r="R776" s="1"/>
      <c r="S776" s="1"/>
      <c r="T776" s="1"/>
      <c r="U776" s="4"/>
    </row>
    <row r="777" spans="1:21" ht="18.75" hidden="1" customHeight="1">
      <c r="A777" s="575" t="s">
        <v>42</v>
      </c>
      <c r="B777" s="576"/>
      <c r="C777" s="576"/>
      <c r="D777" s="577"/>
      <c r="E777" s="42">
        <f t="shared" ref="E777:L777" si="419">SUM(E770:E776)</f>
        <v>0</v>
      </c>
      <c r="F777" s="17">
        <f t="shared" si="419"/>
        <v>0</v>
      </c>
      <c r="G777" s="42">
        <f t="shared" si="419"/>
        <v>0</v>
      </c>
      <c r="H777" s="42">
        <f t="shared" si="419"/>
        <v>0</v>
      </c>
      <c r="I777" s="42">
        <f t="shared" si="419"/>
        <v>0</v>
      </c>
      <c r="J777" s="42">
        <f t="shared" si="419"/>
        <v>0</v>
      </c>
      <c r="K777" s="42">
        <f t="shared" si="419"/>
        <v>0</v>
      </c>
      <c r="L777" s="42">
        <f t="shared" si="419"/>
        <v>0</v>
      </c>
      <c r="M777" s="44"/>
      <c r="N777" s="45"/>
      <c r="O777" s="1"/>
      <c r="P777" s="3"/>
      <c r="Q777" s="1"/>
      <c r="R777" s="1"/>
      <c r="S777" s="1"/>
      <c r="T777" s="1"/>
      <c r="U777" s="4"/>
    </row>
    <row r="778" spans="1:21" ht="18.75" hidden="1" customHeight="1">
      <c r="A778" s="46" t="s">
        <v>37</v>
      </c>
      <c r="B778" s="47" t="s">
        <v>43</v>
      </c>
      <c r="C778" s="48">
        <f>D768</f>
        <v>0</v>
      </c>
      <c r="D778" s="47" t="s">
        <v>44</v>
      </c>
      <c r="E778" s="49"/>
      <c r="F778" s="84"/>
      <c r="G778" s="85"/>
      <c r="H778" s="49"/>
      <c r="I778" s="53" t="s">
        <v>46</v>
      </c>
      <c r="J778" s="54">
        <v>0</v>
      </c>
      <c r="K778" s="50"/>
      <c r="L778" s="55"/>
      <c r="M778" s="63"/>
      <c r="N778" s="64"/>
      <c r="O778" s="1"/>
      <c r="P778" s="3"/>
      <c r="Q778" s="1"/>
      <c r="R778" s="1"/>
      <c r="S778" s="1"/>
      <c r="T778" s="1"/>
      <c r="U778" s="4"/>
    </row>
    <row r="779" spans="1:21" ht="16.5" hidden="1" customHeight="1" thickBot="1">
      <c r="A779" s="56" t="s">
        <v>48</v>
      </c>
      <c r="B779" s="57" t="s">
        <v>49</v>
      </c>
      <c r="C779" s="58">
        <f>ROUND(F777/10000,0)</f>
        <v>0</v>
      </c>
      <c r="D779" s="57" t="s">
        <v>50</v>
      </c>
      <c r="E779" s="52"/>
      <c r="F779" s="86"/>
      <c r="G779" s="87"/>
      <c r="H779" s="52"/>
      <c r="I779" s="59"/>
      <c r="J779" s="61"/>
      <c r="K779" s="59"/>
      <c r="L779" s="62"/>
      <c r="M779" s="63"/>
      <c r="N779" s="64"/>
      <c r="O779" s="1"/>
      <c r="P779" s="3"/>
      <c r="Q779" s="1"/>
      <c r="R779" s="1"/>
      <c r="S779" s="1"/>
      <c r="T779" s="1"/>
      <c r="U779" s="4"/>
    </row>
    <row r="780" spans="1:21" ht="18.75" hidden="1" customHeight="1" thickBot="1">
      <c r="A780" s="566" t="s">
        <v>52</v>
      </c>
      <c r="B780" s="567"/>
      <c r="C780" s="567"/>
      <c r="D780" s="568"/>
      <c r="E780" s="65"/>
      <c r="F780" s="569" t="s">
        <v>53</v>
      </c>
      <c r="G780" s="568"/>
      <c r="H780" s="66">
        <f>H777-J778</f>
        <v>0</v>
      </c>
      <c r="I780" s="67">
        <f>H780*3.3%</f>
        <v>0</v>
      </c>
      <c r="J780" s="68">
        <f>SUM(J777)</f>
        <v>0</v>
      </c>
      <c r="K780" s="69">
        <f>H780-I780</f>
        <v>0</v>
      </c>
      <c r="L780" s="70">
        <f>L777+SUM(H778:H779)+J779</f>
        <v>0</v>
      </c>
      <c r="M780" s="570">
        <f>K780+L780</f>
        <v>0</v>
      </c>
      <c r="N780" s="571"/>
      <c r="O780" s="1"/>
      <c r="P780" s="3"/>
      <c r="Q780" s="1"/>
      <c r="R780" s="1"/>
      <c r="S780" s="1"/>
      <c r="T780" s="1"/>
      <c r="U780" s="4"/>
    </row>
    <row r="781" spans="1:21" ht="15" hidden="1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3"/>
      <c r="Q781" s="1"/>
      <c r="R781" s="1"/>
      <c r="S781" s="1"/>
      <c r="T781" s="1"/>
      <c r="U781" s="4"/>
    </row>
    <row r="782" spans="1:21" ht="18.75" hidden="1" customHeight="1">
      <c r="A782" s="6" t="s">
        <v>119</v>
      </c>
      <c r="B782" s="7" t="str">
        <f>$B$34</f>
        <v>1월</v>
      </c>
      <c r="C782" s="8" t="s">
        <v>1</v>
      </c>
      <c r="D782" s="9">
        <f>COUNTIF($C784:$C788,"계약")+(COUNTIF($C784:$C788,"계약2")*2)</f>
        <v>0</v>
      </c>
      <c r="E782" s="3">
        <f>COUNTIF(C784:C788,"낙찰수수료")</f>
        <v>0</v>
      </c>
      <c r="F782" s="3"/>
      <c r="G782" s="89" t="s">
        <v>120</v>
      </c>
      <c r="H782" s="11">
        <v>0.5</v>
      </c>
      <c r="I782" s="12">
        <v>3.3000000000000002E-2</v>
      </c>
      <c r="J782" s="1"/>
      <c r="K782" s="1"/>
      <c r="L782" s="1"/>
      <c r="M782" s="1"/>
      <c r="N782" s="1"/>
      <c r="O782" s="1"/>
      <c r="P782" s="3"/>
      <c r="Q782" s="1"/>
      <c r="R782" s="1"/>
      <c r="S782" s="1"/>
      <c r="T782" s="1"/>
      <c r="U782" s="4"/>
    </row>
    <row r="783" spans="1:21" ht="18.75" hidden="1" customHeight="1">
      <c r="A783" s="13" t="s">
        <v>3</v>
      </c>
      <c r="B783" s="14" t="s">
        <v>4</v>
      </c>
      <c r="C783" s="14" t="s">
        <v>5</v>
      </c>
      <c r="D783" s="101" t="s">
        <v>6</v>
      </c>
      <c r="E783" s="16" t="s">
        <v>7</v>
      </c>
      <c r="F783" s="17" t="s">
        <v>8</v>
      </c>
      <c r="G783" s="14" t="s">
        <v>9</v>
      </c>
      <c r="H783" s="15" t="s">
        <v>10</v>
      </c>
      <c r="I783" s="14" t="s">
        <v>11</v>
      </c>
      <c r="J783" s="15" t="s">
        <v>12</v>
      </c>
      <c r="K783" s="14" t="s">
        <v>13</v>
      </c>
      <c r="L783" s="14" t="s">
        <v>14</v>
      </c>
      <c r="M783" s="579" t="s">
        <v>15</v>
      </c>
      <c r="N783" s="577"/>
      <c r="O783" s="1"/>
      <c r="P783" s="3"/>
      <c r="Q783" s="1"/>
      <c r="R783" s="1"/>
      <c r="S783" s="1"/>
      <c r="T783" s="1"/>
      <c r="U783" s="4"/>
    </row>
    <row r="784" spans="1:21" ht="18.75" hidden="1" customHeight="1">
      <c r="A784" s="28"/>
      <c r="B784" s="29"/>
      <c r="C784" s="30"/>
      <c r="D784" s="38"/>
      <c r="E784" s="27"/>
      <c r="F784" s="31">
        <f t="shared" ref="F784" si="420">IF(D784="no",E784,E784/1.1)</f>
        <v>0</v>
      </c>
      <c r="G784" s="27">
        <f t="shared" ref="G784" si="421">IF(D784="no",0,F784*0.1)</f>
        <v>0</v>
      </c>
      <c r="H784" s="32">
        <f>IF(D784="no",0,F784*H782)</f>
        <v>0</v>
      </c>
      <c r="I784" s="33">
        <f t="shared" ref="I784:I788" si="422">IF(D784="no",0,H784*3.3%)</f>
        <v>0</v>
      </c>
      <c r="J784" s="26"/>
      <c r="K784" s="27">
        <f t="shared" ref="K784:K788" si="423">IF(D784="no",0,H784-I784-J784)</f>
        <v>0</v>
      </c>
      <c r="L784" s="27">
        <f>IF(D784="no",F784*H782-J784,0)</f>
        <v>0</v>
      </c>
      <c r="M784" s="580"/>
      <c r="N784" s="581"/>
      <c r="O784" s="1"/>
      <c r="P784" s="3"/>
      <c r="Q784" s="1"/>
      <c r="R784" s="1"/>
      <c r="S784" s="1"/>
      <c r="T784" s="1"/>
      <c r="U784" s="4"/>
    </row>
    <row r="785" spans="1:21" ht="18.75" hidden="1" customHeight="1">
      <c r="A785" s="39" t="s">
        <v>435</v>
      </c>
      <c r="B785" s="29" t="s">
        <v>100</v>
      </c>
      <c r="C785" s="30"/>
      <c r="D785" s="21"/>
      <c r="E785" s="27"/>
      <c r="F785" s="31"/>
      <c r="G785" s="27"/>
      <c r="H785" s="32">
        <f>IF(D785="no",0,F785*H778)</f>
        <v>0</v>
      </c>
      <c r="I785" s="33">
        <f t="shared" si="422"/>
        <v>0</v>
      </c>
      <c r="J785" s="26"/>
      <c r="K785" s="27">
        <f t="shared" si="423"/>
        <v>0</v>
      </c>
      <c r="L785" s="1"/>
      <c r="M785" s="142"/>
      <c r="N785" s="143"/>
      <c r="O785" s="1"/>
      <c r="P785" s="3"/>
      <c r="Q785" s="1"/>
      <c r="R785" s="1"/>
      <c r="S785" s="1"/>
      <c r="T785" s="1"/>
      <c r="U785" s="4"/>
    </row>
    <row r="786" spans="1:21" ht="18.75" hidden="1" customHeight="1">
      <c r="A786" s="39" t="s">
        <v>435</v>
      </c>
      <c r="B786" s="29" t="s">
        <v>61</v>
      </c>
      <c r="C786" s="30"/>
      <c r="D786" s="21"/>
      <c r="E786" s="27"/>
      <c r="F786" s="31"/>
      <c r="G786" s="27"/>
      <c r="H786" s="32">
        <f>IF(D786="no",0,F786*H779)</f>
        <v>0</v>
      </c>
      <c r="I786" s="33">
        <f t="shared" si="422"/>
        <v>0</v>
      </c>
      <c r="J786" s="26"/>
      <c r="K786" s="27">
        <f t="shared" si="423"/>
        <v>0</v>
      </c>
      <c r="L786" s="27">
        <f>IF(D786="no",F786*H782-J786,0)</f>
        <v>0</v>
      </c>
      <c r="M786" s="94"/>
      <c r="N786" s="95"/>
      <c r="O786" s="1"/>
      <c r="P786" s="3"/>
      <c r="Q786" s="1"/>
      <c r="R786" s="1"/>
      <c r="S786" s="1"/>
      <c r="T786" s="1"/>
      <c r="U786" s="4"/>
    </row>
    <row r="787" spans="1:21" ht="18.75" hidden="1" customHeight="1">
      <c r="A787" s="39" t="s">
        <v>435</v>
      </c>
      <c r="B787" s="29" t="s">
        <v>35</v>
      </c>
      <c r="C787" s="30"/>
      <c r="D787" s="21"/>
      <c r="E787" s="27"/>
      <c r="F787" s="31">
        <f t="shared" ref="F787:F788" si="424">IF(D787="no",E787,E787/1.1)</f>
        <v>0</v>
      </c>
      <c r="G787" s="27">
        <f t="shared" ref="G787:G788" si="425">IF(D787="no",0,F787*0.1)</f>
        <v>0</v>
      </c>
      <c r="H787" s="32"/>
      <c r="I787" s="33">
        <f t="shared" si="422"/>
        <v>0</v>
      </c>
      <c r="J787" s="26"/>
      <c r="K787" s="27">
        <f t="shared" si="423"/>
        <v>0</v>
      </c>
      <c r="L787" s="1"/>
      <c r="M787" s="574"/>
      <c r="N787" s="564"/>
      <c r="O787" s="1"/>
      <c r="P787" s="3"/>
      <c r="Q787" s="1"/>
      <c r="R787" s="1"/>
      <c r="S787" s="1"/>
      <c r="T787" s="1"/>
      <c r="U787" s="4"/>
    </row>
    <row r="788" spans="1:21" ht="18.75" hidden="1" customHeight="1">
      <c r="A788" s="39" t="s">
        <v>435</v>
      </c>
      <c r="B788" s="29" t="s">
        <v>37</v>
      </c>
      <c r="C788" s="30"/>
      <c r="D788" s="21"/>
      <c r="E788" s="27"/>
      <c r="F788" s="31">
        <f t="shared" si="424"/>
        <v>0</v>
      </c>
      <c r="G788" s="27">
        <f t="shared" si="425"/>
        <v>0</v>
      </c>
      <c r="H788" s="37">
        <v>0</v>
      </c>
      <c r="I788" s="33">
        <f t="shared" si="422"/>
        <v>0</v>
      </c>
      <c r="J788" s="26"/>
      <c r="K788" s="27">
        <f t="shared" si="423"/>
        <v>0</v>
      </c>
      <c r="L788" s="27"/>
      <c r="M788" s="572"/>
      <c r="N788" s="564"/>
      <c r="O788" s="1"/>
      <c r="P788" s="3"/>
      <c r="Q788" s="1"/>
      <c r="R788" s="1"/>
      <c r="S788" s="1"/>
      <c r="T788" s="1"/>
      <c r="U788" s="4"/>
    </row>
    <row r="789" spans="1:21" ht="18.75" hidden="1" customHeight="1">
      <c r="A789" s="575" t="s">
        <v>42</v>
      </c>
      <c r="B789" s="576"/>
      <c r="C789" s="576"/>
      <c r="D789" s="577"/>
      <c r="E789" s="42">
        <f t="shared" ref="E789:L789" si="426">SUM(E784:E788)</f>
        <v>0</v>
      </c>
      <c r="F789" s="17">
        <f t="shared" si="426"/>
        <v>0</v>
      </c>
      <c r="G789" s="42">
        <f t="shared" si="426"/>
        <v>0</v>
      </c>
      <c r="H789" s="43">
        <f t="shared" si="426"/>
        <v>0</v>
      </c>
      <c r="I789" s="42">
        <f t="shared" si="426"/>
        <v>0</v>
      </c>
      <c r="J789" s="43">
        <f t="shared" si="426"/>
        <v>0</v>
      </c>
      <c r="K789" s="42">
        <f t="shared" si="426"/>
        <v>0</v>
      </c>
      <c r="L789" s="42">
        <f t="shared" si="426"/>
        <v>0</v>
      </c>
      <c r="M789" s="44"/>
      <c r="N789" s="45"/>
      <c r="O789" s="1"/>
      <c r="P789" s="3"/>
      <c r="Q789" s="1"/>
      <c r="R789" s="1"/>
      <c r="S789" s="1"/>
      <c r="T789" s="1"/>
      <c r="U789" s="4"/>
    </row>
    <row r="790" spans="1:21" ht="18.75" hidden="1" customHeight="1">
      <c r="A790" s="46" t="s">
        <v>37</v>
      </c>
      <c r="B790" s="47" t="s">
        <v>43</v>
      </c>
      <c r="C790" s="48">
        <f>D782</f>
        <v>0</v>
      </c>
      <c r="D790" s="47" t="s">
        <v>44</v>
      </c>
      <c r="E790" s="49"/>
      <c r="F790" s="84"/>
      <c r="G790" s="85"/>
      <c r="H790" s="49"/>
      <c r="I790" s="53" t="s">
        <v>46</v>
      </c>
      <c r="J790" s="54">
        <v>0</v>
      </c>
      <c r="K790" s="50"/>
      <c r="L790" s="55"/>
      <c r="M790" s="63"/>
      <c r="N790" s="64"/>
      <c r="O790" s="1"/>
      <c r="P790" s="3"/>
      <c r="Q790" s="1"/>
      <c r="R790" s="1"/>
      <c r="S790" s="1"/>
      <c r="T790" s="1"/>
      <c r="U790" s="4"/>
    </row>
    <row r="791" spans="1:21" ht="16.5" hidden="1" customHeight="1" thickBot="1">
      <c r="A791" s="56" t="s">
        <v>48</v>
      </c>
      <c r="B791" s="57" t="s">
        <v>49</v>
      </c>
      <c r="C791" s="58">
        <f>ROUND(F789/10000,0)</f>
        <v>0</v>
      </c>
      <c r="D791" s="57" t="s">
        <v>50</v>
      </c>
      <c r="E791" s="52">
        <f>IF(C791&gt;=8000,5200000,IF(C791&gt;=5000,2700000,IF(C791&gt;=200,200000,0)))</f>
        <v>0</v>
      </c>
      <c r="F791" s="86"/>
      <c r="G791" s="87"/>
      <c r="H791" s="52"/>
      <c r="I791" s="59"/>
      <c r="J791" s="61"/>
      <c r="K791" s="59"/>
      <c r="L791" s="62"/>
      <c r="M791" s="63"/>
      <c r="N791" s="64"/>
      <c r="O791" s="1"/>
      <c r="P791" s="3"/>
      <c r="Q791" s="1"/>
      <c r="R791" s="1"/>
      <c r="S791" s="1"/>
      <c r="T791" s="1"/>
      <c r="U791" s="4"/>
    </row>
    <row r="792" spans="1:21" ht="18.75" hidden="1" customHeight="1" thickBot="1">
      <c r="A792" s="566" t="s">
        <v>52</v>
      </c>
      <c r="B792" s="567"/>
      <c r="C792" s="567"/>
      <c r="D792" s="568"/>
      <c r="E792" s="65"/>
      <c r="F792" s="569" t="s">
        <v>53</v>
      </c>
      <c r="G792" s="568"/>
      <c r="H792" s="66">
        <f>H789-J790</f>
        <v>0</v>
      </c>
      <c r="I792" s="67">
        <f>H792*3.3%</f>
        <v>0</v>
      </c>
      <c r="J792" s="68">
        <f>SUM(J789)</f>
        <v>0</v>
      </c>
      <c r="K792" s="69">
        <f>H792-I792-J792</f>
        <v>0</v>
      </c>
      <c r="L792" s="70">
        <f>L789+SUM(H790:H791)+J791</f>
        <v>0</v>
      </c>
      <c r="M792" s="570">
        <f>K792+L792</f>
        <v>0</v>
      </c>
      <c r="N792" s="571"/>
      <c r="O792" s="1"/>
      <c r="P792" s="3"/>
      <c r="Q792" s="1"/>
      <c r="R792" s="1"/>
      <c r="S792" s="1"/>
      <c r="T792" s="1"/>
      <c r="U792" s="4"/>
    </row>
    <row r="793" spans="1:21" ht="18.75" hidden="1" customHeight="1">
      <c r="A793" s="1"/>
      <c r="B793" s="1"/>
      <c r="C793" s="1"/>
      <c r="D793" s="1"/>
      <c r="E793" s="1"/>
      <c r="F793" s="1"/>
      <c r="G793" s="1"/>
      <c r="H793" s="141"/>
      <c r="I793" s="1"/>
      <c r="J793" s="1"/>
      <c r="K793" s="1"/>
      <c r="L793" s="1"/>
      <c r="M793" s="1"/>
      <c r="N793" s="1"/>
      <c r="O793" s="1"/>
      <c r="P793" s="3"/>
      <c r="Q793" s="1"/>
      <c r="R793" s="1"/>
      <c r="S793" s="1"/>
      <c r="T793" s="1"/>
      <c r="U793" s="4"/>
    </row>
    <row r="794" spans="1:21" ht="18.75" hidden="1" customHeight="1">
      <c r="A794" s="6" t="s">
        <v>121</v>
      </c>
      <c r="B794" s="7" t="str">
        <f>$B$34</f>
        <v>1월</v>
      </c>
      <c r="C794" s="8" t="s">
        <v>1</v>
      </c>
      <c r="D794" s="9">
        <f>COUNTIF($C796:$C801,"계약")+(COUNTIF($C796:$C801,"계약2")*2)</f>
        <v>0</v>
      </c>
      <c r="E794" s="3">
        <f>COUNTIF(C796:C801,"낙찰수수료")</f>
        <v>0</v>
      </c>
      <c r="F794" s="3"/>
      <c r="G794" s="89" t="s">
        <v>122</v>
      </c>
      <c r="H794" s="11">
        <v>0.5</v>
      </c>
      <c r="I794" s="12">
        <v>3.3000000000000002E-2</v>
      </c>
      <c r="J794" s="1"/>
      <c r="K794" s="1"/>
      <c r="L794" s="1"/>
      <c r="M794" s="1"/>
      <c r="N794" s="1"/>
      <c r="O794" s="1"/>
      <c r="P794" s="3"/>
      <c r="Q794" s="1"/>
      <c r="R794" s="1"/>
      <c r="S794" s="1"/>
      <c r="T794" s="1"/>
      <c r="U794" s="4"/>
    </row>
    <row r="795" spans="1:21" ht="18.75" hidden="1" customHeight="1">
      <c r="A795" s="13" t="s">
        <v>3</v>
      </c>
      <c r="B795" s="14" t="s">
        <v>4</v>
      </c>
      <c r="C795" s="14" t="s">
        <v>5</v>
      </c>
      <c r="D795" s="101" t="s">
        <v>6</v>
      </c>
      <c r="E795" s="16" t="s">
        <v>7</v>
      </c>
      <c r="F795" s="17" t="s">
        <v>8</v>
      </c>
      <c r="G795" s="14" t="s">
        <v>9</v>
      </c>
      <c r="H795" s="15" t="s">
        <v>10</v>
      </c>
      <c r="I795" s="14" t="s">
        <v>11</v>
      </c>
      <c r="J795" s="15" t="s">
        <v>12</v>
      </c>
      <c r="K795" s="14" t="s">
        <v>13</v>
      </c>
      <c r="L795" s="14" t="s">
        <v>14</v>
      </c>
      <c r="M795" s="579" t="s">
        <v>15</v>
      </c>
      <c r="N795" s="577"/>
      <c r="O795" s="1"/>
      <c r="P795" s="3"/>
      <c r="Q795" s="1"/>
      <c r="R795" s="1"/>
      <c r="S795" s="1"/>
      <c r="T795" s="1"/>
      <c r="U795" s="4"/>
    </row>
    <row r="796" spans="1:21" ht="18.75" hidden="1" customHeight="1">
      <c r="A796" s="28"/>
      <c r="B796" s="29"/>
      <c r="C796" s="30"/>
      <c r="D796" s="38"/>
      <c r="E796" s="27"/>
      <c r="F796" s="31">
        <f t="shared" ref="F796" si="427">IF(D796="no",E796,E796/1.1)</f>
        <v>0</v>
      </c>
      <c r="G796" s="27">
        <f t="shared" ref="G796" si="428">IF(D796="no",0,F796*0.1)</f>
        <v>0</v>
      </c>
      <c r="H796" s="32">
        <f>IF(D796="no",0,F796*H794)</f>
        <v>0</v>
      </c>
      <c r="I796" s="33">
        <f t="shared" ref="I796:I801" si="429">IF(D796="no",0,H796*3.3%)</f>
        <v>0</v>
      </c>
      <c r="J796" s="26"/>
      <c r="K796" s="27">
        <f t="shared" ref="K796:K801" si="430">IF(D796="no",0,H796-I796-J796)</f>
        <v>0</v>
      </c>
      <c r="L796" s="27">
        <f>IF(D796="no",F796*H794-J796,0)</f>
        <v>0</v>
      </c>
      <c r="M796" s="580"/>
      <c r="N796" s="581"/>
      <c r="O796" s="1"/>
      <c r="P796" s="3"/>
      <c r="Q796" s="1"/>
      <c r="R796" s="1"/>
      <c r="S796" s="1"/>
      <c r="T796" s="1"/>
      <c r="U796" s="4"/>
    </row>
    <row r="797" spans="1:21" ht="18.75" hidden="1" customHeight="1">
      <c r="A797" s="39" t="s">
        <v>435</v>
      </c>
      <c r="B797" s="29" t="s">
        <v>100</v>
      </c>
      <c r="C797" s="30"/>
      <c r="D797" s="21"/>
      <c r="E797" s="27"/>
      <c r="F797" s="31"/>
      <c r="G797" s="27"/>
      <c r="H797" s="32">
        <f>IF(D797="no",0,F797*H794)</f>
        <v>0</v>
      </c>
      <c r="I797" s="33">
        <f t="shared" si="429"/>
        <v>0</v>
      </c>
      <c r="J797" s="26"/>
      <c r="K797" s="27">
        <f t="shared" si="430"/>
        <v>0</v>
      </c>
      <c r="L797" s="1"/>
      <c r="M797" s="142"/>
      <c r="N797" s="143"/>
      <c r="O797" s="1"/>
      <c r="P797" s="3"/>
      <c r="Q797" s="1"/>
      <c r="R797" s="1"/>
      <c r="S797" s="1"/>
      <c r="T797" s="1"/>
      <c r="U797" s="4"/>
    </row>
    <row r="798" spans="1:21" ht="18.75" hidden="1" customHeight="1">
      <c r="A798" s="39" t="s">
        <v>435</v>
      </c>
      <c r="B798" s="29" t="s">
        <v>79</v>
      </c>
      <c r="C798" s="30"/>
      <c r="D798" s="21"/>
      <c r="E798" s="27"/>
      <c r="F798" s="31"/>
      <c r="G798" s="27"/>
      <c r="H798" s="32">
        <f>IF(D798="no",0,F798*H793)</f>
        <v>0</v>
      </c>
      <c r="I798" s="33">
        <f t="shared" si="429"/>
        <v>0</v>
      </c>
      <c r="J798" s="26"/>
      <c r="K798" s="27">
        <f t="shared" si="430"/>
        <v>0</v>
      </c>
      <c r="L798" s="27">
        <f>IF(D798="no",F798*H793-J798,0)</f>
        <v>0</v>
      </c>
      <c r="M798" s="574"/>
      <c r="N798" s="583"/>
      <c r="O798" s="1"/>
      <c r="P798" s="3"/>
      <c r="Q798" s="1"/>
      <c r="R798" s="1"/>
      <c r="S798" s="1"/>
      <c r="T798" s="1"/>
      <c r="U798" s="4"/>
    </row>
    <row r="799" spans="1:21" ht="18.75" hidden="1" customHeight="1">
      <c r="A799" s="39" t="s">
        <v>435</v>
      </c>
      <c r="B799" s="29" t="s">
        <v>61</v>
      </c>
      <c r="C799" s="30"/>
      <c r="D799" s="21"/>
      <c r="E799" s="27"/>
      <c r="F799" s="31"/>
      <c r="G799" s="27"/>
      <c r="H799" s="32">
        <f>IF(D799="no",0,F799*H794)</f>
        <v>0</v>
      </c>
      <c r="I799" s="33">
        <f t="shared" si="429"/>
        <v>0</v>
      </c>
      <c r="J799" s="26"/>
      <c r="K799" s="27">
        <f t="shared" si="430"/>
        <v>0</v>
      </c>
      <c r="L799" s="27">
        <f>IF(D799="no",F799*H794-J799,0)</f>
        <v>0</v>
      </c>
      <c r="M799" s="94"/>
      <c r="N799" s="95"/>
      <c r="O799" s="1"/>
      <c r="P799" s="3"/>
      <c r="Q799" s="1"/>
      <c r="R799" s="1"/>
      <c r="S799" s="1"/>
      <c r="T799" s="1"/>
      <c r="U799" s="4"/>
    </row>
    <row r="800" spans="1:21" ht="18.75" hidden="1" customHeight="1">
      <c r="A800" s="39" t="s">
        <v>435</v>
      </c>
      <c r="B800" s="29" t="s">
        <v>35</v>
      </c>
      <c r="C800" s="30"/>
      <c r="D800" s="21"/>
      <c r="E800" s="27"/>
      <c r="F800" s="31">
        <f t="shared" ref="F800:F801" si="431">IF(D800="no",E800,E800/1.1)</f>
        <v>0</v>
      </c>
      <c r="G800" s="27">
        <f t="shared" ref="G800:G801" si="432">IF(D800="no",0,F800*0.1)</f>
        <v>0</v>
      </c>
      <c r="H800" s="32"/>
      <c r="I800" s="33">
        <f t="shared" si="429"/>
        <v>0</v>
      </c>
      <c r="J800" s="26"/>
      <c r="K800" s="27">
        <f t="shared" si="430"/>
        <v>0</v>
      </c>
      <c r="L800" s="1"/>
      <c r="M800" s="574"/>
      <c r="N800" s="564"/>
      <c r="O800" s="1"/>
      <c r="P800" s="3"/>
      <c r="Q800" s="1"/>
      <c r="R800" s="1"/>
      <c r="S800" s="1"/>
      <c r="T800" s="1"/>
      <c r="U800" s="4"/>
    </row>
    <row r="801" spans="1:21" ht="18.75" hidden="1" customHeight="1">
      <c r="A801" s="39" t="s">
        <v>435</v>
      </c>
      <c r="B801" s="29" t="s">
        <v>37</v>
      </c>
      <c r="C801" s="30"/>
      <c r="D801" s="21"/>
      <c r="E801" s="27"/>
      <c r="F801" s="31">
        <f t="shared" si="431"/>
        <v>0</v>
      </c>
      <c r="G801" s="27">
        <f t="shared" si="432"/>
        <v>0</v>
      </c>
      <c r="H801" s="37"/>
      <c r="I801" s="33">
        <f t="shared" si="429"/>
        <v>0</v>
      </c>
      <c r="J801" s="26"/>
      <c r="K801" s="27">
        <f t="shared" si="430"/>
        <v>0</v>
      </c>
      <c r="L801" s="27"/>
      <c r="M801" s="572"/>
      <c r="N801" s="564"/>
      <c r="O801" s="1"/>
      <c r="P801" s="3"/>
      <c r="Q801" s="1"/>
      <c r="R801" s="1"/>
      <c r="S801" s="1"/>
      <c r="T801" s="1"/>
      <c r="U801" s="4"/>
    </row>
    <row r="802" spans="1:21" ht="18.75" hidden="1" customHeight="1">
      <c r="A802" s="575" t="s">
        <v>42</v>
      </c>
      <c r="B802" s="576"/>
      <c r="C802" s="576"/>
      <c r="D802" s="577"/>
      <c r="E802" s="42">
        <f t="shared" ref="E802:L802" si="433">SUM(E796:E801)</f>
        <v>0</v>
      </c>
      <c r="F802" s="17">
        <f t="shared" si="433"/>
        <v>0</v>
      </c>
      <c r="G802" s="42">
        <f t="shared" si="433"/>
        <v>0</v>
      </c>
      <c r="H802" s="42">
        <f t="shared" si="433"/>
        <v>0</v>
      </c>
      <c r="I802" s="42">
        <f t="shared" si="433"/>
        <v>0</v>
      </c>
      <c r="J802" s="43">
        <f t="shared" si="433"/>
        <v>0</v>
      </c>
      <c r="K802" s="42">
        <f t="shared" si="433"/>
        <v>0</v>
      </c>
      <c r="L802" s="42">
        <f t="shared" si="433"/>
        <v>0</v>
      </c>
      <c r="M802" s="44"/>
      <c r="N802" s="45"/>
      <c r="O802" s="1"/>
      <c r="P802" s="3"/>
      <c r="Q802" s="1"/>
      <c r="R802" s="1"/>
      <c r="S802" s="1"/>
      <c r="T802" s="1"/>
      <c r="U802" s="4"/>
    </row>
    <row r="803" spans="1:21" ht="18.75" hidden="1" customHeight="1">
      <c r="A803" s="46" t="s">
        <v>37</v>
      </c>
      <c r="B803" s="47" t="s">
        <v>43</v>
      </c>
      <c r="C803" s="48">
        <f>D794</f>
        <v>0</v>
      </c>
      <c r="D803" s="47" t="s">
        <v>44</v>
      </c>
      <c r="E803" s="49"/>
      <c r="F803" s="84"/>
      <c r="G803" s="85"/>
      <c r="H803" s="49"/>
      <c r="I803" s="53" t="s">
        <v>46</v>
      </c>
      <c r="J803" s="54"/>
      <c r="K803" s="50"/>
      <c r="L803" s="55"/>
      <c r="M803" s="63"/>
      <c r="N803" s="64"/>
      <c r="O803" s="1"/>
      <c r="P803" s="3"/>
      <c r="Q803" s="1"/>
      <c r="R803" s="1"/>
      <c r="S803" s="1"/>
      <c r="T803" s="1"/>
      <c r="U803" s="4"/>
    </row>
    <row r="804" spans="1:21" ht="16.5" hidden="1" customHeight="1" thickBot="1">
      <c r="A804" s="56" t="s">
        <v>48</v>
      </c>
      <c r="B804" s="57" t="s">
        <v>49</v>
      </c>
      <c r="C804" s="58">
        <f>ROUND(F802/10000,0)</f>
        <v>0</v>
      </c>
      <c r="D804" s="57" t="s">
        <v>50</v>
      </c>
      <c r="E804" s="52"/>
      <c r="F804" s="86"/>
      <c r="G804" s="87"/>
      <c r="H804" s="52"/>
      <c r="I804" s="59"/>
      <c r="J804" s="61"/>
      <c r="K804" s="59"/>
      <c r="L804" s="62"/>
      <c r="M804" s="63"/>
      <c r="N804" s="64"/>
      <c r="O804" s="1"/>
      <c r="P804" s="3"/>
      <c r="Q804" s="1"/>
      <c r="R804" s="1"/>
      <c r="S804" s="1"/>
      <c r="T804" s="1"/>
      <c r="U804" s="4"/>
    </row>
    <row r="805" spans="1:21" ht="18.75" hidden="1" customHeight="1" thickBot="1">
      <c r="A805" s="566" t="s">
        <v>52</v>
      </c>
      <c r="B805" s="567"/>
      <c r="C805" s="567"/>
      <c r="D805" s="568"/>
      <c r="E805" s="65"/>
      <c r="F805" s="569" t="s">
        <v>53</v>
      </c>
      <c r="G805" s="568"/>
      <c r="H805" s="66">
        <f>H802-J803</f>
        <v>0</v>
      </c>
      <c r="I805" s="67">
        <f>H805*3.3%</f>
        <v>0</v>
      </c>
      <c r="J805" s="68">
        <f>SUM(J802)</f>
        <v>0</v>
      </c>
      <c r="K805" s="69">
        <f>H805-I805</f>
        <v>0</v>
      </c>
      <c r="L805" s="70">
        <f>L802+SUM(H803:H804)+J804</f>
        <v>0</v>
      </c>
      <c r="M805" s="570">
        <f>K805+L805</f>
        <v>0</v>
      </c>
      <c r="N805" s="571"/>
      <c r="O805" s="1"/>
      <c r="P805" s="3"/>
      <c r="Q805" s="1"/>
      <c r="R805" s="1"/>
      <c r="S805" s="1"/>
      <c r="T805" s="1"/>
      <c r="U805" s="4"/>
    </row>
    <row r="806" spans="1:21" ht="15" customHeight="1">
      <c r="A806" s="1"/>
      <c r="B806" s="1"/>
      <c r="C806" s="1"/>
      <c r="D806" s="1"/>
      <c r="E806" s="1"/>
      <c r="F806" s="1"/>
      <c r="G806" s="1"/>
      <c r="H806" s="141">
        <v>1</v>
      </c>
      <c r="I806" s="1"/>
      <c r="J806" s="1"/>
      <c r="K806" s="1"/>
      <c r="L806" s="1"/>
      <c r="M806" s="1"/>
      <c r="N806" s="1"/>
      <c r="O806" s="1"/>
      <c r="P806" s="3"/>
      <c r="Q806" s="1"/>
      <c r="R806" s="1"/>
      <c r="S806" s="1"/>
      <c r="T806" s="1"/>
      <c r="U806" s="4"/>
    </row>
    <row r="807" spans="1:21" ht="18.75" customHeight="1">
      <c r="A807" s="6" t="s">
        <v>123</v>
      </c>
      <c r="B807" s="7" t="str">
        <f>$B$34</f>
        <v>1월</v>
      </c>
      <c r="C807" s="8" t="s">
        <v>1</v>
      </c>
      <c r="D807" s="9">
        <f>COUNTIF($C809:$C825,"계약")+(COUNTIF($C809:$C825,"계약2")*2)-COUNTIF($C809:$C825,"계약(환불)")-(COUNTIF($C809:$C825,"계약2(환불)")*2)</f>
        <v>4</v>
      </c>
      <c r="E807" s="3">
        <f>COUNTIF(C809:C825,"낙찰수수료")</f>
        <v>2</v>
      </c>
      <c r="F807" s="3"/>
      <c r="G807" s="89" t="s">
        <v>124</v>
      </c>
      <c r="H807" s="11">
        <v>0.5</v>
      </c>
      <c r="I807" s="12">
        <v>3.3000000000000002E-2</v>
      </c>
      <c r="J807" s="1"/>
      <c r="K807" s="1"/>
      <c r="L807" s="1"/>
      <c r="M807" s="1"/>
      <c r="N807" s="1"/>
      <c r="O807" s="1"/>
      <c r="P807" s="3"/>
      <c r="Q807" s="1"/>
      <c r="R807" s="1"/>
      <c r="S807" s="1"/>
      <c r="T807" s="1"/>
      <c r="U807" s="4"/>
    </row>
    <row r="808" spans="1:21" ht="18.75" customHeight="1">
      <c r="A808" s="13" t="s">
        <v>3</v>
      </c>
      <c r="B808" s="14" t="s">
        <v>4</v>
      </c>
      <c r="C808" s="14" t="s">
        <v>5</v>
      </c>
      <c r="D808" s="101" t="s">
        <v>6</v>
      </c>
      <c r="E808" s="16" t="s">
        <v>7</v>
      </c>
      <c r="F808" s="17" t="s">
        <v>8</v>
      </c>
      <c r="G808" s="14" t="s">
        <v>9</v>
      </c>
      <c r="H808" s="15" t="s">
        <v>10</v>
      </c>
      <c r="I808" s="14" t="s">
        <v>11</v>
      </c>
      <c r="J808" s="15" t="s">
        <v>12</v>
      </c>
      <c r="K808" s="14" t="s">
        <v>13</v>
      </c>
      <c r="L808" s="14" t="s">
        <v>14</v>
      </c>
      <c r="M808" s="579" t="s">
        <v>15</v>
      </c>
      <c r="N808" s="577"/>
      <c r="O808" s="1"/>
      <c r="P808" s="3"/>
      <c r="Q808" s="1"/>
      <c r="R808" s="1"/>
      <c r="S808" s="1"/>
      <c r="T808" s="1"/>
      <c r="U808" s="4"/>
    </row>
    <row r="809" spans="1:21" ht="18.75" customHeight="1">
      <c r="A809" s="28">
        <v>46028</v>
      </c>
      <c r="B809" s="29" t="s">
        <v>779</v>
      </c>
      <c r="C809" s="29" t="s">
        <v>357</v>
      </c>
      <c r="D809" s="38"/>
      <c r="E809" s="27">
        <v>550000</v>
      </c>
      <c r="F809" s="31">
        <f t="shared" ref="F809:F819" si="434">IF(D809="no",E809,E809/1.1)</f>
        <v>499999.99999999994</v>
      </c>
      <c r="G809" s="27">
        <f t="shared" ref="G809:G819" si="435">IF(D809="no",0,F809*0.1)</f>
        <v>50000</v>
      </c>
      <c r="H809" s="32">
        <f t="shared" ref="H809:H819" si="436">IF(D809="no",0,F809*$H$807)</f>
        <v>249999.99999999997</v>
      </c>
      <c r="I809" s="33">
        <f t="shared" ref="I809:I819" si="437">IF(D809="no",0,H809*3.3%)</f>
        <v>8250</v>
      </c>
      <c r="J809" s="26"/>
      <c r="K809" s="27">
        <f t="shared" ref="K809:K824" si="438">IF(D809="no",0,H809-I809-J809)</f>
        <v>241749.99999999997</v>
      </c>
      <c r="L809" s="27">
        <f>IF(D809="no",F809*H807-J809,0)</f>
        <v>0</v>
      </c>
      <c r="M809" s="580"/>
      <c r="N809" s="581"/>
      <c r="O809" s="1"/>
      <c r="P809" s="3"/>
      <c r="Q809" s="1"/>
      <c r="R809" s="1"/>
      <c r="S809" s="1"/>
      <c r="T809" s="1"/>
      <c r="U809" s="4"/>
    </row>
    <row r="810" spans="1:21" ht="18.75" customHeight="1">
      <c r="A810" s="276">
        <v>46030</v>
      </c>
      <c r="B810" s="277" t="s">
        <v>782</v>
      </c>
      <c r="C810" s="277" t="s">
        <v>23</v>
      </c>
      <c r="D810" s="131"/>
      <c r="E810" s="132">
        <v>2200000</v>
      </c>
      <c r="F810" s="133">
        <f t="shared" si="434"/>
        <v>1999999.9999999998</v>
      </c>
      <c r="G810" s="132">
        <f t="shared" si="435"/>
        <v>200000</v>
      </c>
      <c r="H810" s="32">
        <f t="shared" si="436"/>
        <v>999999.99999999988</v>
      </c>
      <c r="I810" s="134">
        <f t="shared" si="437"/>
        <v>33000</v>
      </c>
      <c r="J810" s="135"/>
      <c r="K810" s="132">
        <f t="shared" si="438"/>
        <v>966999.99999999988</v>
      </c>
      <c r="L810" s="22">
        <f>IF(D810="no",F810*H787-J810,0)</f>
        <v>0</v>
      </c>
      <c r="M810" s="572"/>
      <c r="N810" s="564"/>
      <c r="O810" s="1"/>
      <c r="P810" s="3"/>
      <c r="Q810" s="1"/>
      <c r="R810" s="1"/>
      <c r="S810" s="1"/>
      <c r="T810" s="1"/>
      <c r="U810" s="4"/>
    </row>
    <row r="811" spans="1:21" ht="18.75" customHeight="1">
      <c r="A811" s="28">
        <v>46041</v>
      </c>
      <c r="B811" s="29" t="s">
        <v>780</v>
      </c>
      <c r="C811" s="29" t="s">
        <v>56</v>
      </c>
      <c r="D811" s="38"/>
      <c r="E811" s="27">
        <v>6831000</v>
      </c>
      <c r="F811" s="31">
        <f t="shared" si="434"/>
        <v>6209999.9999999991</v>
      </c>
      <c r="G811" s="27">
        <f t="shared" si="435"/>
        <v>620999.99999999988</v>
      </c>
      <c r="H811" s="32">
        <f t="shared" si="436"/>
        <v>3104999.9999999995</v>
      </c>
      <c r="I811" s="33">
        <f t="shared" si="437"/>
        <v>102464.99999999999</v>
      </c>
      <c r="J811" s="26"/>
      <c r="K811" s="27">
        <f t="shared" si="438"/>
        <v>3002534.9999999995</v>
      </c>
      <c r="L811" s="27">
        <f>IF(D811="no",F811*H807-J811,0)</f>
        <v>0</v>
      </c>
      <c r="M811" s="572"/>
      <c r="N811" s="564"/>
      <c r="O811" s="1"/>
      <c r="P811" s="3"/>
      <c r="Q811" s="1"/>
      <c r="R811" s="1"/>
      <c r="S811" s="1"/>
      <c r="T811" s="1"/>
      <c r="U811" s="4"/>
    </row>
    <row r="812" spans="1:21" ht="18.75" customHeight="1">
      <c r="A812" s="39">
        <v>46042</v>
      </c>
      <c r="B812" s="29" t="s">
        <v>783</v>
      </c>
      <c r="C812" s="29" t="s">
        <v>55</v>
      </c>
      <c r="D812" s="38"/>
      <c r="E812" s="102">
        <v>110000</v>
      </c>
      <c r="F812" s="31">
        <f t="shared" si="434"/>
        <v>99999.999999999985</v>
      </c>
      <c r="G812" s="27">
        <f t="shared" si="435"/>
        <v>10000</v>
      </c>
      <c r="H812" s="32">
        <f t="shared" si="436"/>
        <v>49999.999999999993</v>
      </c>
      <c r="I812" s="33">
        <f t="shared" si="437"/>
        <v>1649.9999999999998</v>
      </c>
      <c r="J812" s="26"/>
      <c r="K812" s="27">
        <f t="shared" si="438"/>
        <v>48349.999999999993</v>
      </c>
      <c r="L812" s="27">
        <f>IF(D812="no",F812*H790-J812,0)</f>
        <v>0</v>
      </c>
      <c r="M812" s="572"/>
      <c r="N812" s="564"/>
      <c r="O812" s="1"/>
      <c r="P812" s="3"/>
      <c r="Q812" s="1"/>
      <c r="R812" s="1"/>
      <c r="S812" s="1"/>
      <c r="T812" s="1"/>
      <c r="U812" s="4"/>
    </row>
    <row r="813" spans="1:21" ht="18.75" customHeight="1">
      <c r="A813" s="39">
        <v>46048</v>
      </c>
      <c r="B813" s="29" t="s">
        <v>784</v>
      </c>
      <c r="C813" s="29" t="s">
        <v>357</v>
      </c>
      <c r="D813" s="95"/>
      <c r="E813" s="102">
        <v>550000</v>
      </c>
      <c r="F813" s="31">
        <f t="shared" si="434"/>
        <v>499999.99999999994</v>
      </c>
      <c r="G813" s="27">
        <f t="shared" si="435"/>
        <v>50000</v>
      </c>
      <c r="H813" s="32">
        <f t="shared" si="436"/>
        <v>249999.99999999997</v>
      </c>
      <c r="I813" s="33">
        <f t="shared" si="437"/>
        <v>8250</v>
      </c>
      <c r="J813" s="26"/>
      <c r="K813" s="27">
        <f t="shared" si="438"/>
        <v>241749.99999999997</v>
      </c>
      <c r="L813" s="27">
        <f>IF(D813="no",F813*H807-J813,0)</f>
        <v>0</v>
      </c>
      <c r="M813" s="572"/>
      <c r="N813" s="564"/>
      <c r="O813" s="1"/>
      <c r="P813" s="3"/>
      <c r="Q813" s="1"/>
      <c r="R813" s="1"/>
      <c r="S813" s="1"/>
      <c r="T813" s="1"/>
      <c r="U813" s="4"/>
    </row>
    <row r="814" spans="1:21" ht="18.75" customHeight="1">
      <c r="A814" s="28">
        <v>46049</v>
      </c>
      <c r="B814" s="29" t="s">
        <v>781</v>
      </c>
      <c r="C814" s="30" t="s">
        <v>56</v>
      </c>
      <c r="D814" s="38"/>
      <c r="E814" s="27">
        <v>6273630</v>
      </c>
      <c r="F814" s="31">
        <f t="shared" si="434"/>
        <v>5703300</v>
      </c>
      <c r="G814" s="27">
        <f t="shared" si="435"/>
        <v>570330</v>
      </c>
      <c r="H814" s="32">
        <f t="shared" si="436"/>
        <v>2851650</v>
      </c>
      <c r="I814" s="33">
        <f t="shared" si="437"/>
        <v>94104.450000000012</v>
      </c>
      <c r="J814" s="26"/>
      <c r="K814" s="27">
        <f t="shared" si="438"/>
        <v>2757545.55</v>
      </c>
      <c r="L814" s="27">
        <f>IF(D814="no",F814*H807-J814,0)</f>
        <v>0</v>
      </c>
      <c r="M814" s="563"/>
      <c r="N814" s="564"/>
      <c r="O814" s="1"/>
      <c r="P814" s="3"/>
      <c r="Q814" s="1"/>
      <c r="R814" s="1"/>
      <c r="S814" s="1"/>
      <c r="T814" s="1"/>
      <c r="U814" s="4"/>
    </row>
    <row r="815" spans="1:21" ht="18.75" customHeight="1">
      <c r="A815" s="28"/>
      <c r="B815" s="29"/>
      <c r="C815" s="30"/>
      <c r="D815" s="21"/>
      <c r="E815" s="111"/>
      <c r="F815" s="288">
        <f t="shared" si="434"/>
        <v>0</v>
      </c>
      <c r="G815" s="111">
        <f t="shared" si="435"/>
        <v>0</v>
      </c>
      <c r="H815" s="112">
        <f t="shared" si="436"/>
        <v>0</v>
      </c>
      <c r="I815" s="113">
        <f t="shared" si="437"/>
        <v>0</v>
      </c>
      <c r="J815" s="114"/>
      <c r="K815" s="111">
        <f t="shared" si="438"/>
        <v>0</v>
      </c>
      <c r="L815" s="27">
        <f>IF(D815="no",F815*H808-J815,0)</f>
        <v>0</v>
      </c>
      <c r="M815" s="572"/>
      <c r="N815" s="564"/>
      <c r="O815" s="1"/>
      <c r="P815" s="3"/>
      <c r="Q815" s="1"/>
      <c r="R815" s="1"/>
      <c r="S815" s="1"/>
      <c r="T815" s="1"/>
      <c r="U815" s="4"/>
    </row>
    <row r="816" spans="1:21" s="534" customFormat="1" ht="18.75" customHeight="1">
      <c r="A816" s="28"/>
      <c r="B816" s="29"/>
      <c r="C816" s="30"/>
      <c r="D816" s="535"/>
      <c r="E816" s="27"/>
      <c r="F816" s="31">
        <f t="shared" ref="F816" si="439">IF(D816="no",E816,E816/1.1)</f>
        <v>0</v>
      </c>
      <c r="G816" s="27">
        <f t="shared" ref="G816" si="440">IF(D816="no",0,F816*0.1)</f>
        <v>0</v>
      </c>
      <c r="H816" s="32">
        <f t="shared" ref="H816" si="441">IF(D816="no",0,F816*$H$807)</f>
        <v>0</v>
      </c>
      <c r="I816" s="33">
        <f t="shared" ref="I816" si="442">IF(D816="no",0,H816*3.3%)</f>
        <v>0</v>
      </c>
      <c r="J816" s="26"/>
      <c r="K816" s="27">
        <f t="shared" ref="K816" si="443">IF(D816="no",0,H816-I816-J816)</f>
        <v>0</v>
      </c>
      <c r="L816" s="27">
        <f t="shared" ref="L816:L821" si="444">IF(D816="no",F816*H804-J816,0)</f>
        <v>0</v>
      </c>
      <c r="M816" s="572"/>
      <c r="N816" s="564"/>
      <c r="O816" s="1"/>
      <c r="P816" s="3"/>
      <c r="Q816" s="1"/>
      <c r="R816" s="1"/>
      <c r="S816" s="1"/>
      <c r="T816" s="1"/>
      <c r="U816" s="4"/>
    </row>
    <row r="817" spans="1:21" ht="18.75" hidden="1" customHeight="1">
      <c r="A817" s="28"/>
      <c r="B817" s="29"/>
      <c r="C817" s="30"/>
      <c r="D817" s="38"/>
      <c r="E817" s="27"/>
      <c r="F817" s="31">
        <f t="shared" si="434"/>
        <v>0</v>
      </c>
      <c r="G817" s="27">
        <f t="shared" si="435"/>
        <v>0</v>
      </c>
      <c r="H817" s="32">
        <f t="shared" si="436"/>
        <v>0</v>
      </c>
      <c r="I817" s="33">
        <f t="shared" si="437"/>
        <v>0</v>
      </c>
      <c r="J817" s="26"/>
      <c r="K817" s="27">
        <f t="shared" si="438"/>
        <v>0</v>
      </c>
      <c r="L817" s="27">
        <f t="shared" si="444"/>
        <v>0</v>
      </c>
      <c r="M817" s="572"/>
      <c r="N817" s="564"/>
      <c r="O817" s="1"/>
      <c r="P817" s="3"/>
      <c r="Q817" s="1"/>
      <c r="R817" s="1"/>
      <c r="S817" s="1"/>
      <c r="T817" s="1"/>
      <c r="U817" s="4"/>
    </row>
    <row r="818" spans="1:21" ht="18.75" hidden="1" customHeight="1">
      <c r="A818" s="18"/>
      <c r="B818" s="19"/>
      <c r="C818" s="20"/>
      <c r="D818" s="21"/>
      <c r="E818" s="22"/>
      <c r="F818" s="23">
        <f t="shared" si="434"/>
        <v>0</v>
      </c>
      <c r="G818" s="22">
        <f t="shared" si="435"/>
        <v>0</v>
      </c>
      <c r="H818" s="24">
        <f t="shared" si="436"/>
        <v>0</v>
      </c>
      <c r="I818" s="25">
        <f t="shared" si="437"/>
        <v>0</v>
      </c>
      <c r="J818" s="26"/>
      <c r="K818" s="22">
        <f t="shared" si="438"/>
        <v>0</v>
      </c>
      <c r="L818" s="27">
        <f t="shared" si="444"/>
        <v>0</v>
      </c>
      <c r="M818" s="591"/>
      <c r="N818" s="564"/>
      <c r="O818" s="1"/>
      <c r="P818" s="3"/>
      <c r="Q818" s="1"/>
      <c r="R818" s="1"/>
      <c r="S818" s="1"/>
      <c r="T818" s="1"/>
      <c r="U818" s="4"/>
    </row>
    <row r="819" spans="1:21" ht="18.75" hidden="1" customHeight="1">
      <c r="A819" s="28"/>
      <c r="B819" s="29"/>
      <c r="C819" s="30"/>
      <c r="D819" s="38"/>
      <c r="E819" s="27"/>
      <c r="F819" s="31">
        <f t="shared" si="434"/>
        <v>0</v>
      </c>
      <c r="G819" s="27">
        <f t="shared" si="435"/>
        <v>0</v>
      </c>
      <c r="H819" s="32">
        <f t="shared" si="436"/>
        <v>0</v>
      </c>
      <c r="I819" s="33">
        <f t="shared" si="437"/>
        <v>0</v>
      </c>
      <c r="J819" s="26"/>
      <c r="K819" s="27">
        <f t="shared" si="438"/>
        <v>0</v>
      </c>
      <c r="L819" s="27">
        <f t="shared" si="444"/>
        <v>0</v>
      </c>
      <c r="M819" s="572"/>
      <c r="N819" s="564"/>
      <c r="O819" s="1"/>
      <c r="P819" s="3"/>
      <c r="Q819" s="1"/>
      <c r="R819" s="1"/>
      <c r="S819" s="1"/>
      <c r="T819" s="1"/>
      <c r="U819" s="4"/>
    </row>
    <row r="820" spans="1:21" s="263" customFormat="1" ht="18.75" hidden="1" customHeight="1">
      <c r="A820" s="28"/>
      <c r="B820" s="29"/>
      <c r="C820" s="30"/>
      <c r="D820" s="262"/>
      <c r="E820" s="27"/>
      <c r="F820" s="31">
        <f t="shared" ref="F820:F821" si="445">IF(D820="no",E820,E820/1.1)</f>
        <v>0</v>
      </c>
      <c r="G820" s="27">
        <f t="shared" ref="G820:G821" si="446">IF(D820="no",0,F820*0.1)</f>
        <v>0</v>
      </c>
      <c r="H820" s="32"/>
      <c r="I820" s="33">
        <f t="shared" ref="I820:I822" si="447">IF(D820="no",0,H820*3.3%)</f>
        <v>0</v>
      </c>
      <c r="J820" s="26"/>
      <c r="K820" s="27">
        <f t="shared" ref="K820" si="448">IF(D820="no",0,H820-I820-J820)</f>
        <v>0</v>
      </c>
      <c r="L820" s="27">
        <f t="shared" si="444"/>
        <v>0</v>
      </c>
      <c r="M820" s="573"/>
      <c r="N820" s="564"/>
      <c r="O820" s="1"/>
      <c r="P820" s="3"/>
      <c r="Q820" s="1"/>
      <c r="R820" s="1"/>
      <c r="S820" s="1"/>
      <c r="T820" s="1"/>
      <c r="U820" s="4"/>
    </row>
    <row r="821" spans="1:21" ht="18.75" customHeight="1">
      <c r="A821" s="28"/>
      <c r="B821" s="29"/>
      <c r="C821" s="30"/>
      <c r="D821" s="21"/>
      <c r="E821" s="27"/>
      <c r="F821" s="31">
        <f t="shared" si="445"/>
        <v>0</v>
      </c>
      <c r="G821" s="27">
        <f t="shared" si="446"/>
        <v>0</v>
      </c>
      <c r="H821" s="32">
        <f>IF(D821="no",0,F821*$H$807)</f>
        <v>0</v>
      </c>
      <c r="I821" s="33">
        <f t="shared" si="447"/>
        <v>0</v>
      </c>
      <c r="J821" s="26"/>
      <c r="K821" s="27">
        <f t="shared" si="438"/>
        <v>0</v>
      </c>
      <c r="L821" s="27">
        <f t="shared" si="444"/>
        <v>0</v>
      </c>
      <c r="M821" s="573"/>
      <c r="N821" s="564"/>
      <c r="O821" s="1"/>
      <c r="P821" s="3"/>
      <c r="Q821" s="1"/>
      <c r="R821" s="1"/>
      <c r="S821" s="1"/>
      <c r="T821" s="1"/>
      <c r="U821" s="4"/>
    </row>
    <row r="822" spans="1:21" s="321" customFormat="1" ht="18.75" customHeight="1">
      <c r="A822" s="39" t="s">
        <v>616</v>
      </c>
      <c r="B822" s="29" t="s">
        <v>343</v>
      </c>
      <c r="C822" s="30"/>
      <c r="D822" s="320"/>
      <c r="E822" s="27"/>
      <c r="F822" s="31">
        <f t="shared" ref="F822:F823" si="449">IF(D822="no",E822,E822/1.1)</f>
        <v>0</v>
      </c>
      <c r="G822" s="27">
        <v>0</v>
      </c>
      <c r="H822" s="112"/>
      <c r="I822" s="33">
        <f t="shared" si="447"/>
        <v>0</v>
      </c>
      <c r="J822" s="26">
        <v>45000</v>
      </c>
      <c r="K822" s="27">
        <f t="shared" si="438"/>
        <v>-45000</v>
      </c>
      <c r="L822" s="40">
        <f>IF(D822="no",F822*H800-J822,0)</f>
        <v>0</v>
      </c>
      <c r="M822" s="572" t="s">
        <v>843</v>
      </c>
      <c r="N822" s="564"/>
      <c r="O822" s="1"/>
      <c r="P822" s="3"/>
      <c r="Q822" s="1"/>
      <c r="R822" s="1"/>
      <c r="S822" s="1"/>
      <c r="T822" s="1"/>
      <c r="U822" s="4"/>
    </row>
    <row r="823" spans="1:21" ht="18.75" customHeight="1">
      <c r="A823" s="39" t="s">
        <v>616</v>
      </c>
      <c r="B823" s="29" t="s">
        <v>35</v>
      </c>
      <c r="C823" s="30"/>
      <c r="D823" s="21"/>
      <c r="E823" s="27"/>
      <c r="F823" s="31">
        <f t="shared" si="449"/>
        <v>0</v>
      </c>
      <c r="G823" s="27">
        <f t="shared" ref="G823" si="450">IF(D823="no",0,F823*0.1)</f>
        <v>0</v>
      </c>
      <c r="H823" s="32">
        <f>IF(D823="no",0,F823*$H$807)</f>
        <v>0</v>
      </c>
      <c r="I823" s="33">
        <f t="shared" ref="I823" si="451">IF(D823="no",0,H823*3.3%)</f>
        <v>0</v>
      </c>
      <c r="J823" s="26"/>
      <c r="K823" s="27">
        <f>IF(D823="no",0,H823-I823-J823)</f>
        <v>0</v>
      </c>
      <c r="L823" s="27">
        <f>IF(D823="no",F823*#REF!-J823,0)</f>
        <v>0</v>
      </c>
      <c r="M823" s="574"/>
      <c r="N823" s="564"/>
      <c r="O823" s="1"/>
      <c r="P823" s="3"/>
      <c r="Q823" s="1"/>
      <c r="R823" s="1"/>
      <c r="S823" s="1"/>
      <c r="T823" s="1"/>
      <c r="U823" s="4"/>
    </row>
    <row r="824" spans="1:21" ht="18.75" customHeight="1">
      <c r="A824" s="39" t="s">
        <v>616</v>
      </c>
      <c r="B824" s="29" t="s">
        <v>61</v>
      </c>
      <c r="C824" s="30"/>
      <c r="D824" s="21"/>
      <c r="E824" s="27"/>
      <c r="F824" s="31">
        <f t="shared" ref="F824:F826" si="452">IF(D824="no",E824,E824/1.1)</f>
        <v>0</v>
      </c>
      <c r="G824" s="27">
        <f t="shared" ref="G824:G826" si="453">IF(D824="no",0,F824*0.1)</f>
        <v>0</v>
      </c>
      <c r="H824" s="32">
        <f>IF(D824="no",0,F824*$H$807)</f>
        <v>0</v>
      </c>
      <c r="I824" s="33">
        <f t="shared" ref="I824" si="454">IF(D824="no",0,H824*3.3%)</f>
        <v>0</v>
      </c>
      <c r="J824" s="26"/>
      <c r="K824" s="27">
        <f t="shared" si="438"/>
        <v>0</v>
      </c>
      <c r="L824" s="27">
        <f>IF(D824="no",F824*H810-J824,0)</f>
        <v>0</v>
      </c>
      <c r="M824" s="94"/>
      <c r="N824" s="95"/>
      <c r="O824" s="1"/>
      <c r="P824" s="3"/>
      <c r="Q824" s="1"/>
      <c r="R824" s="1"/>
      <c r="S824" s="1"/>
      <c r="T824" s="1"/>
      <c r="U824" s="4"/>
    </row>
    <row r="825" spans="1:21" ht="18.75" customHeight="1">
      <c r="A825" s="39" t="s">
        <v>616</v>
      </c>
      <c r="B825" s="29" t="s">
        <v>37</v>
      </c>
      <c r="C825" s="30"/>
      <c r="D825" s="21"/>
      <c r="E825" s="27"/>
      <c r="F825" s="31">
        <f t="shared" si="452"/>
        <v>0</v>
      </c>
      <c r="G825" s="27">
        <f t="shared" si="453"/>
        <v>0</v>
      </c>
      <c r="H825" s="32">
        <f>IF(D825="no",0,F825*$H$807)</f>
        <v>0</v>
      </c>
      <c r="I825" s="33">
        <f t="shared" ref="I825:I826" si="455">IF(D825="no",0,H825*3.3%)</f>
        <v>0</v>
      </c>
      <c r="J825" s="26"/>
      <c r="K825" s="27">
        <f t="shared" ref="K825:K826" si="456">IF(D825="no",0,H825-I825-J825)</f>
        <v>0</v>
      </c>
      <c r="L825" s="27">
        <f>IF(D825="no",F825*H811-J825,0)</f>
        <v>0</v>
      </c>
      <c r="M825" s="574"/>
      <c r="N825" s="645"/>
      <c r="O825" s="1"/>
      <c r="P825" s="3"/>
      <c r="Q825" s="1"/>
      <c r="R825" s="1"/>
      <c r="S825" s="1"/>
      <c r="T825" s="1"/>
      <c r="U825" s="4"/>
    </row>
    <row r="826" spans="1:21" s="268" customFormat="1" ht="18.75" customHeight="1">
      <c r="A826" s="39" t="s">
        <v>616</v>
      </c>
      <c r="B826" s="29" t="s">
        <v>106</v>
      </c>
      <c r="C826" s="30"/>
      <c r="D826" s="267"/>
      <c r="E826" s="27"/>
      <c r="F826" s="31">
        <f t="shared" si="452"/>
        <v>0</v>
      </c>
      <c r="G826" s="27">
        <f t="shared" si="453"/>
        <v>0</v>
      </c>
      <c r="H826" s="32">
        <f>IF(D826="no",0,F826*$H$807)</f>
        <v>0</v>
      </c>
      <c r="I826" s="33">
        <f t="shared" si="455"/>
        <v>0</v>
      </c>
      <c r="J826" s="26"/>
      <c r="K826" s="27">
        <f t="shared" si="456"/>
        <v>0</v>
      </c>
      <c r="L826" s="27">
        <f>IF(D826="no",F826*H812-J826,0)</f>
        <v>0</v>
      </c>
      <c r="M826" s="572"/>
      <c r="N826" s="564"/>
      <c r="O826" s="1"/>
      <c r="P826" s="3"/>
      <c r="Q826" s="1"/>
      <c r="R826" s="1"/>
      <c r="S826" s="1"/>
      <c r="T826" s="1"/>
      <c r="U826" s="4"/>
    </row>
    <row r="827" spans="1:21" ht="18.75" customHeight="1">
      <c r="A827" s="575" t="s">
        <v>42</v>
      </c>
      <c r="B827" s="576"/>
      <c r="C827" s="576"/>
      <c r="D827" s="577"/>
      <c r="E827" s="42">
        <f t="shared" ref="E827:L827" si="457">SUM(E809:E826)</f>
        <v>16514630</v>
      </c>
      <c r="F827" s="17">
        <f t="shared" si="457"/>
        <v>15013299.999999998</v>
      </c>
      <c r="G827" s="42">
        <f t="shared" si="457"/>
        <v>1501330</v>
      </c>
      <c r="H827" s="42">
        <f t="shared" si="457"/>
        <v>7506649.9999999991</v>
      </c>
      <c r="I827" s="42">
        <f t="shared" si="457"/>
        <v>247719.45</v>
      </c>
      <c r="J827" s="42">
        <f t="shared" si="457"/>
        <v>45000</v>
      </c>
      <c r="K827" s="42">
        <f t="shared" si="457"/>
        <v>7213930.5499999989</v>
      </c>
      <c r="L827" s="42">
        <f t="shared" si="457"/>
        <v>0</v>
      </c>
      <c r="M827" s="44"/>
      <c r="N827" s="45"/>
      <c r="O827" s="1"/>
      <c r="P827" s="3"/>
      <c r="Q827" s="1"/>
      <c r="R827" s="1"/>
      <c r="S827" s="1"/>
      <c r="T827" s="1"/>
      <c r="U827" s="4"/>
    </row>
    <row r="828" spans="1:21" ht="18.75" customHeight="1">
      <c r="A828" s="46" t="s">
        <v>37</v>
      </c>
      <c r="B828" s="47" t="s">
        <v>43</v>
      </c>
      <c r="C828" s="48">
        <f>D807</f>
        <v>4</v>
      </c>
      <c r="D828" s="47" t="s">
        <v>44</v>
      </c>
      <c r="E828" s="49"/>
      <c r="F828" s="84"/>
      <c r="G828" s="85"/>
      <c r="H828" s="49"/>
      <c r="I828" s="53" t="s">
        <v>46</v>
      </c>
      <c r="J828" s="54">
        <v>54650</v>
      </c>
      <c r="K828" s="50"/>
      <c r="L828" s="55"/>
      <c r="M828" s="63"/>
      <c r="N828" s="64"/>
      <c r="O828" s="1"/>
      <c r="P828" s="3"/>
      <c r="Q828" s="1"/>
      <c r="R828" s="1"/>
      <c r="S828" s="1"/>
      <c r="T828" s="1"/>
      <c r="U828" s="4"/>
    </row>
    <row r="829" spans="1:21" ht="16.5" customHeight="1" thickBot="1">
      <c r="A829" s="56" t="s">
        <v>48</v>
      </c>
      <c r="B829" s="57" t="s">
        <v>49</v>
      </c>
      <c r="C829" s="58">
        <f>ROUND(F827/10000,0)</f>
        <v>1501</v>
      </c>
      <c r="D829" s="57" t="s">
        <v>50</v>
      </c>
      <c r="E829" s="52"/>
      <c r="F829" s="86"/>
      <c r="G829" s="87"/>
      <c r="H829" s="52"/>
      <c r="I829" s="59"/>
      <c r="J829" s="61"/>
      <c r="K829" s="59"/>
      <c r="L829" s="62"/>
      <c r="M829" s="63"/>
      <c r="N829" s="64"/>
      <c r="O829" s="1"/>
      <c r="P829" s="3"/>
      <c r="Q829" s="1"/>
      <c r="R829" s="1"/>
      <c r="S829" s="1"/>
      <c r="T829" s="1"/>
      <c r="U829" s="4"/>
    </row>
    <row r="830" spans="1:21" ht="18.75" customHeight="1" thickBot="1">
      <c r="A830" s="566" t="s">
        <v>52</v>
      </c>
      <c r="B830" s="567"/>
      <c r="C830" s="567"/>
      <c r="D830" s="568"/>
      <c r="E830" s="65"/>
      <c r="F830" s="569" t="s">
        <v>53</v>
      </c>
      <c r="G830" s="568"/>
      <c r="H830" s="66">
        <f>H827-J828</f>
        <v>7451999.9999999991</v>
      </c>
      <c r="I830" s="67">
        <f>H830*3.3%</f>
        <v>245915.99999999997</v>
      </c>
      <c r="J830" s="68">
        <f>SUM(J827)</f>
        <v>45000</v>
      </c>
      <c r="K830" s="69">
        <f>H830-I830-J830</f>
        <v>7161083.9999999991</v>
      </c>
      <c r="L830" s="70">
        <f>L827+SUM(H828:H829)+J829</f>
        <v>0</v>
      </c>
      <c r="M830" s="570">
        <f>K830+L830</f>
        <v>7161083.9999999991</v>
      </c>
      <c r="N830" s="571"/>
      <c r="O830" s="1"/>
      <c r="P830" s="3"/>
      <c r="Q830" s="1"/>
      <c r="R830" s="1"/>
      <c r="S830" s="1"/>
      <c r="T830" s="1"/>
      <c r="U830" s="4"/>
    </row>
    <row r="831" spans="1:21" ht="15" hidden="1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3"/>
      <c r="Q831" s="1"/>
      <c r="R831" s="1"/>
      <c r="S831" s="1"/>
      <c r="T831" s="1"/>
      <c r="U831" s="4"/>
    </row>
    <row r="832" spans="1:21" ht="15" hidden="1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3"/>
      <c r="Q832" s="1"/>
      <c r="R832" s="1"/>
      <c r="S832" s="1"/>
      <c r="T832" s="1"/>
      <c r="U832" s="4"/>
    </row>
    <row r="833" spans="1:21" ht="18.75" hidden="1" customHeight="1">
      <c r="A833" s="6"/>
      <c r="B833" s="7" t="str">
        <f>$B$34</f>
        <v>1월</v>
      </c>
      <c r="C833" s="8" t="s">
        <v>1</v>
      </c>
      <c r="D833" s="9">
        <f>COUNTIF($C835:$C839,"계약")+(COUNTIF($C835:$C839,"계약2")*2)</f>
        <v>0</v>
      </c>
      <c r="E833" s="3">
        <f>COUNTIF(C835:C839,"낙찰수수료")</f>
        <v>0</v>
      </c>
      <c r="F833" s="3"/>
      <c r="G833" s="89" t="s">
        <v>125</v>
      </c>
      <c r="H833" s="123">
        <v>0.4</v>
      </c>
      <c r="I833" s="12">
        <v>3.3000000000000002E-2</v>
      </c>
      <c r="J833" s="1"/>
      <c r="K833" s="1"/>
      <c r="L833" s="1"/>
      <c r="M833" s="1"/>
      <c r="N833" s="1"/>
      <c r="O833" s="1"/>
      <c r="P833" s="3"/>
      <c r="Q833" s="1"/>
      <c r="R833" s="1"/>
      <c r="S833" s="1"/>
      <c r="T833" s="1"/>
      <c r="U833" s="4"/>
    </row>
    <row r="834" spans="1:21" ht="18.75" hidden="1" customHeight="1">
      <c r="A834" s="13" t="s">
        <v>3</v>
      </c>
      <c r="B834" s="14" t="s">
        <v>4</v>
      </c>
      <c r="C834" s="14" t="s">
        <v>5</v>
      </c>
      <c r="D834" s="101" t="s">
        <v>6</v>
      </c>
      <c r="E834" s="16" t="s">
        <v>7</v>
      </c>
      <c r="F834" s="17" t="s">
        <v>8</v>
      </c>
      <c r="G834" s="14" t="s">
        <v>9</v>
      </c>
      <c r="H834" s="15" t="s">
        <v>10</v>
      </c>
      <c r="I834" s="14" t="s">
        <v>11</v>
      </c>
      <c r="J834" s="15" t="s">
        <v>12</v>
      </c>
      <c r="K834" s="14" t="s">
        <v>13</v>
      </c>
      <c r="L834" s="14" t="s">
        <v>14</v>
      </c>
      <c r="M834" s="579" t="s">
        <v>15</v>
      </c>
      <c r="N834" s="577"/>
      <c r="O834" s="1"/>
      <c r="P834" s="3"/>
      <c r="Q834" s="1"/>
      <c r="R834" s="1"/>
      <c r="S834" s="1"/>
      <c r="T834" s="1"/>
      <c r="U834" s="4"/>
    </row>
    <row r="835" spans="1:21" ht="18.75" hidden="1" customHeight="1">
      <c r="A835" s="28"/>
      <c r="B835" s="29"/>
      <c r="C835" s="30"/>
      <c r="D835" s="38"/>
      <c r="E835" s="27"/>
      <c r="F835" s="31">
        <f t="shared" ref="F835" si="458">IF(D835="no",E835,E835/1.1)</f>
        <v>0</v>
      </c>
      <c r="G835" s="27">
        <f t="shared" ref="G835" si="459">IF(D835="no",0,F835*0.1)</f>
        <v>0</v>
      </c>
      <c r="H835" s="32">
        <f>IF(D835="no",0,F835*H833)</f>
        <v>0</v>
      </c>
      <c r="I835" s="33">
        <f t="shared" ref="I835:I839" si="460">IF(D835="no",0,H835*3.3%)</f>
        <v>0</v>
      </c>
      <c r="J835" s="26"/>
      <c r="K835" s="27">
        <f t="shared" ref="K835:K839" si="461">IF(D835="no",0,H835-I835-J835)</f>
        <v>0</v>
      </c>
      <c r="L835" s="27">
        <f>IF(D835="no",F835*H833-J835,0)</f>
        <v>0</v>
      </c>
      <c r="M835" s="580"/>
      <c r="N835" s="581"/>
      <c r="O835" s="1"/>
      <c r="P835" s="3"/>
      <c r="Q835" s="1"/>
      <c r="R835" s="1"/>
      <c r="S835" s="1"/>
      <c r="T835" s="1"/>
      <c r="U835" s="4"/>
    </row>
    <row r="836" spans="1:21" ht="18.75" hidden="1" customHeight="1">
      <c r="A836" s="39" t="s">
        <v>501</v>
      </c>
      <c r="B836" s="29" t="s">
        <v>100</v>
      </c>
      <c r="C836" s="30"/>
      <c r="D836" s="21"/>
      <c r="E836" s="27"/>
      <c r="F836" s="31"/>
      <c r="G836" s="27"/>
      <c r="H836" s="32"/>
      <c r="I836" s="33">
        <f t="shared" si="460"/>
        <v>0</v>
      </c>
      <c r="J836" s="26"/>
      <c r="K836" s="27">
        <f t="shared" si="461"/>
        <v>0</v>
      </c>
      <c r="L836" s="1"/>
      <c r="M836" s="142"/>
      <c r="N836" s="143"/>
      <c r="O836" s="1"/>
      <c r="P836" s="3"/>
      <c r="Q836" s="1"/>
      <c r="R836" s="1"/>
      <c r="S836" s="1"/>
      <c r="T836" s="1"/>
      <c r="U836" s="4"/>
    </row>
    <row r="837" spans="1:21" ht="18.75" hidden="1" customHeight="1">
      <c r="A837" s="39" t="s">
        <v>501</v>
      </c>
      <c r="B837" s="29" t="s">
        <v>61</v>
      </c>
      <c r="C837" s="30"/>
      <c r="D837" s="21"/>
      <c r="E837" s="27"/>
      <c r="F837" s="31"/>
      <c r="G837" s="27"/>
      <c r="H837" s="32">
        <f>IF(D837="no",0,F837*H542)</f>
        <v>0</v>
      </c>
      <c r="I837" s="33">
        <f t="shared" si="460"/>
        <v>0</v>
      </c>
      <c r="J837" s="26"/>
      <c r="K837" s="27">
        <f t="shared" si="461"/>
        <v>0</v>
      </c>
      <c r="L837" s="27">
        <f>IF(D837="no",F837*H833-J837,0)</f>
        <v>0</v>
      </c>
      <c r="M837" s="94"/>
      <c r="N837" s="95"/>
      <c r="O837" s="1"/>
      <c r="P837" s="3"/>
      <c r="Q837" s="1"/>
      <c r="R837" s="1"/>
      <c r="S837" s="1"/>
      <c r="T837" s="1"/>
      <c r="U837" s="4"/>
    </row>
    <row r="838" spans="1:21" ht="18.75" hidden="1" customHeight="1">
      <c r="A838" s="39" t="s">
        <v>501</v>
      </c>
      <c r="B838" s="29" t="s">
        <v>35</v>
      </c>
      <c r="C838" s="30"/>
      <c r="D838" s="21"/>
      <c r="E838" s="27"/>
      <c r="F838" s="31">
        <f t="shared" ref="F838:F839" si="462">IF(D838="no",E838,E838/1.1)</f>
        <v>0</v>
      </c>
      <c r="G838" s="27">
        <f t="shared" ref="G838:G839" si="463">IF(D838="no",0,F838*0.1)</f>
        <v>0</v>
      </c>
      <c r="H838" s="32"/>
      <c r="I838" s="33">
        <f t="shared" si="460"/>
        <v>0</v>
      </c>
      <c r="J838" s="26"/>
      <c r="K838" s="27">
        <f t="shared" si="461"/>
        <v>0</v>
      </c>
      <c r="L838" s="1"/>
      <c r="M838" s="574"/>
      <c r="N838" s="564"/>
      <c r="O838" s="1"/>
      <c r="P838" s="3"/>
      <c r="Q838" s="1"/>
      <c r="R838" s="1"/>
      <c r="S838" s="1"/>
      <c r="T838" s="1"/>
      <c r="U838" s="4"/>
    </row>
    <row r="839" spans="1:21" ht="18.75" hidden="1" customHeight="1">
      <c r="A839" s="39" t="s">
        <v>501</v>
      </c>
      <c r="B839" s="29" t="s">
        <v>37</v>
      </c>
      <c r="C839" s="30"/>
      <c r="D839" s="21"/>
      <c r="E839" s="27"/>
      <c r="F839" s="31">
        <f t="shared" si="462"/>
        <v>0</v>
      </c>
      <c r="G839" s="27">
        <f t="shared" si="463"/>
        <v>0</v>
      </c>
      <c r="H839" s="37"/>
      <c r="I839" s="33">
        <f t="shared" si="460"/>
        <v>0</v>
      </c>
      <c r="J839" s="26"/>
      <c r="K839" s="27">
        <f t="shared" si="461"/>
        <v>0</v>
      </c>
      <c r="L839" s="27"/>
      <c r="M839" s="572"/>
      <c r="N839" s="564"/>
      <c r="O839" s="1"/>
      <c r="P839" s="3"/>
      <c r="Q839" s="1"/>
      <c r="R839" s="1"/>
      <c r="S839" s="1"/>
      <c r="T839" s="1"/>
      <c r="U839" s="4"/>
    </row>
    <row r="840" spans="1:21" ht="18.75" hidden="1" customHeight="1">
      <c r="A840" s="575" t="s">
        <v>42</v>
      </c>
      <c r="B840" s="576"/>
      <c r="C840" s="576"/>
      <c r="D840" s="577"/>
      <c r="E840" s="42">
        <f t="shared" ref="E840:L840" si="464">SUM(E835:E839)</f>
        <v>0</v>
      </c>
      <c r="F840" s="17">
        <f t="shared" si="464"/>
        <v>0</v>
      </c>
      <c r="G840" s="42">
        <f t="shared" si="464"/>
        <v>0</v>
      </c>
      <c r="H840" s="43">
        <f t="shared" si="464"/>
        <v>0</v>
      </c>
      <c r="I840" s="42">
        <f t="shared" si="464"/>
        <v>0</v>
      </c>
      <c r="J840" s="43">
        <f t="shared" si="464"/>
        <v>0</v>
      </c>
      <c r="K840" s="42">
        <f t="shared" si="464"/>
        <v>0</v>
      </c>
      <c r="L840" s="42">
        <f t="shared" si="464"/>
        <v>0</v>
      </c>
      <c r="M840" s="44"/>
      <c r="N840" s="45"/>
      <c r="O840" s="1"/>
      <c r="P840" s="3"/>
      <c r="Q840" s="1"/>
      <c r="R840" s="1"/>
      <c r="S840" s="1"/>
      <c r="T840" s="1"/>
      <c r="U840" s="4"/>
    </row>
    <row r="841" spans="1:21" ht="18.75" hidden="1" customHeight="1">
      <c r="A841" s="46" t="s">
        <v>37</v>
      </c>
      <c r="B841" s="47" t="s">
        <v>43</v>
      </c>
      <c r="C841" s="48">
        <f>D833</f>
        <v>0</v>
      </c>
      <c r="D841" s="47" t="s">
        <v>44</v>
      </c>
      <c r="E841" s="49"/>
      <c r="F841" s="84"/>
      <c r="G841" s="85"/>
      <c r="H841" s="49"/>
      <c r="I841" s="53" t="s">
        <v>46</v>
      </c>
      <c r="J841" s="54"/>
      <c r="K841" s="50"/>
      <c r="L841" s="55"/>
      <c r="M841" s="63"/>
      <c r="N841" s="64"/>
      <c r="O841" s="1"/>
      <c r="P841" s="3"/>
      <c r="Q841" s="1"/>
      <c r="R841" s="1"/>
      <c r="S841" s="1"/>
      <c r="T841" s="1"/>
      <c r="U841" s="4"/>
    </row>
    <row r="842" spans="1:21" ht="16.5" hidden="1" customHeight="1" thickBot="1">
      <c r="A842" s="56" t="s">
        <v>48</v>
      </c>
      <c r="B842" s="57" t="s">
        <v>49</v>
      </c>
      <c r="C842" s="58">
        <f>ROUND(F840/10000,0)</f>
        <v>0</v>
      </c>
      <c r="D842" s="57" t="s">
        <v>50</v>
      </c>
      <c r="E842" s="52">
        <f>IF(C842&gt;=8000,5200000,IF(C842&gt;=5000,2700000,IF(C842&gt;=200,200000,0)))</f>
        <v>0</v>
      </c>
      <c r="F842" s="86"/>
      <c r="G842" s="87"/>
      <c r="H842" s="52"/>
      <c r="I842" s="59"/>
      <c r="J842" s="61"/>
      <c r="K842" s="59"/>
      <c r="L842" s="62"/>
      <c r="M842" s="63"/>
      <c r="N842" s="64"/>
      <c r="O842" s="1"/>
      <c r="P842" s="3"/>
      <c r="Q842" s="1"/>
      <c r="R842" s="1"/>
      <c r="S842" s="1"/>
      <c r="T842" s="1"/>
      <c r="U842" s="4"/>
    </row>
    <row r="843" spans="1:21" ht="18.75" hidden="1" customHeight="1" thickBot="1">
      <c r="A843" s="566" t="s">
        <v>52</v>
      </c>
      <c r="B843" s="567"/>
      <c r="C843" s="567"/>
      <c r="D843" s="568"/>
      <c r="E843" s="65"/>
      <c r="F843" s="569" t="s">
        <v>53</v>
      </c>
      <c r="G843" s="568"/>
      <c r="H843" s="66">
        <f>H840-J841</f>
        <v>0</v>
      </c>
      <c r="I843" s="67">
        <f>H843*3.3%</f>
        <v>0</v>
      </c>
      <c r="J843" s="68">
        <f>SUM(J840)</f>
        <v>0</v>
      </c>
      <c r="K843" s="69">
        <f>H843-I843-J843</f>
        <v>0</v>
      </c>
      <c r="L843" s="70">
        <f>L840+SUM(H841:H842)+J842</f>
        <v>0</v>
      </c>
      <c r="M843" s="570">
        <f>K843+L843</f>
        <v>0</v>
      </c>
      <c r="N843" s="571"/>
      <c r="O843" s="1"/>
      <c r="P843" s="3"/>
      <c r="Q843" s="1"/>
      <c r="R843" s="1"/>
      <c r="S843" s="1"/>
      <c r="T843" s="1"/>
      <c r="U843" s="4"/>
    </row>
    <row r="844" spans="1:21" ht="18.75" customHeight="1">
      <c r="A844" s="1"/>
      <c r="B844" s="1"/>
      <c r="C844" s="1"/>
      <c r="D844" s="1"/>
      <c r="E844" s="1"/>
      <c r="F844" s="1"/>
      <c r="G844" s="1"/>
      <c r="H844" s="141"/>
      <c r="I844" s="1"/>
      <c r="J844" s="1"/>
      <c r="K844" s="1"/>
      <c r="L844" s="1"/>
      <c r="M844" s="1"/>
      <c r="N844" s="1"/>
      <c r="O844" s="1"/>
      <c r="P844" s="3"/>
      <c r="Q844" s="1"/>
      <c r="R844" s="1"/>
      <c r="S844" s="1"/>
      <c r="T844" s="1"/>
      <c r="U844" s="4"/>
    </row>
    <row r="845" spans="1:21" ht="18.75" hidden="1" customHeight="1">
      <c r="A845" s="6"/>
      <c r="B845" s="7" t="str">
        <f>$B$34</f>
        <v>1월</v>
      </c>
      <c r="C845" s="8" t="s">
        <v>1</v>
      </c>
      <c r="D845" s="9">
        <f>COUNTIF($C847:$C851,"계약")+(COUNTIF($C847:$C851,"계약2")*2)</f>
        <v>0</v>
      </c>
      <c r="E845" s="3">
        <f>COUNTIF(C847:C851,"낙찰수수료")</f>
        <v>0</v>
      </c>
      <c r="F845" s="3"/>
      <c r="G845" s="89" t="s">
        <v>122</v>
      </c>
      <c r="H845" s="123">
        <v>0.4</v>
      </c>
      <c r="I845" s="12">
        <v>3.3000000000000002E-2</v>
      </c>
      <c r="J845" s="1"/>
      <c r="K845" s="1"/>
      <c r="L845" s="1"/>
      <c r="M845" s="1"/>
      <c r="N845" s="1"/>
      <c r="O845" s="1"/>
      <c r="P845" s="3"/>
      <c r="Q845" s="1"/>
      <c r="R845" s="1"/>
      <c r="S845" s="1"/>
      <c r="T845" s="1"/>
      <c r="U845" s="4"/>
    </row>
    <row r="846" spans="1:21" ht="18.75" hidden="1" customHeight="1">
      <c r="A846" s="13" t="s">
        <v>3</v>
      </c>
      <c r="B846" s="14" t="s">
        <v>4</v>
      </c>
      <c r="C846" s="14" t="s">
        <v>5</v>
      </c>
      <c r="D846" s="101" t="s">
        <v>6</v>
      </c>
      <c r="E846" s="16" t="s">
        <v>7</v>
      </c>
      <c r="F846" s="17" t="s">
        <v>8</v>
      </c>
      <c r="G846" s="14" t="s">
        <v>9</v>
      </c>
      <c r="H846" s="15" t="s">
        <v>10</v>
      </c>
      <c r="I846" s="14" t="s">
        <v>11</v>
      </c>
      <c r="J846" s="15" t="s">
        <v>12</v>
      </c>
      <c r="K846" s="14" t="s">
        <v>13</v>
      </c>
      <c r="L846" s="14" t="s">
        <v>14</v>
      </c>
      <c r="M846" s="579" t="s">
        <v>15</v>
      </c>
      <c r="N846" s="577"/>
      <c r="O846" s="1"/>
      <c r="P846" s="3"/>
      <c r="Q846" s="1"/>
      <c r="R846" s="1"/>
      <c r="S846" s="1"/>
      <c r="T846" s="1"/>
      <c r="U846" s="4"/>
    </row>
    <row r="847" spans="1:21" ht="18.75" hidden="1" customHeight="1">
      <c r="A847" s="28"/>
      <c r="B847" s="29"/>
      <c r="C847" s="30"/>
      <c r="D847" s="38"/>
      <c r="E847" s="27"/>
      <c r="F847" s="31">
        <f t="shared" ref="F847" si="465">IF(D847="no",E847,E847/1.1)</f>
        <v>0</v>
      </c>
      <c r="G847" s="27">
        <f t="shared" ref="G847" si="466">IF(D847="no",0,F847*0.1)</f>
        <v>0</v>
      </c>
      <c r="H847" s="32">
        <f>IF(D847="no",0,F847*H845)</f>
        <v>0</v>
      </c>
      <c r="I847" s="33">
        <f t="shared" ref="I847:I851" si="467">IF(D847="no",0,H847*3.3%)</f>
        <v>0</v>
      </c>
      <c r="J847" s="26"/>
      <c r="K847" s="27">
        <f t="shared" ref="K847:K851" si="468">IF(D847="no",0,H847-I847-J847)</f>
        <v>0</v>
      </c>
      <c r="L847" s="27">
        <f>IF(D847="no",F847*H845-J847,0)</f>
        <v>0</v>
      </c>
      <c r="M847" s="580"/>
      <c r="N847" s="581"/>
      <c r="O847" s="1"/>
      <c r="P847" s="3"/>
      <c r="Q847" s="1"/>
      <c r="R847" s="1"/>
      <c r="S847" s="1"/>
      <c r="T847" s="1"/>
      <c r="U847" s="4"/>
    </row>
    <row r="848" spans="1:21" ht="18.75" hidden="1" customHeight="1">
      <c r="A848" s="39" t="s">
        <v>501</v>
      </c>
      <c r="B848" s="29" t="s">
        <v>100</v>
      </c>
      <c r="C848" s="30"/>
      <c r="D848" s="21"/>
      <c r="E848" s="27"/>
      <c r="F848" s="31"/>
      <c r="G848" s="27"/>
      <c r="H848" s="32"/>
      <c r="I848" s="33">
        <f t="shared" si="467"/>
        <v>0</v>
      </c>
      <c r="J848" s="26"/>
      <c r="K848" s="27">
        <f t="shared" si="468"/>
        <v>0</v>
      </c>
      <c r="L848" s="1"/>
      <c r="M848" s="142"/>
      <c r="N848" s="143"/>
      <c r="O848" s="1"/>
      <c r="P848" s="3"/>
      <c r="Q848" s="1"/>
      <c r="R848" s="1"/>
      <c r="S848" s="1"/>
      <c r="T848" s="1"/>
      <c r="U848" s="4"/>
    </row>
    <row r="849" spans="1:21" ht="18.75" hidden="1" customHeight="1">
      <c r="A849" s="39" t="s">
        <v>501</v>
      </c>
      <c r="B849" s="29" t="s">
        <v>61</v>
      </c>
      <c r="C849" s="30"/>
      <c r="D849" s="21"/>
      <c r="E849" s="27"/>
      <c r="F849" s="31"/>
      <c r="G849" s="27"/>
      <c r="H849" s="32">
        <f>IF(D849="no",0,F849*H842)</f>
        <v>0</v>
      </c>
      <c r="I849" s="33">
        <f t="shared" si="467"/>
        <v>0</v>
      </c>
      <c r="J849" s="26"/>
      <c r="K849" s="27">
        <f t="shared" si="468"/>
        <v>0</v>
      </c>
      <c r="L849" s="27">
        <f>IF(D849="no",F849*H845-J849,0)</f>
        <v>0</v>
      </c>
      <c r="M849" s="94"/>
      <c r="N849" s="95"/>
      <c r="O849" s="1"/>
      <c r="P849" s="3"/>
      <c r="Q849" s="1"/>
      <c r="R849" s="1"/>
      <c r="S849" s="1"/>
      <c r="T849" s="1"/>
      <c r="U849" s="4"/>
    </row>
    <row r="850" spans="1:21" ht="18.75" hidden="1" customHeight="1">
      <c r="A850" s="39" t="s">
        <v>501</v>
      </c>
      <c r="B850" s="29" t="s">
        <v>35</v>
      </c>
      <c r="C850" s="30"/>
      <c r="D850" s="21"/>
      <c r="E850" s="27"/>
      <c r="F850" s="31">
        <f t="shared" ref="F850:F851" si="469">IF(D850="no",E850,E850/1.1)</f>
        <v>0</v>
      </c>
      <c r="G850" s="27">
        <f t="shared" ref="G850:G851" si="470">IF(D850="no",0,F850*0.1)</f>
        <v>0</v>
      </c>
      <c r="H850" s="32"/>
      <c r="I850" s="33">
        <f t="shared" si="467"/>
        <v>0</v>
      </c>
      <c r="J850" s="26"/>
      <c r="K850" s="27">
        <f t="shared" si="468"/>
        <v>0</v>
      </c>
      <c r="L850" s="1"/>
      <c r="M850" s="574"/>
      <c r="N850" s="564"/>
      <c r="O850" s="1"/>
      <c r="P850" s="3"/>
      <c r="Q850" s="1"/>
      <c r="R850" s="1"/>
      <c r="S850" s="1"/>
      <c r="T850" s="1"/>
      <c r="U850" s="4"/>
    </row>
    <row r="851" spans="1:21" ht="18.75" hidden="1" customHeight="1">
      <c r="A851" s="39" t="s">
        <v>501</v>
      </c>
      <c r="B851" s="29" t="s">
        <v>37</v>
      </c>
      <c r="C851" s="30"/>
      <c r="D851" s="21"/>
      <c r="E851" s="27"/>
      <c r="F851" s="31">
        <f t="shared" si="469"/>
        <v>0</v>
      </c>
      <c r="G851" s="27">
        <f t="shared" si="470"/>
        <v>0</v>
      </c>
      <c r="H851" s="37">
        <f>(E853+E854+N854)/0.967</f>
        <v>0</v>
      </c>
      <c r="I851" s="33">
        <f t="shared" si="467"/>
        <v>0</v>
      </c>
      <c r="J851" s="26"/>
      <c r="K851" s="27">
        <f t="shared" si="468"/>
        <v>0</v>
      </c>
      <c r="L851" s="27"/>
      <c r="M851" s="572"/>
      <c r="N851" s="564"/>
      <c r="O851" s="1"/>
      <c r="P851" s="3"/>
      <c r="Q851" s="1"/>
      <c r="R851" s="1"/>
      <c r="S851" s="1"/>
      <c r="T851" s="1"/>
      <c r="U851" s="4"/>
    </row>
    <row r="852" spans="1:21" ht="18.75" hidden="1" customHeight="1">
      <c r="A852" s="575" t="s">
        <v>42</v>
      </c>
      <c r="B852" s="576"/>
      <c r="C852" s="576"/>
      <c r="D852" s="577"/>
      <c r="E852" s="42">
        <f t="shared" ref="E852:L852" si="471">SUM(E847:E851)</f>
        <v>0</v>
      </c>
      <c r="F852" s="17">
        <f t="shared" si="471"/>
        <v>0</v>
      </c>
      <c r="G852" s="42">
        <f t="shared" si="471"/>
        <v>0</v>
      </c>
      <c r="H852" s="43">
        <f t="shared" si="471"/>
        <v>0</v>
      </c>
      <c r="I852" s="42">
        <f t="shared" si="471"/>
        <v>0</v>
      </c>
      <c r="J852" s="43">
        <f t="shared" si="471"/>
        <v>0</v>
      </c>
      <c r="K852" s="42">
        <f t="shared" si="471"/>
        <v>0</v>
      </c>
      <c r="L852" s="42">
        <f t="shared" si="471"/>
        <v>0</v>
      </c>
      <c r="M852" s="44"/>
      <c r="N852" s="45"/>
      <c r="O852" s="1"/>
      <c r="P852" s="3"/>
      <c r="Q852" s="1"/>
      <c r="R852" s="1"/>
      <c r="S852" s="1"/>
      <c r="T852" s="1"/>
      <c r="U852" s="4"/>
    </row>
    <row r="853" spans="1:21" ht="18.75" hidden="1" customHeight="1">
      <c r="A853" s="46" t="s">
        <v>37</v>
      </c>
      <c r="B853" s="47" t="s">
        <v>43</v>
      </c>
      <c r="C853" s="48">
        <f>D845</f>
        <v>0</v>
      </c>
      <c r="D853" s="47" t="s">
        <v>44</v>
      </c>
      <c r="E853" s="49"/>
      <c r="F853" s="84"/>
      <c r="G853" s="85"/>
      <c r="H853" s="49"/>
      <c r="I853" s="53" t="s">
        <v>46</v>
      </c>
      <c r="J853" s="54"/>
      <c r="K853" s="50"/>
      <c r="L853" s="55"/>
      <c r="M853" s="63"/>
      <c r="N853" s="64"/>
      <c r="O853" s="1"/>
      <c r="P853" s="3"/>
      <c r="Q853" s="1"/>
      <c r="R853" s="1"/>
      <c r="S853" s="1"/>
      <c r="T853" s="1"/>
      <c r="U853" s="4"/>
    </row>
    <row r="854" spans="1:21" ht="16.5" hidden="1" customHeight="1" thickBot="1">
      <c r="A854" s="56" t="s">
        <v>48</v>
      </c>
      <c r="B854" s="57" t="s">
        <v>49</v>
      </c>
      <c r="C854" s="58">
        <f>ROUND(F852/10000,0)</f>
        <v>0</v>
      </c>
      <c r="D854" s="57" t="s">
        <v>50</v>
      </c>
      <c r="E854" s="52">
        <f>IF(C854&gt;=8000,5200000,IF(C854&gt;=5000,2700000,IF(C854&gt;=200,200000,0)))</f>
        <v>0</v>
      </c>
      <c r="F854" s="86"/>
      <c r="G854" s="87"/>
      <c r="H854" s="52"/>
      <c r="I854" s="59"/>
      <c r="J854" s="61"/>
      <c r="K854" s="59"/>
      <c r="L854" s="62"/>
      <c r="M854" s="63"/>
      <c r="N854" s="64"/>
      <c r="O854" s="1"/>
      <c r="P854" s="3"/>
      <c r="Q854" s="1"/>
      <c r="R854" s="1"/>
      <c r="S854" s="1"/>
      <c r="T854" s="1"/>
      <c r="U854" s="4"/>
    </row>
    <row r="855" spans="1:21" ht="18.75" hidden="1" customHeight="1" thickBot="1">
      <c r="A855" s="566" t="s">
        <v>52</v>
      </c>
      <c r="B855" s="567"/>
      <c r="C855" s="567"/>
      <c r="D855" s="568"/>
      <c r="E855" s="65"/>
      <c r="F855" s="569" t="s">
        <v>53</v>
      </c>
      <c r="G855" s="568"/>
      <c r="H855" s="66">
        <f>H852-J853</f>
        <v>0</v>
      </c>
      <c r="I855" s="67">
        <f>H855*3.3%</f>
        <v>0</v>
      </c>
      <c r="J855" s="68">
        <f>SUM(J852)</f>
        <v>0</v>
      </c>
      <c r="K855" s="69">
        <f>H855-I855-J855</f>
        <v>0</v>
      </c>
      <c r="L855" s="70">
        <f>L852+SUM(H853:H854)+J854</f>
        <v>0</v>
      </c>
      <c r="M855" s="570">
        <f>K855+L855</f>
        <v>0</v>
      </c>
      <c r="N855" s="571"/>
      <c r="O855" s="1"/>
      <c r="P855" s="3"/>
      <c r="Q855" s="1"/>
      <c r="R855" s="1"/>
      <c r="S855" s="1"/>
      <c r="T855" s="1"/>
      <c r="U855" s="4"/>
    </row>
    <row r="856" spans="1:21" ht="18.75" hidden="1" customHeight="1">
      <c r="A856" s="1"/>
      <c r="B856" s="1"/>
      <c r="C856" s="1"/>
      <c r="D856" s="1"/>
      <c r="E856" s="1"/>
      <c r="F856" s="1"/>
      <c r="G856" s="1"/>
      <c r="H856" s="141"/>
      <c r="I856" s="1"/>
      <c r="J856" s="1"/>
      <c r="K856" s="1"/>
      <c r="L856" s="1"/>
      <c r="M856" s="1"/>
      <c r="N856" s="1"/>
      <c r="O856" s="1"/>
      <c r="P856" s="3"/>
      <c r="Q856" s="1"/>
      <c r="R856" s="1"/>
      <c r="S856" s="1"/>
      <c r="T856" s="1"/>
      <c r="U856" s="4"/>
    </row>
    <row r="857" spans="1:21" s="263" customFormat="1" ht="18.75" customHeight="1">
      <c r="A857" s="1"/>
      <c r="B857" s="1"/>
      <c r="C857" s="1"/>
      <c r="D857" s="1"/>
      <c r="E857" s="1"/>
      <c r="F857" s="1"/>
      <c r="G857" s="1"/>
      <c r="H857" s="141">
        <v>1</v>
      </c>
      <c r="I857" s="1"/>
      <c r="J857" s="1"/>
      <c r="K857" s="1"/>
      <c r="L857" s="1"/>
      <c r="M857" s="1"/>
      <c r="N857" s="1"/>
      <c r="O857" s="1"/>
      <c r="P857" s="3"/>
      <c r="Q857" s="1"/>
      <c r="R857" s="1"/>
      <c r="S857" s="1"/>
      <c r="T857" s="1"/>
      <c r="U857" s="4"/>
    </row>
    <row r="858" spans="1:21" ht="18.75" customHeight="1">
      <c r="A858" s="6" t="s">
        <v>107</v>
      </c>
      <c r="B858" s="7" t="str">
        <f>$B$34</f>
        <v>1월</v>
      </c>
      <c r="C858" s="8" t="s">
        <v>1</v>
      </c>
      <c r="D858" s="9">
        <f>COUNTIF($C860:$C878,"계약")+(COUNTIF($C860:$C878,"계약2")*2)</f>
        <v>4</v>
      </c>
      <c r="E858" s="3">
        <f>COUNTIF(C860:C878,"낙찰수수료")</f>
        <v>1</v>
      </c>
      <c r="F858" s="3"/>
      <c r="G858" s="89" t="s">
        <v>108</v>
      </c>
      <c r="H858" s="11">
        <v>0.5</v>
      </c>
      <c r="I858" s="12">
        <v>3.3000000000000002E-2</v>
      </c>
      <c r="J858" s="1"/>
      <c r="K858" s="1"/>
      <c r="L858" s="1"/>
      <c r="M858" s="1"/>
      <c r="N858" s="1"/>
      <c r="O858" s="1"/>
      <c r="P858" s="3"/>
      <c r="Q858" s="1"/>
      <c r="R858" s="1"/>
      <c r="S858" s="1"/>
      <c r="T858" s="1"/>
      <c r="U858" s="4"/>
    </row>
    <row r="859" spans="1:21" ht="18.75" customHeight="1">
      <c r="A859" s="13" t="s">
        <v>3</v>
      </c>
      <c r="B859" s="14" t="s">
        <v>4</v>
      </c>
      <c r="C859" s="14" t="s">
        <v>5</v>
      </c>
      <c r="D859" s="101" t="s">
        <v>6</v>
      </c>
      <c r="E859" s="16" t="s">
        <v>7</v>
      </c>
      <c r="F859" s="17" t="s">
        <v>8</v>
      </c>
      <c r="G859" s="14" t="s">
        <v>9</v>
      </c>
      <c r="H859" s="15" t="s">
        <v>10</v>
      </c>
      <c r="I859" s="14" t="s">
        <v>11</v>
      </c>
      <c r="J859" s="15" t="s">
        <v>12</v>
      </c>
      <c r="K859" s="14" t="s">
        <v>13</v>
      </c>
      <c r="L859" s="14" t="s">
        <v>14</v>
      </c>
      <c r="M859" s="579" t="s">
        <v>15</v>
      </c>
      <c r="N859" s="577"/>
      <c r="O859" s="1"/>
      <c r="P859" s="3"/>
      <c r="Q859" s="1"/>
      <c r="R859" s="1"/>
      <c r="S859" s="1"/>
      <c r="T859" s="1"/>
      <c r="U859" s="4"/>
    </row>
    <row r="860" spans="1:21" ht="18.75" customHeight="1">
      <c r="A860" s="28">
        <v>46028</v>
      </c>
      <c r="B860" s="29" t="s">
        <v>800</v>
      </c>
      <c r="C860" s="30" t="s">
        <v>357</v>
      </c>
      <c r="D860" s="38"/>
      <c r="E860" s="27">
        <v>550000</v>
      </c>
      <c r="F860" s="31">
        <f t="shared" ref="F860:F873" si="472">IF(D860="no",E860,E860/1.1)</f>
        <v>499999.99999999994</v>
      </c>
      <c r="G860" s="27">
        <f t="shared" ref="G860:G873" si="473">IF(D860="no",0,F860*0.1)</f>
        <v>50000</v>
      </c>
      <c r="H860" s="112">
        <f>IF(D860="no",0,F860*H858)</f>
        <v>249999.99999999997</v>
      </c>
      <c r="I860" s="33">
        <f t="shared" ref="I860:I873" si="474">IF(D860="no",0,H860*3.3%)</f>
        <v>8250</v>
      </c>
      <c r="J860" s="26"/>
      <c r="K860" s="27">
        <f t="shared" ref="K860:K879" si="475">IF(D860="no",0,H860-I860-J860)</f>
        <v>241749.99999999997</v>
      </c>
      <c r="L860" s="27">
        <f>IF(D860="no",F860*H858-J860,0)</f>
        <v>0</v>
      </c>
      <c r="M860" s="580"/>
      <c r="N860" s="581"/>
      <c r="O860" s="1"/>
      <c r="P860" s="3"/>
      <c r="Q860" s="1"/>
      <c r="R860" s="1"/>
      <c r="S860" s="1"/>
      <c r="T860" s="1"/>
      <c r="U860" s="4"/>
    </row>
    <row r="861" spans="1:21" ht="18.75" customHeight="1">
      <c r="A861" s="39">
        <v>46029</v>
      </c>
      <c r="B861" s="29" t="s">
        <v>799</v>
      </c>
      <c r="C861" s="30" t="s">
        <v>56</v>
      </c>
      <c r="D861" s="95"/>
      <c r="E861" s="102">
        <v>9900000</v>
      </c>
      <c r="F861" s="31">
        <f t="shared" si="472"/>
        <v>9000000</v>
      </c>
      <c r="G861" s="27">
        <f t="shared" si="473"/>
        <v>900000</v>
      </c>
      <c r="H861" s="32">
        <f>IF(D861="no",0,F861*H858)</f>
        <v>4500000</v>
      </c>
      <c r="I861" s="33">
        <f t="shared" si="474"/>
        <v>148500</v>
      </c>
      <c r="J861" s="26"/>
      <c r="K861" s="27">
        <f t="shared" si="475"/>
        <v>4351500</v>
      </c>
      <c r="L861" s="27">
        <f>IF(D861="no",F861*H632-J861,0)</f>
        <v>0</v>
      </c>
      <c r="M861" s="572"/>
      <c r="N861" s="564"/>
      <c r="O861" s="1"/>
      <c r="P861" s="3"/>
      <c r="Q861" s="1"/>
      <c r="R861" s="1"/>
      <c r="S861" s="1"/>
      <c r="T861" s="1"/>
      <c r="U861" s="4"/>
    </row>
    <row r="862" spans="1:21" ht="18.75" customHeight="1">
      <c r="A862" s="39">
        <v>46034</v>
      </c>
      <c r="B862" s="29" t="s">
        <v>801</v>
      </c>
      <c r="C862" s="30" t="s">
        <v>23</v>
      </c>
      <c r="D862" s="38"/>
      <c r="E862" s="27">
        <v>2200000</v>
      </c>
      <c r="F862" s="31">
        <f t="shared" si="472"/>
        <v>1999999.9999999998</v>
      </c>
      <c r="G862" s="27">
        <f t="shared" si="473"/>
        <v>200000</v>
      </c>
      <c r="H862" s="32">
        <f>IF(D862="no",0,F862*H858)</f>
        <v>999999.99999999988</v>
      </c>
      <c r="I862" s="33">
        <f t="shared" si="474"/>
        <v>33000</v>
      </c>
      <c r="J862" s="26"/>
      <c r="K862" s="27">
        <f t="shared" si="475"/>
        <v>966999.99999999988</v>
      </c>
      <c r="L862" s="27">
        <f t="shared" ref="L862:L869" si="476">IF(D862="no",F862*H632-J862,0)</f>
        <v>0</v>
      </c>
      <c r="M862" s="572"/>
      <c r="N862" s="564"/>
      <c r="O862" s="1"/>
      <c r="P862" s="3"/>
      <c r="Q862" s="1"/>
      <c r="R862" s="1"/>
      <c r="S862" s="1"/>
      <c r="T862" s="1"/>
      <c r="U862" s="4"/>
    </row>
    <row r="863" spans="1:21" ht="18.75" customHeight="1">
      <c r="A863" s="28">
        <v>46051</v>
      </c>
      <c r="B863" s="29" t="s">
        <v>817</v>
      </c>
      <c r="C863" s="29" t="s">
        <v>55</v>
      </c>
      <c r="D863" s="38"/>
      <c r="E863" s="102">
        <v>110000</v>
      </c>
      <c r="F863" s="31">
        <f t="shared" si="472"/>
        <v>99999.999999999985</v>
      </c>
      <c r="G863" s="27">
        <f t="shared" si="473"/>
        <v>10000</v>
      </c>
      <c r="H863" s="32">
        <f>IF(D863="no",0,F863*H858)</f>
        <v>49999.999999999993</v>
      </c>
      <c r="I863" s="33">
        <f t="shared" si="474"/>
        <v>1649.9999999999998</v>
      </c>
      <c r="J863" s="26"/>
      <c r="K863" s="27">
        <f t="shared" si="475"/>
        <v>48349.999999999993</v>
      </c>
      <c r="L863" s="27">
        <f t="shared" si="476"/>
        <v>0</v>
      </c>
      <c r="M863" s="563"/>
      <c r="N863" s="564"/>
      <c r="O863" s="1"/>
      <c r="P863" s="3"/>
      <c r="Q863" s="1"/>
      <c r="R863" s="1"/>
      <c r="S863" s="1"/>
      <c r="T863" s="1"/>
      <c r="U863" s="4"/>
    </row>
    <row r="864" spans="1:21" s="350" customFormat="1" ht="18.75" customHeight="1">
      <c r="A864" s="39">
        <v>46052</v>
      </c>
      <c r="B864" s="29" t="s">
        <v>835</v>
      </c>
      <c r="C864" s="30" t="s">
        <v>357</v>
      </c>
      <c r="D864" s="349"/>
      <c r="E864" s="102">
        <v>1100000</v>
      </c>
      <c r="F864" s="31">
        <f t="shared" ref="F864" si="477">IF(D864="no",E864,E864/1.1)</f>
        <v>999999.99999999988</v>
      </c>
      <c r="G864" s="27">
        <f t="shared" ref="G864" si="478">IF(D864="no",0,F864*0.1)</f>
        <v>100000</v>
      </c>
      <c r="H864" s="32">
        <f>IF(D864="no",0,F864*H858)</f>
        <v>499999.99999999994</v>
      </c>
      <c r="I864" s="33">
        <f t="shared" ref="I864" si="479">IF(D864="no",0,H864*3.3%)</f>
        <v>16500</v>
      </c>
      <c r="J864" s="26"/>
      <c r="K864" s="27">
        <f t="shared" ref="K864" si="480">IF(D864="no",0,H864-I864-J864)</f>
        <v>483499.99999999994</v>
      </c>
      <c r="L864" s="27">
        <f t="shared" si="476"/>
        <v>0</v>
      </c>
      <c r="M864" s="572"/>
      <c r="N864" s="564"/>
      <c r="O864" s="1"/>
      <c r="P864" s="3"/>
      <c r="Q864" s="1"/>
      <c r="R864" s="1"/>
      <c r="S864" s="1"/>
      <c r="T864" s="1"/>
      <c r="U864" s="4"/>
    </row>
    <row r="865" spans="1:21" ht="18.75" customHeight="1">
      <c r="A865" s="28"/>
      <c r="B865" s="29"/>
      <c r="C865" s="30"/>
      <c r="D865" s="38"/>
      <c r="E865" s="27"/>
      <c r="F865" s="31">
        <f t="shared" si="472"/>
        <v>0</v>
      </c>
      <c r="G865" s="27">
        <f t="shared" si="473"/>
        <v>0</v>
      </c>
      <c r="H865" s="32">
        <f>IF(D865="no",0,F865*H858)</f>
        <v>0</v>
      </c>
      <c r="I865" s="33">
        <f t="shared" si="474"/>
        <v>0</v>
      </c>
      <c r="J865" s="26"/>
      <c r="K865" s="27">
        <f t="shared" si="475"/>
        <v>0</v>
      </c>
      <c r="L865" s="27">
        <f t="shared" si="476"/>
        <v>0</v>
      </c>
      <c r="M865" s="572"/>
      <c r="N865" s="564"/>
      <c r="O865" s="1"/>
      <c r="P865" s="3"/>
      <c r="Q865" s="1"/>
      <c r="R865" s="1"/>
      <c r="S865" s="1"/>
      <c r="T865" s="1"/>
      <c r="U865" s="4"/>
    </row>
    <row r="866" spans="1:21" ht="18.75" hidden="1" customHeight="1">
      <c r="A866" s="39"/>
      <c r="B866" s="29"/>
      <c r="C866" s="30"/>
      <c r="D866" s="95"/>
      <c r="E866" s="102"/>
      <c r="F866" s="31">
        <f t="shared" si="472"/>
        <v>0</v>
      </c>
      <c r="G866" s="27">
        <f t="shared" si="473"/>
        <v>0</v>
      </c>
      <c r="H866" s="32">
        <f>IF(D866="no",0,F866*H858)</f>
        <v>0</v>
      </c>
      <c r="I866" s="33">
        <f t="shared" si="474"/>
        <v>0</v>
      </c>
      <c r="J866" s="26"/>
      <c r="K866" s="27">
        <f t="shared" si="475"/>
        <v>0</v>
      </c>
      <c r="L866" s="27">
        <f t="shared" si="476"/>
        <v>0</v>
      </c>
      <c r="M866" s="572"/>
      <c r="N866" s="564"/>
      <c r="O866" s="1"/>
      <c r="P866" s="3"/>
      <c r="Q866" s="1"/>
      <c r="R866" s="1"/>
      <c r="S866" s="1"/>
      <c r="T866" s="1"/>
      <c r="U866" s="4"/>
    </row>
    <row r="867" spans="1:21" ht="18.75" hidden="1" customHeight="1">
      <c r="A867" s="39"/>
      <c r="B867" s="29"/>
      <c r="C867" s="30"/>
      <c r="D867" s="38"/>
      <c r="E867" s="102"/>
      <c r="F867" s="31">
        <f t="shared" si="472"/>
        <v>0</v>
      </c>
      <c r="G867" s="27">
        <f t="shared" si="473"/>
        <v>0</v>
      </c>
      <c r="H867" s="32">
        <f>IF(D867="no",0,F867*H858)</f>
        <v>0</v>
      </c>
      <c r="I867" s="33">
        <f t="shared" si="474"/>
        <v>0</v>
      </c>
      <c r="J867" s="26"/>
      <c r="K867" s="27">
        <f t="shared" si="475"/>
        <v>0</v>
      </c>
      <c r="L867" s="27">
        <f t="shared" si="476"/>
        <v>0</v>
      </c>
      <c r="M867" s="572"/>
      <c r="N867" s="564"/>
      <c r="O867" s="1"/>
      <c r="P867" s="3"/>
      <c r="Q867" s="1"/>
      <c r="R867" s="1"/>
      <c r="S867" s="1"/>
      <c r="T867" s="1"/>
      <c r="U867" s="4"/>
    </row>
    <row r="868" spans="1:21" ht="18.75" hidden="1" customHeight="1">
      <c r="A868" s="28"/>
      <c r="B868" s="29"/>
      <c r="C868" s="30"/>
      <c r="D868" s="38"/>
      <c r="E868" s="27"/>
      <c r="F868" s="31">
        <f t="shared" si="472"/>
        <v>0</v>
      </c>
      <c r="G868" s="27">
        <f t="shared" si="473"/>
        <v>0</v>
      </c>
      <c r="H868" s="32">
        <f>IF(D868="no",0,F868*H634)</f>
        <v>0</v>
      </c>
      <c r="I868" s="33">
        <f t="shared" si="474"/>
        <v>0</v>
      </c>
      <c r="J868" s="26"/>
      <c r="K868" s="27">
        <f t="shared" si="475"/>
        <v>0</v>
      </c>
      <c r="L868" s="27">
        <f t="shared" si="476"/>
        <v>0</v>
      </c>
      <c r="M868" s="563"/>
      <c r="N868" s="564"/>
      <c r="O868" s="1"/>
      <c r="P868" s="3"/>
      <c r="Q868" s="1"/>
      <c r="R868" s="1"/>
      <c r="S868" s="1"/>
      <c r="T868" s="1"/>
      <c r="U868" s="4"/>
    </row>
    <row r="869" spans="1:21" ht="18.75" hidden="1" customHeight="1">
      <c r="A869" s="28"/>
      <c r="B869" s="29"/>
      <c r="C869" s="30"/>
      <c r="D869" s="21"/>
      <c r="E869" s="27"/>
      <c r="F869" s="31">
        <f t="shared" si="472"/>
        <v>0</v>
      </c>
      <c r="G869" s="27">
        <f t="shared" si="473"/>
        <v>0</v>
      </c>
      <c r="H869" s="32">
        <f>IF(D869="no",0,F869*H634)</f>
        <v>0</v>
      </c>
      <c r="I869" s="33">
        <f t="shared" si="474"/>
        <v>0</v>
      </c>
      <c r="J869" s="26"/>
      <c r="K869" s="27">
        <f t="shared" si="475"/>
        <v>0</v>
      </c>
      <c r="L869" s="27">
        <f t="shared" si="476"/>
        <v>0</v>
      </c>
      <c r="M869" s="572"/>
      <c r="N869" s="564"/>
      <c r="O869" s="1"/>
      <c r="P869" s="3"/>
      <c r="Q869" s="1"/>
      <c r="R869" s="1"/>
      <c r="S869" s="1"/>
      <c r="T869" s="1"/>
      <c r="U869" s="4"/>
    </row>
    <row r="870" spans="1:21" ht="18.75" hidden="1" customHeight="1">
      <c r="A870" s="28"/>
      <c r="B870" s="29"/>
      <c r="C870" s="30"/>
      <c r="D870" s="38"/>
      <c r="E870" s="27"/>
      <c r="F870" s="31">
        <f t="shared" si="472"/>
        <v>0</v>
      </c>
      <c r="G870" s="27">
        <f t="shared" si="473"/>
        <v>0</v>
      </c>
      <c r="H870" s="32">
        <f>IF(D870="no",0,F870*H634)</f>
        <v>0</v>
      </c>
      <c r="I870" s="33">
        <f t="shared" si="474"/>
        <v>0</v>
      </c>
      <c r="J870" s="26"/>
      <c r="K870" s="27">
        <f t="shared" si="475"/>
        <v>0</v>
      </c>
      <c r="L870" s="27">
        <f>IF(D870="no",F870*#REF!-J870,0)</f>
        <v>0</v>
      </c>
      <c r="M870" s="572"/>
      <c r="N870" s="564"/>
      <c r="O870" s="1"/>
      <c r="P870" s="3"/>
      <c r="Q870" s="1"/>
      <c r="R870" s="1"/>
      <c r="S870" s="1"/>
      <c r="T870" s="1"/>
      <c r="U870" s="4"/>
    </row>
    <row r="871" spans="1:21" ht="18.75" hidden="1" customHeight="1">
      <c r="A871" s="28"/>
      <c r="B871" s="29"/>
      <c r="C871" s="30"/>
      <c r="D871" s="38"/>
      <c r="E871" s="27"/>
      <c r="F871" s="31">
        <f t="shared" si="472"/>
        <v>0</v>
      </c>
      <c r="G871" s="27">
        <f t="shared" si="473"/>
        <v>0</v>
      </c>
      <c r="H871" s="32">
        <f>IF(D871="no",0,F871*H858)</f>
        <v>0</v>
      </c>
      <c r="I871" s="33">
        <f t="shared" si="474"/>
        <v>0</v>
      </c>
      <c r="J871" s="26"/>
      <c r="K871" s="27">
        <f t="shared" si="475"/>
        <v>0</v>
      </c>
      <c r="L871" s="27">
        <f>IF(D871="no",F871*#REF!-J871,0)</f>
        <v>0</v>
      </c>
      <c r="M871" s="563"/>
      <c r="N871" s="564"/>
      <c r="O871" s="1"/>
      <c r="P871" s="3"/>
      <c r="Q871" s="1"/>
      <c r="R871" s="1"/>
      <c r="S871" s="1"/>
      <c r="T871" s="1"/>
      <c r="U871" s="4"/>
    </row>
    <row r="872" spans="1:21" ht="18.75" hidden="1" customHeight="1">
      <c r="A872" s="28"/>
      <c r="B872" s="29"/>
      <c r="C872" s="30"/>
      <c r="D872" s="21"/>
      <c r="E872" s="27"/>
      <c r="F872" s="31">
        <f t="shared" si="472"/>
        <v>0</v>
      </c>
      <c r="G872" s="27">
        <f t="shared" si="473"/>
        <v>0</v>
      </c>
      <c r="H872" s="32">
        <f>IF(D872="no",0,F872*H858)</f>
        <v>0</v>
      </c>
      <c r="I872" s="33">
        <f t="shared" si="474"/>
        <v>0</v>
      </c>
      <c r="J872" s="26"/>
      <c r="K872" s="27">
        <f t="shared" si="475"/>
        <v>0</v>
      </c>
      <c r="L872" s="27">
        <f>IF(D872="no",F872*H640-J872,0)</f>
        <v>0</v>
      </c>
      <c r="M872" s="572"/>
      <c r="N872" s="564"/>
      <c r="O872" s="1"/>
      <c r="P872" s="3"/>
      <c r="Q872" s="1"/>
      <c r="R872" s="1"/>
      <c r="S872" s="1"/>
      <c r="T872" s="1"/>
      <c r="U872" s="4"/>
    </row>
    <row r="873" spans="1:21" ht="18.75" hidden="1" customHeight="1">
      <c r="A873" s="28"/>
      <c r="B873" s="29"/>
      <c r="C873" s="30"/>
      <c r="D873" s="38"/>
      <c r="E873" s="27"/>
      <c r="F873" s="31">
        <f t="shared" si="472"/>
        <v>0</v>
      </c>
      <c r="G873" s="27">
        <f t="shared" si="473"/>
        <v>0</v>
      </c>
      <c r="H873" s="32">
        <f>IF(D873="no",0,F873*H858)</f>
        <v>0</v>
      </c>
      <c r="I873" s="33">
        <f t="shared" si="474"/>
        <v>0</v>
      </c>
      <c r="J873" s="26"/>
      <c r="K873" s="27">
        <f t="shared" si="475"/>
        <v>0</v>
      </c>
      <c r="L873" s="27">
        <f>IF(D873="no",F873*H641-J873,0)</f>
        <v>0</v>
      </c>
      <c r="M873" s="572"/>
      <c r="N873" s="564"/>
      <c r="O873" s="1"/>
      <c r="P873" s="3"/>
      <c r="Q873" s="1"/>
      <c r="R873" s="1"/>
      <c r="S873" s="1"/>
      <c r="T873" s="1"/>
      <c r="U873" s="4"/>
    </row>
    <row r="874" spans="1:21" ht="18.75" hidden="1" customHeight="1">
      <c r="A874" s="28"/>
      <c r="B874" s="29"/>
      <c r="C874" s="30"/>
      <c r="D874" s="21"/>
      <c r="E874" s="27"/>
      <c r="F874" s="31">
        <f t="shared" ref="F874:F879" si="481">IF(D874="no",E874,E874/1.1)</f>
        <v>0</v>
      </c>
      <c r="G874" s="27">
        <f t="shared" ref="G874:G879" si="482">IF(D874="no",0,F874*0.1)</f>
        <v>0</v>
      </c>
      <c r="H874" s="32">
        <f>IF(D874="no",0,F874*H858)</f>
        <v>0</v>
      </c>
      <c r="I874" s="33">
        <f t="shared" ref="I874:I879" si="483">IF(D874="no",0,H874*3.3%)</f>
        <v>0</v>
      </c>
      <c r="J874" s="26"/>
      <c r="K874" s="27">
        <f t="shared" si="475"/>
        <v>0</v>
      </c>
      <c r="L874" s="27">
        <f>IF(D874="no",F874*H642-J874,0)</f>
        <v>0</v>
      </c>
      <c r="M874" s="573"/>
      <c r="N874" s="564"/>
      <c r="O874" s="1"/>
      <c r="P874" s="3"/>
      <c r="Q874" s="1"/>
      <c r="R874" s="1"/>
      <c r="S874" s="1"/>
      <c r="T874" s="1"/>
      <c r="U874" s="4"/>
    </row>
    <row r="875" spans="1:21" s="321" customFormat="1" ht="18.75" customHeight="1">
      <c r="A875" s="39" t="s">
        <v>616</v>
      </c>
      <c r="B875" s="29" t="s">
        <v>343</v>
      </c>
      <c r="C875" s="30"/>
      <c r="D875" s="320"/>
      <c r="E875" s="27"/>
      <c r="F875" s="31">
        <f t="shared" si="481"/>
        <v>0</v>
      </c>
      <c r="G875" s="27">
        <f t="shared" si="482"/>
        <v>0</v>
      </c>
      <c r="H875" s="37">
        <f>IF(D875="no",0,F875*H858)</f>
        <v>0</v>
      </c>
      <c r="I875" s="33">
        <f t="shared" si="483"/>
        <v>0</v>
      </c>
      <c r="J875" s="26"/>
      <c r="K875" s="27">
        <f t="shared" si="475"/>
        <v>0</v>
      </c>
      <c r="L875" s="40">
        <f>IF(D875="no",F875*H851-J875,0)</f>
        <v>0</v>
      </c>
      <c r="M875" s="590"/>
      <c r="N875" s="564"/>
      <c r="O875" s="1"/>
      <c r="P875" s="3"/>
      <c r="Q875" s="1"/>
      <c r="R875" s="1"/>
      <c r="S875" s="1"/>
      <c r="T875" s="1"/>
      <c r="U875" s="4"/>
    </row>
    <row r="876" spans="1:21" ht="18.75" customHeight="1">
      <c r="A876" s="39" t="s">
        <v>616</v>
      </c>
      <c r="B876" s="29" t="s">
        <v>35</v>
      </c>
      <c r="C876" s="30"/>
      <c r="D876" s="21"/>
      <c r="E876" s="27"/>
      <c r="F876" s="31">
        <f t="shared" si="481"/>
        <v>0</v>
      </c>
      <c r="G876" s="27">
        <f t="shared" si="482"/>
        <v>0</v>
      </c>
      <c r="H876" s="32">
        <f>IF(D876="no",0,F876*H858)</f>
        <v>0</v>
      </c>
      <c r="I876" s="33">
        <f t="shared" si="483"/>
        <v>0</v>
      </c>
      <c r="J876" s="26"/>
      <c r="K876" s="27">
        <f>IF(D876="no",0,H876-I876-J876)</f>
        <v>0</v>
      </c>
      <c r="L876" s="27">
        <f>IF(D876="no",F876*H643-J876,0)</f>
        <v>0</v>
      </c>
      <c r="M876" s="574"/>
      <c r="N876" s="564"/>
      <c r="O876" s="1"/>
      <c r="P876" s="3"/>
      <c r="Q876" s="1"/>
      <c r="R876" s="1"/>
      <c r="S876" s="1"/>
      <c r="T876" s="1"/>
      <c r="U876" s="4"/>
    </row>
    <row r="877" spans="1:21" ht="18.75" customHeight="1">
      <c r="A877" s="39" t="s">
        <v>616</v>
      </c>
      <c r="B877" s="29" t="s">
        <v>61</v>
      </c>
      <c r="C877" s="30"/>
      <c r="D877" s="21"/>
      <c r="E877" s="27"/>
      <c r="F877" s="31">
        <f t="shared" si="481"/>
        <v>0</v>
      </c>
      <c r="G877" s="27">
        <f t="shared" si="482"/>
        <v>0</v>
      </c>
      <c r="H877" s="32">
        <f>IF(D877="no",0,F877*H858)</f>
        <v>0</v>
      </c>
      <c r="I877" s="33">
        <f t="shared" si="483"/>
        <v>0</v>
      </c>
      <c r="J877" s="26"/>
      <c r="K877" s="27">
        <f t="shared" si="475"/>
        <v>0</v>
      </c>
      <c r="L877" s="27">
        <f>IF(D877="no",F877*H644-J877,0)</f>
        <v>0</v>
      </c>
      <c r="M877" s="142"/>
      <c r="N877" s="143"/>
      <c r="O877" s="1"/>
      <c r="P877" s="3"/>
      <c r="Q877" s="1"/>
      <c r="R877" s="1"/>
      <c r="S877" s="1"/>
      <c r="T877" s="1"/>
      <c r="U877" s="4"/>
    </row>
    <row r="878" spans="1:21" ht="18.75" customHeight="1">
      <c r="A878" s="39" t="s">
        <v>616</v>
      </c>
      <c r="B878" s="29" t="s">
        <v>37</v>
      </c>
      <c r="C878" s="30"/>
      <c r="D878" s="21"/>
      <c r="E878" s="27"/>
      <c r="F878" s="31">
        <f t="shared" si="481"/>
        <v>0</v>
      </c>
      <c r="G878" s="27">
        <f t="shared" si="482"/>
        <v>0</v>
      </c>
      <c r="H878" s="37"/>
      <c r="I878" s="33">
        <f>IF(D878="no",0,H878*3.3%)</f>
        <v>0</v>
      </c>
      <c r="J878" s="26"/>
      <c r="K878" s="27">
        <f>IF(D878="no",0,H878-I878-J878)</f>
        <v>0</v>
      </c>
      <c r="L878" s="27">
        <f>IF(D878="no",F878*H645-J878,0)</f>
        <v>0</v>
      </c>
      <c r="M878" s="572"/>
      <c r="N878" s="564"/>
      <c r="O878" s="1"/>
      <c r="P878" s="3"/>
      <c r="Q878" s="1"/>
      <c r="R878" s="1"/>
      <c r="S878" s="1"/>
      <c r="T878" s="1"/>
      <c r="U878" s="4"/>
    </row>
    <row r="879" spans="1:21" ht="18.75" customHeight="1">
      <c r="A879" s="39" t="s">
        <v>616</v>
      </c>
      <c r="B879" s="29" t="s">
        <v>106</v>
      </c>
      <c r="C879" s="30"/>
      <c r="D879" s="21"/>
      <c r="E879" s="27"/>
      <c r="F879" s="31">
        <f t="shared" si="481"/>
        <v>0</v>
      </c>
      <c r="G879" s="27">
        <f t="shared" si="482"/>
        <v>0</v>
      </c>
      <c r="H879" s="32">
        <f>IF(D879="no",0,F879*H858)</f>
        <v>0</v>
      </c>
      <c r="I879" s="33">
        <f t="shared" si="483"/>
        <v>0</v>
      </c>
      <c r="J879" s="26"/>
      <c r="K879" s="27">
        <f t="shared" si="475"/>
        <v>0</v>
      </c>
      <c r="L879" s="27">
        <f>IF(D879="no",F879*H646-J879,0)</f>
        <v>0</v>
      </c>
      <c r="M879" s="572"/>
      <c r="N879" s="564"/>
      <c r="O879" s="1"/>
      <c r="P879" s="3"/>
      <c r="Q879" s="1"/>
      <c r="R879" s="1"/>
      <c r="S879" s="1"/>
      <c r="T879" s="1"/>
      <c r="U879" s="4"/>
    </row>
    <row r="880" spans="1:21" ht="18.75" customHeight="1">
      <c r="A880" s="575" t="s">
        <v>42</v>
      </c>
      <c r="B880" s="576"/>
      <c r="C880" s="576"/>
      <c r="D880" s="577"/>
      <c r="E880" s="42">
        <f t="shared" ref="E880:L880" si="484">SUM(E860:E879)</f>
        <v>13860000</v>
      </c>
      <c r="F880" s="17">
        <f t="shared" si="484"/>
        <v>12600000</v>
      </c>
      <c r="G880" s="42">
        <f t="shared" si="484"/>
        <v>1260000</v>
      </c>
      <c r="H880" s="42">
        <f t="shared" si="484"/>
        <v>6300000</v>
      </c>
      <c r="I880" s="42">
        <f t="shared" si="484"/>
        <v>207900</v>
      </c>
      <c r="J880" s="42">
        <f t="shared" si="484"/>
        <v>0</v>
      </c>
      <c r="K880" s="42">
        <f t="shared" si="484"/>
        <v>6092100</v>
      </c>
      <c r="L880" s="42">
        <f t="shared" si="484"/>
        <v>0</v>
      </c>
      <c r="M880" s="44"/>
      <c r="N880" s="45"/>
      <c r="O880" s="1"/>
      <c r="P880" s="3"/>
      <c r="Q880" s="1"/>
      <c r="R880" s="1"/>
      <c r="S880" s="1"/>
      <c r="T880" s="1"/>
      <c r="U880" s="4"/>
    </row>
    <row r="881" spans="1:21" ht="18.75" customHeight="1">
      <c r="A881" s="46" t="s">
        <v>37</v>
      </c>
      <c r="B881" s="47" t="s">
        <v>43</v>
      </c>
      <c r="C881" s="48">
        <f>D858</f>
        <v>4</v>
      </c>
      <c r="D881" s="47" t="s">
        <v>44</v>
      </c>
      <c r="E881" s="49"/>
      <c r="F881" s="84"/>
      <c r="G881" s="85"/>
      <c r="H881" s="49"/>
      <c r="I881" s="53" t="s">
        <v>46</v>
      </c>
      <c r="J881" s="54">
        <v>33850</v>
      </c>
      <c r="K881" s="50"/>
      <c r="L881" s="55"/>
      <c r="M881" s="63"/>
      <c r="N881" s="64"/>
      <c r="O881" s="1"/>
      <c r="P881" s="24"/>
      <c r="Q881" s="1"/>
      <c r="R881" s="1"/>
      <c r="S881" s="1"/>
      <c r="T881" s="1"/>
      <c r="U881" s="4"/>
    </row>
    <row r="882" spans="1:21" ht="16.5" customHeight="1" thickBot="1">
      <c r="A882" s="56" t="s">
        <v>48</v>
      </c>
      <c r="B882" s="57" t="s">
        <v>49</v>
      </c>
      <c r="C882" s="58">
        <f>ROUND(F880/10000,0)</f>
        <v>1260</v>
      </c>
      <c r="D882" s="57" t="s">
        <v>50</v>
      </c>
      <c r="E882" s="52">
        <v>0</v>
      </c>
      <c r="F882" s="86"/>
      <c r="G882" s="87"/>
      <c r="H882" s="52"/>
      <c r="I882" s="59"/>
      <c r="J882" s="61"/>
      <c r="K882" s="59"/>
      <c r="L882" s="62"/>
      <c r="M882" s="63"/>
      <c r="N882" s="64"/>
      <c r="O882" s="1"/>
      <c r="P882" s="3"/>
      <c r="Q882" s="1"/>
      <c r="R882" s="1"/>
      <c r="S882" s="1"/>
      <c r="T882" s="1"/>
      <c r="U882" s="4"/>
    </row>
    <row r="883" spans="1:21" ht="18.75" customHeight="1" thickBot="1">
      <c r="A883" s="566" t="s">
        <v>52</v>
      </c>
      <c r="B883" s="567"/>
      <c r="C883" s="567"/>
      <c r="D883" s="568"/>
      <c r="E883" s="65"/>
      <c r="F883" s="569" t="s">
        <v>53</v>
      </c>
      <c r="G883" s="568"/>
      <c r="H883" s="66">
        <f>H880-J881</f>
        <v>6266150</v>
      </c>
      <c r="I883" s="67">
        <f>H883*3.3%</f>
        <v>206782.95</v>
      </c>
      <c r="J883" s="68">
        <f>SUM(J880)</f>
        <v>0</v>
      </c>
      <c r="K883" s="69">
        <f>H883-I883-J883</f>
        <v>6059367.0499999998</v>
      </c>
      <c r="L883" s="70">
        <f>L880+SUM(H881:H882)+J882</f>
        <v>0</v>
      </c>
      <c r="M883" s="570">
        <f>K883+L883</f>
        <v>6059367.0499999998</v>
      </c>
      <c r="N883" s="571"/>
      <c r="O883" s="1"/>
      <c r="P883" s="3"/>
      <c r="Q883" s="1"/>
      <c r="R883" s="1"/>
      <c r="S883" s="1"/>
      <c r="T883" s="1"/>
      <c r="U883" s="4"/>
    </row>
    <row r="884" spans="1:21" ht="18.75" hidden="1" customHeight="1">
      <c r="A884" s="1"/>
      <c r="B884" s="1"/>
      <c r="C884" s="1"/>
      <c r="D884" s="1"/>
      <c r="E884" s="1"/>
      <c r="F884" s="1"/>
      <c r="G884" s="1"/>
      <c r="H884" s="141"/>
      <c r="I884" s="1"/>
      <c r="J884" s="1"/>
      <c r="K884" s="1"/>
      <c r="L884" s="1"/>
      <c r="M884" s="1"/>
      <c r="N884" s="1"/>
      <c r="O884" s="1"/>
      <c r="P884" s="3"/>
      <c r="Q884" s="1"/>
      <c r="R884" s="1"/>
      <c r="S884" s="1"/>
      <c r="T884" s="1"/>
      <c r="U884" s="4"/>
    </row>
    <row r="885" spans="1:21" s="356" customFormat="1" ht="18.75" hidden="1" customHeight="1">
      <c r="A885" s="1"/>
      <c r="B885" s="1"/>
      <c r="C885" s="1"/>
      <c r="D885" s="1"/>
      <c r="E885" s="1"/>
      <c r="F885" s="1"/>
      <c r="G885" s="1"/>
      <c r="H885" s="141">
        <v>1</v>
      </c>
      <c r="I885" s="1"/>
      <c r="J885" s="1"/>
      <c r="K885" s="1"/>
      <c r="L885" s="1"/>
      <c r="M885" s="1"/>
      <c r="N885" s="1"/>
      <c r="O885" s="1"/>
      <c r="P885" s="3"/>
      <c r="Q885" s="1"/>
      <c r="R885" s="1"/>
      <c r="S885" s="1"/>
      <c r="T885" s="1"/>
      <c r="U885" s="4"/>
    </row>
    <row r="886" spans="1:21" ht="18.75" hidden="1" customHeight="1">
      <c r="A886" s="6"/>
      <c r="B886" s="7" t="str">
        <f>$B$34</f>
        <v>1월</v>
      </c>
      <c r="C886" s="8" t="s">
        <v>1</v>
      </c>
      <c r="D886" s="9">
        <f>COUNTIF($C888:$C902,"계약")+(COUNTIF($C888:$C902,"계약2")*2)</f>
        <v>0</v>
      </c>
      <c r="E886" s="3">
        <f>COUNTIF(C888:C902,"낙찰수수료")</f>
        <v>0</v>
      </c>
      <c r="F886" s="3"/>
      <c r="G886" s="89" t="s">
        <v>139</v>
      </c>
      <c r="H886" s="11">
        <v>0.5</v>
      </c>
      <c r="I886" s="12">
        <v>3.3000000000000002E-2</v>
      </c>
      <c r="J886" s="1"/>
      <c r="K886" s="1"/>
      <c r="L886" s="1"/>
      <c r="M886" s="1"/>
      <c r="N886" s="1"/>
      <c r="O886" s="1"/>
      <c r="P886" s="3"/>
      <c r="Q886" s="1"/>
      <c r="R886" s="1"/>
      <c r="S886" s="1"/>
      <c r="T886" s="1"/>
      <c r="U886" s="4"/>
    </row>
    <row r="887" spans="1:21" ht="18.75" hidden="1" customHeight="1">
      <c r="A887" s="13" t="s">
        <v>3</v>
      </c>
      <c r="B887" s="14" t="s">
        <v>4</v>
      </c>
      <c r="C887" s="14" t="s">
        <v>5</v>
      </c>
      <c r="D887" s="101" t="s">
        <v>6</v>
      </c>
      <c r="E887" s="16" t="s">
        <v>7</v>
      </c>
      <c r="F887" s="17" t="s">
        <v>8</v>
      </c>
      <c r="G887" s="14" t="s">
        <v>9</v>
      </c>
      <c r="H887" s="15" t="s">
        <v>10</v>
      </c>
      <c r="I887" s="14" t="s">
        <v>11</v>
      </c>
      <c r="J887" s="15" t="s">
        <v>12</v>
      </c>
      <c r="K887" s="14" t="s">
        <v>13</v>
      </c>
      <c r="L887" s="14" t="s">
        <v>14</v>
      </c>
      <c r="M887" s="579" t="s">
        <v>15</v>
      </c>
      <c r="N887" s="577"/>
      <c r="O887" s="1"/>
      <c r="P887" s="3"/>
      <c r="Q887" s="73"/>
      <c r="R887" s="1"/>
      <c r="S887" s="1"/>
      <c r="T887" s="1"/>
      <c r="U887" s="4"/>
    </row>
    <row r="888" spans="1:21" ht="18.75" hidden="1" customHeight="1">
      <c r="A888" s="28"/>
      <c r="B888" s="29"/>
      <c r="C888" s="30"/>
      <c r="D888" s="95"/>
      <c r="E888" s="27"/>
      <c r="F888" s="31">
        <f t="shared" ref="F888:F898" si="485">IF(D888="no",E888,E888/1.1)</f>
        <v>0</v>
      </c>
      <c r="G888" s="27">
        <f t="shared" ref="G888:G898" si="486">IF(D888="no",0,F888*0.1)</f>
        <v>0</v>
      </c>
      <c r="H888" s="112">
        <f>IF(D888="no",0,F888*H886)</f>
        <v>0</v>
      </c>
      <c r="I888" s="33">
        <f t="shared" ref="I888:I902" si="487">IF(D888="no",0,H888*3.3%)</f>
        <v>0</v>
      </c>
      <c r="J888" s="97"/>
      <c r="K888" s="27">
        <f t="shared" ref="K888:K902" si="488">IF(D888="no",0,H888-I888-J888)</f>
        <v>0</v>
      </c>
      <c r="L888" s="27">
        <f t="shared" ref="L888" si="489">IF(D888="no",F888*H886-J888,0)</f>
        <v>0</v>
      </c>
      <c r="M888" s="582"/>
      <c r="N888" s="581"/>
      <c r="O888" s="1"/>
      <c r="P888" s="3"/>
      <c r="Q888" s="1"/>
      <c r="R888" s="1"/>
      <c r="S888" s="1"/>
      <c r="T888" s="1"/>
      <c r="U888" s="4"/>
    </row>
    <row r="889" spans="1:21" s="347" customFormat="1" ht="18.75" hidden="1" customHeight="1">
      <c r="A889" s="121"/>
      <c r="B889" s="108"/>
      <c r="C889" s="109"/>
      <c r="D889" s="352"/>
      <c r="E889" s="111"/>
      <c r="F889" s="31">
        <f t="shared" si="485"/>
        <v>0</v>
      </c>
      <c r="G889" s="27">
        <f t="shared" si="486"/>
        <v>0</v>
      </c>
      <c r="H889" s="112">
        <f>IF(D889="no",0,F889*H886)</f>
        <v>0</v>
      </c>
      <c r="I889" s="33">
        <f t="shared" si="487"/>
        <v>0</v>
      </c>
      <c r="J889" s="97"/>
      <c r="K889" s="27">
        <f t="shared" si="488"/>
        <v>0</v>
      </c>
      <c r="L889" s="27"/>
      <c r="M889" s="346"/>
      <c r="N889" s="344"/>
      <c r="O889" s="1"/>
      <c r="P889" s="3"/>
      <c r="Q889" s="1"/>
      <c r="R889" s="1"/>
      <c r="S889" s="1"/>
      <c r="T889" s="1"/>
      <c r="U889" s="4"/>
    </row>
    <row r="890" spans="1:21" ht="18.75" hidden="1" customHeight="1">
      <c r="A890" s="28"/>
      <c r="B890" s="29"/>
      <c r="C890" s="30"/>
      <c r="D890" s="38"/>
      <c r="E890" s="27"/>
      <c r="F890" s="31">
        <f t="shared" si="485"/>
        <v>0</v>
      </c>
      <c r="G890" s="27">
        <f t="shared" si="486"/>
        <v>0</v>
      </c>
      <c r="H890" s="112">
        <f>IF(D890="no",0,F890*H886)</f>
        <v>0</v>
      </c>
      <c r="I890" s="33">
        <f t="shared" si="487"/>
        <v>0</v>
      </c>
      <c r="J890" s="97"/>
      <c r="K890" s="27">
        <f t="shared" si="488"/>
        <v>0</v>
      </c>
      <c r="L890" s="27">
        <f>IF(D890="no",F890*H887-J890,0)</f>
        <v>0</v>
      </c>
      <c r="M890" s="565"/>
      <c r="N890" s="564"/>
      <c r="O890" s="1"/>
      <c r="P890" s="3"/>
      <c r="Q890" s="1"/>
      <c r="R890" s="1"/>
      <c r="S890" s="1"/>
      <c r="T890" s="1"/>
      <c r="U890" s="4"/>
    </row>
    <row r="891" spans="1:21" ht="18.75" hidden="1" customHeight="1">
      <c r="A891" s="28"/>
      <c r="B891" s="29"/>
      <c r="C891" s="30"/>
      <c r="D891" s="95"/>
      <c r="E891" s="102"/>
      <c r="F891" s="31">
        <f t="shared" si="485"/>
        <v>0</v>
      </c>
      <c r="G891" s="27">
        <f t="shared" si="486"/>
        <v>0</v>
      </c>
      <c r="H891" s="32">
        <f>IF(D891="no",0,F891*H886)</f>
        <v>0</v>
      </c>
      <c r="I891" s="33">
        <f t="shared" si="487"/>
        <v>0</v>
      </c>
      <c r="J891" s="26"/>
      <c r="K891" s="27">
        <f t="shared" si="488"/>
        <v>0</v>
      </c>
      <c r="L891" s="27">
        <f>IF(D891="no",F891*H886-J891,0)</f>
        <v>0</v>
      </c>
      <c r="M891" s="578"/>
      <c r="N891" s="564"/>
      <c r="O891" s="1"/>
      <c r="P891" s="3"/>
      <c r="Q891" s="1"/>
      <c r="R891" s="1" t="s">
        <v>484</v>
      </c>
      <c r="S891" s="1"/>
      <c r="T891" s="1"/>
      <c r="U891" s="4"/>
    </row>
    <row r="892" spans="1:21" ht="18.75" hidden="1" customHeight="1">
      <c r="A892" s="39"/>
      <c r="B892" s="29"/>
      <c r="C892" s="30"/>
      <c r="D892" s="38"/>
      <c r="E892" s="27"/>
      <c r="F892" s="31">
        <f t="shared" si="485"/>
        <v>0</v>
      </c>
      <c r="G892" s="27">
        <f t="shared" si="486"/>
        <v>0</v>
      </c>
      <c r="H892" s="32">
        <f>IF(D892="no",0,F892*H886)</f>
        <v>0</v>
      </c>
      <c r="I892" s="33">
        <f t="shared" si="487"/>
        <v>0</v>
      </c>
      <c r="J892" s="26"/>
      <c r="K892" s="27">
        <f t="shared" si="488"/>
        <v>0</v>
      </c>
      <c r="L892" s="27">
        <f>IF(D892="no",F892*H886-J892,0)</f>
        <v>0</v>
      </c>
      <c r="M892" s="585"/>
      <c r="N892" s="564"/>
      <c r="O892" s="1"/>
      <c r="P892" s="3"/>
      <c r="Q892" s="1"/>
      <c r="R892" s="1"/>
      <c r="S892" s="1"/>
      <c r="T892" s="1"/>
      <c r="U892" s="4"/>
    </row>
    <row r="893" spans="1:21" ht="18.75" hidden="1" customHeight="1">
      <c r="A893" s="39"/>
      <c r="B893" s="29"/>
      <c r="C893" s="30"/>
      <c r="D893" s="38"/>
      <c r="E893" s="27"/>
      <c r="F893" s="31">
        <f t="shared" si="485"/>
        <v>0</v>
      </c>
      <c r="G893" s="27">
        <f t="shared" si="486"/>
        <v>0</v>
      </c>
      <c r="H893" s="32">
        <f>IF(D893="no",0,F893*H1185)</f>
        <v>0</v>
      </c>
      <c r="I893" s="33">
        <f t="shared" si="487"/>
        <v>0</v>
      </c>
      <c r="J893" s="26"/>
      <c r="K893" s="27">
        <f t="shared" si="488"/>
        <v>0</v>
      </c>
      <c r="L893" s="27">
        <f>IF(D893="no",F893*H1185-J893,0)</f>
        <v>0</v>
      </c>
      <c r="M893" s="563"/>
      <c r="N893" s="564"/>
      <c r="O893" s="1"/>
      <c r="P893" s="3"/>
      <c r="Q893" s="1"/>
      <c r="R893" s="1"/>
      <c r="S893" s="1"/>
      <c r="T893" s="1"/>
      <c r="U893" s="4"/>
    </row>
    <row r="894" spans="1:21" ht="18.75" hidden="1" customHeight="1">
      <c r="A894" s="39"/>
      <c r="B894" s="29"/>
      <c r="C894" s="30"/>
      <c r="D894" s="21"/>
      <c r="E894" s="27"/>
      <c r="F894" s="31">
        <f t="shared" si="485"/>
        <v>0</v>
      </c>
      <c r="G894" s="27">
        <f t="shared" si="486"/>
        <v>0</v>
      </c>
      <c r="H894" s="32">
        <f>IF(D894="no",0,F894*H886)</f>
        <v>0</v>
      </c>
      <c r="I894" s="33">
        <f t="shared" si="487"/>
        <v>0</v>
      </c>
      <c r="J894" s="26"/>
      <c r="K894" s="27">
        <f t="shared" si="488"/>
        <v>0</v>
      </c>
      <c r="L894" s="27">
        <f>IF(D894="no",F894*H887-J894,0)</f>
        <v>0</v>
      </c>
      <c r="M894" s="572"/>
      <c r="N894" s="564"/>
      <c r="O894" s="1"/>
      <c r="P894" s="3"/>
      <c r="Q894" s="1"/>
      <c r="R894" s="1"/>
      <c r="S894" s="1"/>
      <c r="T894" s="1"/>
      <c r="U894" s="4"/>
    </row>
    <row r="895" spans="1:21" ht="18.75" hidden="1" customHeight="1">
      <c r="A895" s="28"/>
      <c r="B895" s="29"/>
      <c r="C895" s="30"/>
      <c r="D895" s="38"/>
      <c r="E895" s="27"/>
      <c r="F895" s="31">
        <f t="shared" si="485"/>
        <v>0</v>
      </c>
      <c r="G895" s="27">
        <f t="shared" si="486"/>
        <v>0</v>
      </c>
      <c r="H895" s="32">
        <f>IF(D895="no",0,F895*H886)</f>
        <v>0</v>
      </c>
      <c r="I895" s="33">
        <f t="shared" si="487"/>
        <v>0</v>
      </c>
      <c r="J895" s="26"/>
      <c r="K895" s="27">
        <f t="shared" si="488"/>
        <v>0</v>
      </c>
      <c r="L895" s="27">
        <f>IF(D895="no",F895*H886-J895,0)</f>
        <v>0</v>
      </c>
      <c r="M895" s="563"/>
      <c r="N895" s="564"/>
      <c r="O895" s="1"/>
      <c r="P895" s="3"/>
      <c r="Q895" s="1"/>
      <c r="R895" s="1"/>
      <c r="S895" s="1"/>
      <c r="T895" s="1"/>
      <c r="U895" s="4"/>
    </row>
    <row r="896" spans="1:21" ht="18.75" hidden="1" customHeight="1">
      <c r="A896" s="28"/>
      <c r="B896" s="29"/>
      <c r="C896" s="30"/>
      <c r="D896" s="38"/>
      <c r="E896" s="27"/>
      <c r="F896" s="31">
        <f t="shared" si="485"/>
        <v>0</v>
      </c>
      <c r="G896" s="27">
        <f t="shared" si="486"/>
        <v>0</v>
      </c>
      <c r="H896" s="32">
        <f>IF(D896="no",0,F896*H886)</f>
        <v>0</v>
      </c>
      <c r="I896" s="33">
        <f t="shared" si="487"/>
        <v>0</v>
      </c>
      <c r="J896" s="26"/>
      <c r="K896" s="27">
        <f t="shared" si="488"/>
        <v>0</v>
      </c>
      <c r="L896" s="27">
        <f>IF(D896="no",F896*H886-J896,0)</f>
        <v>0</v>
      </c>
      <c r="M896" s="572"/>
      <c r="N896" s="564"/>
      <c r="O896" s="1"/>
      <c r="P896" s="3"/>
      <c r="Q896" s="1"/>
      <c r="R896" s="1"/>
      <c r="S896" s="1"/>
      <c r="T896" s="1"/>
      <c r="U896" s="4"/>
    </row>
    <row r="897" spans="1:21" ht="18.75" hidden="1" customHeight="1">
      <c r="A897" s="28"/>
      <c r="B897" s="29"/>
      <c r="C897" s="30"/>
      <c r="D897" s="21"/>
      <c r="E897" s="27"/>
      <c r="F897" s="31">
        <f t="shared" si="485"/>
        <v>0</v>
      </c>
      <c r="G897" s="27">
        <f t="shared" si="486"/>
        <v>0</v>
      </c>
      <c r="H897" s="32">
        <f>IF(D897="no",0,F897*H886)</f>
        <v>0</v>
      </c>
      <c r="I897" s="33">
        <f t="shared" si="487"/>
        <v>0</v>
      </c>
      <c r="J897" s="26"/>
      <c r="K897" s="27">
        <f t="shared" si="488"/>
        <v>0</v>
      </c>
      <c r="L897" s="27">
        <f>IF(D897="no",F897*H887-J897,0)</f>
        <v>0</v>
      </c>
      <c r="M897" s="584"/>
      <c r="N897" s="564"/>
      <c r="O897" s="1"/>
      <c r="P897" s="3"/>
      <c r="Q897" s="1"/>
      <c r="R897" s="1"/>
      <c r="S897" s="1"/>
      <c r="T897" s="1"/>
      <c r="U897" s="4"/>
    </row>
    <row r="898" spans="1:21" ht="18.75" hidden="1" customHeight="1">
      <c r="A898" s="28"/>
      <c r="B898" s="29"/>
      <c r="C898" s="30"/>
      <c r="D898" s="21"/>
      <c r="E898" s="27"/>
      <c r="F898" s="31">
        <f t="shared" si="485"/>
        <v>0</v>
      </c>
      <c r="G898" s="27">
        <f t="shared" si="486"/>
        <v>0</v>
      </c>
      <c r="H898" s="32">
        <f>IF(D898="no",0,F898*H886)</f>
        <v>0</v>
      </c>
      <c r="I898" s="33">
        <f t="shared" si="487"/>
        <v>0</v>
      </c>
      <c r="J898" s="26"/>
      <c r="K898" s="27">
        <f t="shared" si="488"/>
        <v>0</v>
      </c>
      <c r="L898" s="27">
        <f>IF(D898="no",F898*H887-J898,0)</f>
        <v>0</v>
      </c>
      <c r="M898" s="584"/>
      <c r="N898" s="564"/>
      <c r="O898" s="1"/>
      <c r="P898" s="3"/>
      <c r="Q898" s="1"/>
      <c r="R898" s="1"/>
      <c r="S898" s="1"/>
      <c r="T898" s="1"/>
      <c r="U898" s="4"/>
    </row>
    <row r="899" spans="1:21" ht="18.75" hidden="1" customHeight="1">
      <c r="A899" s="28"/>
      <c r="B899" s="29"/>
      <c r="C899" s="30"/>
      <c r="D899" s="21"/>
      <c r="E899" s="27"/>
      <c r="F899" s="31"/>
      <c r="G899" s="27"/>
      <c r="H899" s="32">
        <f>IF(D899="no",0,F899*H886)</f>
        <v>0</v>
      </c>
      <c r="I899" s="33">
        <f t="shared" si="487"/>
        <v>0</v>
      </c>
      <c r="J899" s="26"/>
      <c r="K899" s="27">
        <f t="shared" si="488"/>
        <v>0</v>
      </c>
      <c r="L899" s="27">
        <f>IF(D899="no",F899*H888-J899,0)</f>
        <v>0</v>
      </c>
      <c r="M899" s="584"/>
      <c r="N899" s="564"/>
      <c r="O899" s="1"/>
      <c r="P899" s="3"/>
      <c r="Q899" s="1"/>
      <c r="R899" s="1"/>
      <c r="S899" s="1"/>
      <c r="T899" s="1"/>
      <c r="U899" s="4"/>
    </row>
    <row r="900" spans="1:21" s="321" customFormat="1" ht="18.75" hidden="1" customHeight="1">
      <c r="A900" s="39" t="s">
        <v>501</v>
      </c>
      <c r="B900" s="29" t="s">
        <v>343</v>
      </c>
      <c r="C900" s="30"/>
      <c r="D900" s="320"/>
      <c r="E900" s="27"/>
      <c r="F900" s="31">
        <f t="shared" ref="F900" si="490">IF(D900="no",E900,E900/1.1)</f>
        <v>0</v>
      </c>
      <c r="G900" s="27">
        <f t="shared" ref="G900" si="491">IF(D900="no",0,F900*0.1)</f>
        <v>0</v>
      </c>
      <c r="H900" s="37">
        <f>IF(D900="no",0,F900*H886)</f>
        <v>0</v>
      </c>
      <c r="I900" s="33">
        <f t="shared" si="487"/>
        <v>0</v>
      </c>
      <c r="J900" s="26"/>
      <c r="K900" s="27">
        <f t="shared" si="488"/>
        <v>0</v>
      </c>
      <c r="L900" s="40">
        <f>IF(D900="no",F900*H720-J900,0)</f>
        <v>0</v>
      </c>
      <c r="M900" s="590"/>
      <c r="N900" s="564"/>
      <c r="O900" s="1"/>
      <c r="P900" s="3"/>
      <c r="Q900" s="1"/>
      <c r="R900" s="1"/>
      <c r="S900" s="1"/>
      <c r="T900" s="1"/>
      <c r="U900" s="4"/>
    </row>
    <row r="901" spans="1:21" ht="18.75" hidden="1" customHeight="1">
      <c r="A901" s="39" t="s">
        <v>501</v>
      </c>
      <c r="B901" s="29" t="s">
        <v>35</v>
      </c>
      <c r="C901" s="30"/>
      <c r="D901" s="21"/>
      <c r="E901" s="27"/>
      <c r="F901" s="31">
        <f>IF(D901="no",E901,E901/1.1)</f>
        <v>0</v>
      </c>
      <c r="G901" s="27">
        <f>IF(D901="no",0,F901*0.1)</f>
        <v>0</v>
      </c>
      <c r="H901" s="32"/>
      <c r="I901" s="33">
        <f>IF(D901="no",0,H901*3.3%)</f>
        <v>0</v>
      </c>
      <c r="J901" s="26"/>
      <c r="K901" s="27">
        <f>IF(D901="no",0,H901-I901-J901)</f>
        <v>0</v>
      </c>
      <c r="L901" s="27">
        <f>IF(D901="no",F901*H888-J901,0)</f>
        <v>0</v>
      </c>
      <c r="M901" s="572"/>
      <c r="N901" s="564"/>
      <c r="O901" s="1"/>
      <c r="P901" s="3"/>
      <c r="Q901" s="1"/>
      <c r="R901" s="1"/>
      <c r="S901" s="1"/>
      <c r="T901" s="1"/>
      <c r="U901" s="4"/>
    </row>
    <row r="902" spans="1:21" ht="18.75" hidden="1" customHeight="1">
      <c r="A902" s="39" t="s">
        <v>501</v>
      </c>
      <c r="B902" s="29" t="s">
        <v>61</v>
      </c>
      <c r="C902" s="30"/>
      <c r="D902" s="21"/>
      <c r="E902" s="27"/>
      <c r="F902" s="31"/>
      <c r="G902" s="27"/>
      <c r="H902" s="32"/>
      <c r="I902" s="33">
        <f t="shared" si="487"/>
        <v>0</v>
      </c>
      <c r="J902" s="26"/>
      <c r="K902" s="27">
        <f t="shared" si="488"/>
        <v>0</v>
      </c>
      <c r="L902" s="27">
        <f>IF(D902="no",F902*H887-J902,0)</f>
        <v>0</v>
      </c>
      <c r="M902" s="572"/>
      <c r="N902" s="564"/>
      <c r="O902" s="1"/>
      <c r="P902" s="3"/>
      <c r="Q902" s="1"/>
      <c r="R902" s="1"/>
      <c r="S902" s="1"/>
      <c r="T902" s="1"/>
      <c r="U902" s="4"/>
    </row>
    <row r="903" spans="1:21" ht="18.75" hidden="1" customHeight="1">
      <c r="A903" s="39" t="s">
        <v>501</v>
      </c>
      <c r="B903" s="29" t="s">
        <v>340</v>
      </c>
      <c r="C903" s="30"/>
      <c r="D903" s="21"/>
      <c r="E903" s="27"/>
      <c r="F903" s="31">
        <f>IF(D903="no",E903,E903/1.1)</f>
        <v>0</v>
      </c>
      <c r="G903" s="27">
        <f>IF(D903="no",0,F903*0.1)</f>
        <v>0</v>
      </c>
      <c r="H903" s="37"/>
      <c r="I903" s="33">
        <f>IF(D903="no",0,H903*3.3%)</f>
        <v>0</v>
      </c>
      <c r="J903" s="26"/>
      <c r="K903" s="27">
        <f>IF(D903="no",0,H903-I903-J903)</f>
        <v>0</v>
      </c>
      <c r="L903" s="27">
        <f>IF(D903="no",F903*H886-J903,0)</f>
        <v>0</v>
      </c>
      <c r="M903" s="572"/>
      <c r="N903" s="564"/>
      <c r="O903" s="1"/>
      <c r="P903" s="3"/>
      <c r="Q903" s="1"/>
      <c r="R903" s="1"/>
      <c r="S903" s="1"/>
      <c r="T903" s="1"/>
      <c r="U903" s="4"/>
    </row>
    <row r="904" spans="1:21" ht="18.75" hidden="1" customHeight="1">
      <c r="A904" s="39" t="s">
        <v>501</v>
      </c>
      <c r="B904" s="29" t="s">
        <v>354</v>
      </c>
      <c r="C904" s="30"/>
      <c r="D904" s="21"/>
      <c r="E904" s="27"/>
      <c r="F904" s="31">
        <f t="shared" ref="F904" si="492">IF(D904="no",E904,E904/1.1)</f>
        <v>0</v>
      </c>
      <c r="G904" s="27">
        <f t="shared" ref="G904" si="493">IF(D904="no",0,F904*0.1)</f>
        <v>0</v>
      </c>
      <c r="H904" s="32"/>
      <c r="I904" s="33">
        <f>IF(D904="no",0,H904*3.3%)</f>
        <v>0</v>
      </c>
      <c r="J904" s="26"/>
      <c r="K904" s="27">
        <f>IF(D904="no",0,H904-I904-J904)</f>
        <v>0</v>
      </c>
      <c r="L904" s="27">
        <f>IF(D904="no",F904*H888-J904,0)</f>
        <v>0</v>
      </c>
      <c r="M904" s="572"/>
      <c r="N904" s="583"/>
      <c r="O904" s="1"/>
      <c r="P904" s="3"/>
      <c r="Q904" s="1"/>
      <c r="R904" s="1"/>
      <c r="S904" s="1"/>
      <c r="T904" s="1"/>
      <c r="U904" s="4"/>
    </row>
    <row r="905" spans="1:21" ht="18.75" hidden="1" customHeight="1">
      <c r="A905" s="575" t="s">
        <v>42</v>
      </c>
      <c r="B905" s="576"/>
      <c r="C905" s="576"/>
      <c r="D905" s="577"/>
      <c r="E905" s="42">
        <f t="shared" ref="E905:L905" si="494">SUM(E888:E904)</f>
        <v>0</v>
      </c>
      <c r="F905" s="17">
        <f t="shared" si="494"/>
        <v>0</v>
      </c>
      <c r="G905" s="42">
        <f t="shared" si="494"/>
        <v>0</v>
      </c>
      <c r="H905" s="42">
        <f t="shared" si="494"/>
        <v>0</v>
      </c>
      <c r="I905" s="42">
        <f t="shared" si="494"/>
        <v>0</v>
      </c>
      <c r="J905" s="42">
        <f t="shared" si="494"/>
        <v>0</v>
      </c>
      <c r="K905" s="42">
        <f t="shared" si="494"/>
        <v>0</v>
      </c>
      <c r="L905" s="42">
        <f t="shared" si="494"/>
        <v>0</v>
      </c>
      <c r="M905" s="44"/>
      <c r="N905" s="45"/>
      <c r="O905" s="1"/>
      <c r="P905" s="3"/>
      <c r="Q905" s="1"/>
      <c r="R905" s="1"/>
      <c r="S905" s="1"/>
      <c r="T905" s="1"/>
      <c r="U905" s="4"/>
    </row>
    <row r="906" spans="1:21" ht="18.75" hidden="1" customHeight="1">
      <c r="A906" s="46" t="s">
        <v>37</v>
      </c>
      <c r="B906" s="47" t="s">
        <v>132</v>
      </c>
      <c r="C906" s="48">
        <f>D886</f>
        <v>0</v>
      </c>
      <c r="D906" s="47" t="s">
        <v>44</v>
      </c>
      <c r="E906" s="49"/>
      <c r="F906" s="50"/>
      <c r="G906" s="156"/>
      <c r="H906" s="49"/>
      <c r="I906" s="53" t="s">
        <v>46</v>
      </c>
      <c r="J906" s="54"/>
      <c r="K906" s="50"/>
      <c r="L906" s="55"/>
      <c r="M906" s="63"/>
      <c r="N906" s="64"/>
      <c r="O906" s="1"/>
      <c r="P906" s="3"/>
      <c r="Q906" s="1"/>
      <c r="R906" s="1"/>
      <c r="S906" s="1"/>
      <c r="T906" s="1"/>
      <c r="U906" s="4"/>
    </row>
    <row r="907" spans="1:21" ht="18.75" hidden="1" customHeight="1" thickBot="1">
      <c r="A907" s="56" t="s">
        <v>48</v>
      </c>
      <c r="B907" s="57" t="s">
        <v>133</v>
      </c>
      <c r="C907" s="58">
        <f>ROUND(F905/10000,0)</f>
        <v>0</v>
      </c>
      <c r="D907" s="57" t="s">
        <v>50</v>
      </c>
      <c r="E907" s="52"/>
      <c r="F907" s="59"/>
      <c r="G907" s="58"/>
      <c r="H907" s="52"/>
      <c r="I907" s="59"/>
      <c r="J907" s="61"/>
      <c r="K907" s="59"/>
      <c r="L907" s="62">
        <f>IF(G907&gt;=2500,1500000,0)</f>
        <v>0</v>
      </c>
      <c r="M907" s="63"/>
      <c r="N907" s="64"/>
      <c r="O907" s="1"/>
      <c r="P907" s="3"/>
      <c r="Q907" s="1"/>
      <c r="R907" s="1"/>
      <c r="S907" s="1"/>
      <c r="T907" s="1"/>
      <c r="U907" s="4"/>
    </row>
    <row r="908" spans="1:21" ht="18.75" hidden="1" customHeight="1" thickBot="1">
      <c r="A908" s="566" t="s">
        <v>52</v>
      </c>
      <c r="B908" s="567"/>
      <c r="C908" s="567"/>
      <c r="D908" s="568"/>
      <c r="E908" s="65"/>
      <c r="F908" s="569" t="s">
        <v>53</v>
      </c>
      <c r="G908" s="568"/>
      <c r="H908" s="66">
        <f>H905-J906</f>
        <v>0</v>
      </c>
      <c r="I908" s="67">
        <f>H908*3.3%</f>
        <v>0</v>
      </c>
      <c r="J908" s="68">
        <f>SUM(J905)</f>
        <v>0</v>
      </c>
      <c r="K908" s="69">
        <f>H908-I908-J908</f>
        <v>0</v>
      </c>
      <c r="L908" s="70">
        <f>L905+SUM(H906:H907)+J907</f>
        <v>0</v>
      </c>
      <c r="M908" s="570">
        <f>K908+L908</f>
        <v>0</v>
      </c>
      <c r="N908" s="571"/>
      <c r="O908" s="1"/>
      <c r="P908" s="3"/>
      <c r="Q908" s="1"/>
      <c r="R908" s="1"/>
      <c r="S908" s="1"/>
      <c r="T908" s="1"/>
      <c r="U908" s="4"/>
    </row>
    <row r="909" spans="1:21" s="356" customFormat="1" ht="18.75" customHeight="1">
      <c r="A909" s="1"/>
      <c r="B909" s="1"/>
      <c r="C909" s="1"/>
      <c r="D909" s="1"/>
      <c r="E909" s="1"/>
      <c r="F909" s="1"/>
      <c r="G909" s="1"/>
      <c r="H909" s="141"/>
      <c r="I909" s="1"/>
      <c r="J909" s="1"/>
      <c r="K909" s="1"/>
      <c r="L909" s="1"/>
      <c r="M909" s="1"/>
      <c r="N909" s="1"/>
      <c r="O909" s="1"/>
      <c r="P909" s="3"/>
      <c r="Q909" s="1"/>
      <c r="R909" s="1"/>
      <c r="S909" s="1"/>
      <c r="T909" s="1"/>
      <c r="U909" s="4"/>
    </row>
    <row r="910" spans="1:21" s="307" customFormat="1" ht="18.75" hidden="1" customHeight="1">
      <c r="A910" s="6"/>
      <c r="B910" s="7" t="str">
        <f>$B$34</f>
        <v>1월</v>
      </c>
      <c r="C910" s="8" t="s">
        <v>1</v>
      </c>
      <c r="D910" s="9">
        <f>COUNTIF($C912:$C929,"계약")+(COUNTIF($C912:$C929,"계약2")*2)</f>
        <v>0</v>
      </c>
      <c r="E910" s="3">
        <f>COUNTIF(C912:C929,"낙찰수수료")</f>
        <v>0</v>
      </c>
      <c r="F910" s="3"/>
      <c r="G910" s="89" t="s">
        <v>356</v>
      </c>
      <c r="H910" s="11">
        <v>0.5</v>
      </c>
      <c r="I910" s="12">
        <v>3.3000000000000002E-2</v>
      </c>
      <c r="J910" s="1"/>
      <c r="K910" s="1"/>
      <c r="L910" s="1"/>
      <c r="M910" s="1"/>
      <c r="N910" s="1"/>
      <c r="O910" s="1"/>
      <c r="P910" s="3"/>
      <c r="Q910" s="1"/>
      <c r="R910" s="1"/>
      <c r="S910" s="1"/>
      <c r="T910" s="1"/>
      <c r="U910" s="4"/>
    </row>
    <row r="911" spans="1:21" s="307" customFormat="1" ht="18.75" hidden="1" customHeight="1">
      <c r="A911" s="306" t="s">
        <v>3</v>
      </c>
      <c r="B911" s="14" t="s">
        <v>4</v>
      </c>
      <c r="C911" s="14" t="s">
        <v>5</v>
      </c>
      <c r="D911" s="101" t="s">
        <v>6</v>
      </c>
      <c r="E911" s="16" t="s">
        <v>7</v>
      </c>
      <c r="F911" s="17" t="s">
        <v>8</v>
      </c>
      <c r="G911" s="14" t="s">
        <v>9</v>
      </c>
      <c r="H911" s="15" t="s">
        <v>10</v>
      </c>
      <c r="I911" s="14" t="s">
        <v>11</v>
      </c>
      <c r="J911" s="15" t="s">
        <v>12</v>
      </c>
      <c r="K911" s="14" t="s">
        <v>13</v>
      </c>
      <c r="L911" s="14" t="s">
        <v>14</v>
      </c>
      <c r="M911" s="579" t="s">
        <v>15</v>
      </c>
      <c r="N911" s="577"/>
      <c r="O911" s="1"/>
      <c r="P911" s="3"/>
      <c r="Q911" s="1"/>
      <c r="R911" s="1"/>
      <c r="S911" s="1"/>
      <c r="T911" s="1"/>
      <c r="U911" s="4"/>
    </row>
    <row r="912" spans="1:21" s="307" customFormat="1" ht="18.75" hidden="1" customHeight="1">
      <c r="A912" s="28"/>
      <c r="B912" s="29"/>
      <c r="C912" s="109"/>
      <c r="D912" s="122"/>
      <c r="E912" s="111"/>
      <c r="F912" s="288">
        <f t="shared" ref="F912:F930" si="495">IF(D912="no",E912,E912/1.1)</f>
        <v>0</v>
      </c>
      <c r="G912" s="111">
        <f t="shared" ref="G912:G930" si="496">IF(D912="no",0,F912*0.1)</f>
        <v>0</v>
      </c>
      <c r="H912" s="112">
        <f>IF(D912="no",0,F912*H910)</f>
        <v>0</v>
      </c>
      <c r="I912" s="113">
        <f t="shared" ref="I912:I928" si="497">IF(D912="no",0,H912*3.3%)</f>
        <v>0</v>
      </c>
      <c r="J912" s="114"/>
      <c r="K912" s="111">
        <f t="shared" ref="K912:K926" si="498">IF(D912="no",0,H912-I912-J912)</f>
        <v>0</v>
      </c>
      <c r="L912" s="27">
        <f>IF(D912="no",F912*H910-J912,0)</f>
        <v>0</v>
      </c>
      <c r="M912" s="580"/>
      <c r="N912" s="581"/>
      <c r="O912" s="1"/>
      <c r="P912" s="3"/>
      <c r="Q912" s="1"/>
      <c r="R912" s="1"/>
      <c r="S912" s="1"/>
      <c r="T912" s="1"/>
      <c r="U912" s="4"/>
    </row>
    <row r="913" spans="1:21" s="307" customFormat="1" ht="18.75" hidden="1" customHeight="1">
      <c r="A913" s="39"/>
      <c r="B913" s="29"/>
      <c r="C913" s="30"/>
      <c r="D913" s="312"/>
      <c r="E913" s="27"/>
      <c r="F913" s="31">
        <f t="shared" si="495"/>
        <v>0</v>
      </c>
      <c r="G913" s="27">
        <f t="shared" si="496"/>
        <v>0</v>
      </c>
      <c r="H913" s="112">
        <f>IF(D913="no",0,F913*H910)</f>
        <v>0</v>
      </c>
      <c r="I913" s="33">
        <f t="shared" si="497"/>
        <v>0</v>
      </c>
      <c r="J913" s="26"/>
      <c r="K913" s="27">
        <f t="shared" si="498"/>
        <v>0</v>
      </c>
      <c r="L913" s="27">
        <f t="shared" ref="L913:L920" si="499">IF(D913="no",F913*H657-J913,0)</f>
        <v>0</v>
      </c>
      <c r="M913" s="572"/>
      <c r="N913" s="564"/>
      <c r="O913" s="1"/>
      <c r="P913" s="3"/>
      <c r="Q913" s="1"/>
      <c r="R913" s="1"/>
      <c r="S913" s="1"/>
      <c r="T913" s="1"/>
      <c r="U913" s="4"/>
    </row>
    <row r="914" spans="1:21" s="307" customFormat="1" ht="18.75" hidden="1" customHeight="1">
      <c r="A914" s="28"/>
      <c r="B914" s="29"/>
      <c r="C914" s="30"/>
      <c r="D914" s="312"/>
      <c r="E914" s="27"/>
      <c r="F914" s="31">
        <f t="shared" si="495"/>
        <v>0</v>
      </c>
      <c r="G914" s="27">
        <f t="shared" si="496"/>
        <v>0</v>
      </c>
      <c r="H914" s="112">
        <f>IF(D914="no",0,F914*H910)</f>
        <v>0</v>
      </c>
      <c r="I914" s="33">
        <f t="shared" si="497"/>
        <v>0</v>
      </c>
      <c r="J914" s="26"/>
      <c r="K914" s="27">
        <f t="shared" si="498"/>
        <v>0</v>
      </c>
      <c r="L914" s="27">
        <f t="shared" si="499"/>
        <v>0</v>
      </c>
      <c r="M914" s="563"/>
      <c r="N914" s="564"/>
      <c r="O914" s="1"/>
      <c r="P914" s="3"/>
      <c r="Q914" s="1"/>
      <c r="R914" s="1"/>
      <c r="S914" s="1"/>
      <c r="T914" s="1"/>
      <c r="U914" s="4"/>
    </row>
    <row r="915" spans="1:21" s="307" customFormat="1" ht="18.75" hidden="1" customHeight="1">
      <c r="A915" s="28"/>
      <c r="B915" s="29"/>
      <c r="C915" s="30"/>
      <c r="D915" s="310"/>
      <c r="E915" s="27"/>
      <c r="F915" s="31">
        <f t="shared" si="495"/>
        <v>0</v>
      </c>
      <c r="G915" s="27">
        <f t="shared" si="496"/>
        <v>0</v>
      </c>
      <c r="H915" s="112">
        <f>IF(D915="no",0,F915*H910)</f>
        <v>0</v>
      </c>
      <c r="I915" s="33">
        <f t="shared" si="497"/>
        <v>0</v>
      </c>
      <c r="J915" s="26"/>
      <c r="K915" s="27">
        <f t="shared" si="498"/>
        <v>0</v>
      </c>
      <c r="L915" s="27">
        <f t="shared" si="499"/>
        <v>0</v>
      </c>
      <c r="M915" s="572"/>
      <c r="N915" s="564"/>
      <c r="O915" s="1"/>
      <c r="P915" s="3"/>
      <c r="Q915" s="1"/>
      <c r="R915" s="1"/>
      <c r="S915" s="1"/>
      <c r="T915" s="1"/>
      <c r="U915" s="4"/>
    </row>
    <row r="916" spans="1:21" s="307" customFormat="1" ht="18.75" hidden="1" customHeight="1">
      <c r="A916" s="28"/>
      <c r="B916" s="29"/>
      <c r="C916" s="30"/>
      <c r="D916" s="312"/>
      <c r="E916" s="27"/>
      <c r="F916" s="31">
        <f t="shared" si="495"/>
        <v>0</v>
      </c>
      <c r="G916" s="27">
        <f t="shared" si="496"/>
        <v>0</v>
      </c>
      <c r="H916" s="32">
        <f>IF(D916="no",0,F916*H910)</f>
        <v>0</v>
      </c>
      <c r="I916" s="33">
        <f t="shared" si="497"/>
        <v>0</v>
      </c>
      <c r="J916" s="26"/>
      <c r="K916" s="27">
        <f t="shared" si="498"/>
        <v>0</v>
      </c>
      <c r="L916" s="27">
        <f t="shared" si="499"/>
        <v>0</v>
      </c>
      <c r="M916" s="572"/>
      <c r="N916" s="564"/>
      <c r="O916" s="1"/>
      <c r="P916" s="3"/>
      <c r="Q916" s="1"/>
      <c r="R916" s="1"/>
      <c r="S916" s="1"/>
      <c r="T916" s="1"/>
      <c r="U916" s="4"/>
    </row>
    <row r="917" spans="1:21" s="307" customFormat="1" ht="18.75" hidden="1" customHeight="1">
      <c r="A917" s="39"/>
      <c r="B917" s="29"/>
      <c r="C917" s="30"/>
      <c r="D917" s="311"/>
      <c r="E917" s="102"/>
      <c r="F917" s="31">
        <f t="shared" si="495"/>
        <v>0</v>
      </c>
      <c r="G917" s="27">
        <f t="shared" si="496"/>
        <v>0</v>
      </c>
      <c r="H917" s="32">
        <f>IF(D917="no",0,F917*H910)</f>
        <v>0</v>
      </c>
      <c r="I917" s="33">
        <f t="shared" si="497"/>
        <v>0</v>
      </c>
      <c r="J917" s="26"/>
      <c r="K917" s="27">
        <f t="shared" si="498"/>
        <v>0</v>
      </c>
      <c r="L917" s="27">
        <f t="shared" si="499"/>
        <v>0</v>
      </c>
      <c r="M917" s="572"/>
      <c r="N917" s="564"/>
      <c r="O917" s="1"/>
      <c r="P917" s="3"/>
      <c r="Q917" s="1"/>
      <c r="R917" s="1"/>
      <c r="S917" s="1"/>
      <c r="T917" s="1"/>
      <c r="U917" s="4"/>
    </row>
    <row r="918" spans="1:21" s="307" customFormat="1" ht="18.75" hidden="1" customHeight="1">
      <c r="A918" s="39"/>
      <c r="B918" s="29"/>
      <c r="C918" s="30"/>
      <c r="D918" s="312"/>
      <c r="E918" s="102"/>
      <c r="F918" s="31">
        <f t="shared" si="495"/>
        <v>0</v>
      </c>
      <c r="G918" s="27">
        <f t="shared" si="496"/>
        <v>0</v>
      </c>
      <c r="H918" s="32">
        <f>IF(D918="no",0,F918*H910)</f>
        <v>0</v>
      </c>
      <c r="I918" s="33">
        <f t="shared" si="497"/>
        <v>0</v>
      </c>
      <c r="J918" s="26"/>
      <c r="K918" s="27">
        <f t="shared" si="498"/>
        <v>0</v>
      </c>
      <c r="L918" s="27">
        <f t="shared" si="499"/>
        <v>0</v>
      </c>
      <c r="M918" s="572"/>
      <c r="N918" s="564"/>
      <c r="O918" s="1"/>
      <c r="P918" s="3"/>
      <c r="Q918" s="1"/>
      <c r="R918" s="1"/>
      <c r="S918" s="1"/>
      <c r="T918" s="1"/>
      <c r="U918" s="4"/>
    </row>
    <row r="919" spans="1:21" s="307" customFormat="1" ht="18.75" hidden="1" customHeight="1">
      <c r="A919" s="28"/>
      <c r="B919" s="29"/>
      <c r="C919" s="30"/>
      <c r="D919" s="312"/>
      <c r="E919" s="27"/>
      <c r="F919" s="31">
        <f t="shared" si="495"/>
        <v>0</v>
      </c>
      <c r="G919" s="27">
        <f t="shared" si="496"/>
        <v>0</v>
      </c>
      <c r="H919" s="32">
        <f>IF(D919="no",0,F919*H659)</f>
        <v>0</v>
      </c>
      <c r="I919" s="33">
        <f t="shared" si="497"/>
        <v>0</v>
      </c>
      <c r="J919" s="26"/>
      <c r="K919" s="27">
        <f t="shared" si="498"/>
        <v>0</v>
      </c>
      <c r="L919" s="27">
        <f t="shared" si="499"/>
        <v>0</v>
      </c>
      <c r="M919" s="563"/>
      <c r="N919" s="564"/>
      <c r="O919" s="1"/>
      <c r="P919" s="3"/>
      <c r="Q919" s="1"/>
      <c r="R919" s="1"/>
      <c r="S919" s="1"/>
      <c r="T919" s="1"/>
      <c r="U919" s="4"/>
    </row>
    <row r="920" spans="1:21" s="307" customFormat="1" ht="18.75" hidden="1" customHeight="1">
      <c r="A920" s="28"/>
      <c r="B920" s="29"/>
      <c r="C920" s="30"/>
      <c r="D920" s="310"/>
      <c r="E920" s="27"/>
      <c r="F920" s="31">
        <f t="shared" si="495"/>
        <v>0</v>
      </c>
      <c r="G920" s="27">
        <f t="shared" si="496"/>
        <v>0</v>
      </c>
      <c r="H920" s="32">
        <f>IF(D920="no",0,F920*H659)</f>
        <v>0</v>
      </c>
      <c r="I920" s="33">
        <f t="shared" si="497"/>
        <v>0</v>
      </c>
      <c r="J920" s="26"/>
      <c r="K920" s="27">
        <f t="shared" si="498"/>
        <v>0</v>
      </c>
      <c r="L920" s="27">
        <f t="shared" si="499"/>
        <v>0</v>
      </c>
      <c r="M920" s="572"/>
      <c r="N920" s="564"/>
      <c r="O920" s="1"/>
      <c r="P920" s="3"/>
      <c r="Q920" s="1"/>
      <c r="R920" s="1"/>
      <c r="S920" s="1"/>
      <c r="T920" s="1"/>
      <c r="U920" s="4"/>
    </row>
    <row r="921" spans="1:21" s="307" customFormat="1" ht="18.75" hidden="1" customHeight="1">
      <c r="A921" s="28"/>
      <c r="B921" s="29"/>
      <c r="C921" s="30"/>
      <c r="D921" s="312"/>
      <c r="E921" s="27"/>
      <c r="F921" s="31">
        <f t="shared" si="495"/>
        <v>0</v>
      </c>
      <c r="G921" s="27">
        <f t="shared" si="496"/>
        <v>0</v>
      </c>
      <c r="H921" s="32">
        <f>IF(D921="no",0,F921*H659)</f>
        <v>0</v>
      </c>
      <c r="I921" s="33">
        <f t="shared" si="497"/>
        <v>0</v>
      </c>
      <c r="J921" s="26"/>
      <c r="K921" s="27">
        <f t="shared" si="498"/>
        <v>0</v>
      </c>
      <c r="L921" s="27">
        <f>IF(D921="no",F921*H666-J921,0)</f>
        <v>0</v>
      </c>
      <c r="M921" s="572"/>
      <c r="N921" s="564"/>
      <c r="O921" s="1"/>
      <c r="P921" s="3"/>
      <c r="Q921" s="1"/>
      <c r="R921" s="1"/>
      <c r="S921" s="1"/>
      <c r="T921" s="1"/>
      <c r="U921" s="4"/>
    </row>
    <row r="922" spans="1:21" s="307" customFormat="1" ht="18.75" hidden="1" customHeight="1">
      <c r="A922" s="28"/>
      <c r="B922" s="29"/>
      <c r="C922" s="30"/>
      <c r="D922" s="312"/>
      <c r="E922" s="27"/>
      <c r="F922" s="31">
        <f t="shared" si="495"/>
        <v>0</v>
      </c>
      <c r="G922" s="27">
        <f t="shared" si="496"/>
        <v>0</v>
      </c>
      <c r="H922" s="32">
        <f>IF(D922="no",0,F922*H910)</f>
        <v>0</v>
      </c>
      <c r="I922" s="33">
        <f t="shared" si="497"/>
        <v>0</v>
      </c>
      <c r="J922" s="26"/>
      <c r="K922" s="27">
        <f t="shared" si="498"/>
        <v>0</v>
      </c>
      <c r="L922" s="27">
        <f>IF(D922="no",F922*H667-J922,0)</f>
        <v>0</v>
      </c>
      <c r="M922" s="563"/>
      <c r="N922" s="564"/>
      <c r="O922" s="1"/>
      <c r="P922" s="3"/>
      <c r="Q922" s="1"/>
      <c r="R922" s="1"/>
      <c r="S922" s="1"/>
      <c r="T922" s="1"/>
      <c r="U922" s="4"/>
    </row>
    <row r="923" spans="1:21" s="307" customFormat="1" ht="18.75" hidden="1" customHeight="1">
      <c r="A923" s="28"/>
      <c r="B923" s="29"/>
      <c r="C923" s="30"/>
      <c r="D923" s="310"/>
      <c r="E923" s="27"/>
      <c r="F923" s="31">
        <f t="shared" si="495"/>
        <v>0</v>
      </c>
      <c r="G923" s="27">
        <f t="shared" si="496"/>
        <v>0</v>
      </c>
      <c r="H923" s="32">
        <f>IF(D923="no",0,F923*H910)</f>
        <v>0</v>
      </c>
      <c r="I923" s="33">
        <f t="shared" si="497"/>
        <v>0</v>
      </c>
      <c r="J923" s="26"/>
      <c r="K923" s="27">
        <f t="shared" si="498"/>
        <v>0</v>
      </c>
      <c r="L923" s="27">
        <f>IF(D923="no",F923*H668-J923,0)</f>
        <v>0</v>
      </c>
      <c r="M923" s="572"/>
      <c r="N923" s="564"/>
      <c r="O923" s="1"/>
      <c r="P923" s="3"/>
      <c r="Q923" s="1"/>
      <c r="R923" s="1"/>
      <c r="S923" s="1"/>
      <c r="T923" s="1"/>
      <c r="U923" s="4"/>
    </row>
    <row r="924" spans="1:21" s="307" customFormat="1" ht="18.75" hidden="1" customHeight="1">
      <c r="A924" s="28"/>
      <c r="B924" s="29"/>
      <c r="C924" s="30"/>
      <c r="D924" s="312"/>
      <c r="E924" s="27"/>
      <c r="F924" s="31">
        <f t="shared" si="495"/>
        <v>0</v>
      </c>
      <c r="G924" s="27">
        <f t="shared" si="496"/>
        <v>0</v>
      </c>
      <c r="H924" s="32">
        <f>IF(D924="no",0,F924*H910)</f>
        <v>0</v>
      </c>
      <c r="I924" s="33">
        <f t="shared" si="497"/>
        <v>0</v>
      </c>
      <c r="J924" s="26"/>
      <c r="K924" s="27">
        <f t="shared" si="498"/>
        <v>0</v>
      </c>
      <c r="L924" s="27">
        <f>IF(D924="no",F924*H669-J924,0)</f>
        <v>0</v>
      </c>
      <c r="M924" s="572"/>
      <c r="N924" s="564"/>
      <c r="O924" s="1"/>
      <c r="P924" s="3"/>
      <c r="Q924" s="1"/>
      <c r="R924" s="1"/>
      <c r="S924" s="1"/>
      <c r="T924" s="1"/>
      <c r="U924" s="4"/>
    </row>
    <row r="925" spans="1:21" s="307" customFormat="1" ht="18.75" hidden="1" customHeight="1">
      <c r="A925" s="28"/>
      <c r="B925" s="29"/>
      <c r="C925" s="30"/>
      <c r="D925" s="310"/>
      <c r="E925" s="27"/>
      <c r="F925" s="31">
        <f t="shared" si="495"/>
        <v>0</v>
      </c>
      <c r="G925" s="27">
        <f t="shared" si="496"/>
        <v>0</v>
      </c>
      <c r="H925" s="32">
        <f>IF(D925="no",0,F925*H910)</f>
        <v>0</v>
      </c>
      <c r="I925" s="33">
        <f t="shared" si="497"/>
        <v>0</v>
      </c>
      <c r="J925" s="26"/>
      <c r="K925" s="27">
        <f t="shared" si="498"/>
        <v>0</v>
      </c>
      <c r="L925" s="27">
        <f>IF(D925="no",F925*H670-J925,0)</f>
        <v>0</v>
      </c>
      <c r="M925" s="573"/>
      <c r="N925" s="564"/>
      <c r="O925" s="1"/>
      <c r="P925" s="3"/>
      <c r="Q925" s="1"/>
      <c r="R925" s="1"/>
      <c r="S925" s="1"/>
      <c r="T925" s="1"/>
      <c r="U925" s="4"/>
    </row>
    <row r="926" spans="1:21" s="321" customFormat="1" ht="18.75" hidden="1" customHeight="1">
      <c r="A926" s="39" t="s">
        <v>575</v>
      </c>
      <c r="B926" s="29" t="s">
        <v>343</v>
      </c>
      <c r="C926" s="30"/>
      <c r="D926" s="320"/>
      <c r="E926" s="27"/>
      <c r="F926" s="31">
        <f t="shared" si="495"/>
        <v>0</v>
      </c>
      <c r="G926" s="27">
        <f t="shared" si="496"/>
        <v>0</v>
      </c>
      <c r="H926" s="37">
        <f>IF(D926="no",0,F926*H910)</f>
        <v>0</v>
      </c>
      <c r="I926" s="33">
        <f t="shared" si="497"/>
        <v>0</v>
      </c>
      <c r="J926" s="26"/>
      <c r="K926" s="27">
        <f t="shared" si="498"/>
        <v>0</v>
      </c>
      <c r="L926" s="40">
        <f>IF(D926="no",F926*H879-J926,0)</f>
        <v>0</v>
      </c>
      <c r="M926" s="590"/>
      <c r="N926" s="564"/>
      <c r="O926" s="1"/>
      <c r="P926" s="3"/>
      <c r="Q926" s="1"/>
      <c r="R926" s="1"/>
      <c r="S926" s="1"/>
      <c r="T926" s="1"/>
      <c r="U926" s="4"/>
    </row>
    <row r="927" spans="1:21" s="307" customFormat="1" ht="18.75" hidden="1" customHeight="1">
      <c r="A927" s="39" t="s">
        <v>575</v>
      </c>
      <c r="B927" s="29" t="s">
        <v>35</v>
      </c>
      <c r="C927" s="30"/>
      <c r="D927" s="310"/>
      <c r="E927" s="27"/>
      <c r="F927" s="31">
        <f t="shared" si="495"/>
        <v>0</v>
      </c>
      <c r="G927" s="27">
        <f t="shared" si="496"/>
        <v>0</v>
      </c>
      <c r="H927" s="32">
        <f>IF(D927="no",0,F927*H910)</f>
        <v>0</v>
      </c>
      <c r="I927" s="33">
        <f t="shared" si="497"/>
        <v>0</v>
      </c>
      <c r="J927" s="26"/>
      <c r="K927" s="27">
        <f>IF(D927="no",0,H927-I927-J927)</f>
        <v>0</v>
      </c>
      <c r="L927" s="27">
        <f>IF(D927="no",F927*H671-J927,0)</f>
        <v>0</v>
      </c>
      <c r="M927" s="574"/>
      <c r="N927" s="564"/>
      <c r="O927" s="1"/>
      <c r="P927" s="3"/>
      <c r="Q927" s="1"/>
      <c r="R927" s="1"/>
      <c r="S927" s="1"/>
      <c r="T927" s="1"/>
      <c r="U927" s="4"/>
    </row>
    <row r="928" spans="1:21" s="307" customFormat="1" ht="18.75" hidden="1" customHeight="1">
      <c r="A928" s="39" t="s">
        <v>575</v>
      </c>
      <c r="B928" s="29" t="s">
        <v>61</v>
      </c>
      <c r="C928" s="30"/>
      <c r="D928" s="310"/>
      <c r="E928" s="27"/>
      <c r="F928" s="31">
        <f t="shared" si="495"/>
        <v>0</v>
      </c>
      <c r="G928" s="27">
        <f t="shared" si="496"/>
        <v>0</v>
      </c>
      <c r="H928" s="32">
        <f>IF(D928="no",0,F928*H910)</f>
        <v>0</v>
      </c>
      <c r="I928" s="33">
        <f t="shared" si="497"/>
        <v>0</v>
      </c>
      <c r="J928" s="26"/>
      <c r="K928" s="27">
        <f t="shared" ref="K928:K930" si="500">IF(D928="no",0,H928-I928-J928)</f>
        <v>0</v>
      </c>
      <c r="L928" s="27">
        <f>IF(D928="no",F928*H672-J928,0)</f>
        <v>0</v>
      </c>
      <c r="M928" s="309"/>
      <c r="N928" s="143"/>
      <c r="O928" s="1"/>
      <c r="P928" s="3"/>
      <c r="Q928" s="1"/>
      <c r="R928" s="1"/>
      <c r="S928" s="1"/>
      <c r="T928" s="1"/>
      <c r="U928" s="4"/>
    </row>
    <row r="929" spans="1:21" s="307" customFormat="1" ht="18.75" hidden="1" customHeight="1">
      <c r="A929" s="39" t="s">
        <v>575</v>
      </c>
      <c r="B929" s="29" t="s">
        <v>37</v>
      </c>
      <c r="C929" s="30"/>
      <c r="D929" s="310"/>
      <c r="E929" s="27"/>
      <c r="F929" s="31">
        <f t="shared" si="495"/>
        <v>0</v>
      </c>
      <c r="G929" s="27">
        <f t="shared" si="496"/>
        <v>0</v>
      </c>
      <c r="H929" s="37"/>
      <c r="I929" s="33">
        <f>IF(D929="no",0,H929*3.3%)</f>
        <v>0</v>
      </c>
      <c r="J929" s="26"/>
      <c r="K929" s="27">
        <f>IF(D929="no",0,H929-I929-J929)</f>
        <v>0</v>
      </c>
      <c r="L929" s="27">
        <f>IF(D929="no",F929*H673-J929,0)</f>
        <v>0</v>
      </c>
      <c r="M929" s="572"/>
      <c r="N929" s="564"/>
      <c r="O929" s="1"/>
      <c r="P929" s="3"/>
      <c r="Q929" s="1"/>
      <c r="R929" s="1"/>
      <c r="S929" s="1"/>
      <c r="T929" s="1"/>
      <c r="U929" s="4"/>
    </row>
    <row r="930" spans="1:21" s="307" customFormat="1" ht="18.75" hidden="1" customHeight="1">
      <c r="A930" s="39" t="s">
        <v>575</v>
      </c>
      <c r="B930" s="29" t="s">
        <v>106</v>
      </c>
      <c r="C930" s="30"/>
      <c r="D930" s="310"/>
      <c r="E930" s="27"/>
      <c r="F930" s="31">
        <f t="shared" si="495"/>
        <v>0</v>
      </c>
      <c r="G930" s="27">
        <f t="shared" si="496"/>
        <v>0</v>
      </c>
      <c r="H930" s="32">
        <f>IF(D930="no",0,F930*H910)</f>
        <v>0</v>
      </c>
      <c r="I930" s="33">
        <f>IF(D930="no",0,H930*3.3%)</f>
        <v>0</v>
      </c>
      <c r="J930" s="26"/>
      <c r="K930" s="27">
        <f t="shared" si="500"/>
        <v>0</v>
      </c>
      <c r="L930" s="27">
        <f>IF(D930="no",F930*H674-J930,0)</f>
        <v>0</v>
      </c>
      <c r="M930" s="572"/>
      <c r="N930" s="564"/>
      <c r="O930" s="1"/>
      <c r="P930" s="3"/>
      <c r="Q930" s="1"/>
      <c r="R930" s="1"/>
      <c r="S930" s="1"/>
      <c r="T930" s="1"/>
      <c r="U930" s="4"/>
    </row>
    <row r="931" spans="1:21" s="307" customFormat="1" ht="18.75" hidden="1" customHeight="1">
      <c r="A931" s="575" t="s">
        <v>42</v>
      </c>
      <c r="B931" s="576"/>
      <c r="C931" s="576"/>
      <c r="D931" s="577"/>
      <c r="E931" s="42">
        <f t="shared" ref="E931:L931" si="501">SUM(E912:E930)</f>
        <v>0</v>
      </c>
      <c r="F931" s="17">
        <f t="shared" si="501"/>
        <v>0</v>
      </c>
      <c r="G931" s="42">
        <f t="shared" si="501"/>
        <v>0</v>
      </c>
      <c r="H931" s="42">
        <f t="shared" si="501"/>
        <v>0</v>
      </c>
      <c r="I931" s="42">
        <f t="shared" si="501"/>
        <v>0</v>
      </c>
      <c r="J931" s="43">
        <f t="shared" si="501"/>
        <v>0</v>
      </c>
      <c r="K931" s="42">
        <f t="shared" si="501"/>
        <v>0</v>
      </c>
      <c r="L931" s="42">
        <f t="shared" si="501"/>
        <v>0</v>
      </c>
      <c r="M931" s="44"/>
      <c r="N931" s="45"/>
      <c r="O931" s="1"/>
      <c r="P931" s="3"/>
      <c r="Q931" s="1"/>
      <c r="R931" s="1"/>
      <c r="S931" s="1"/>
      <c r="T931" s="1"/>
      <c r="U931" s="4"/>
    </row>
    <row r="932" spans="1:21" s="307" customFormat="1" ht="18.75" hidden="1" customHeight="1">
      <c r="A932" s="46" t="s">
        <v>37</v>
      </c>
      <c r="B932" s="47" t="s">
        <v>43</v>
      </c>
      <c r="C932" s="48">
        <f>D910</f>
        <v>0</v>
      </c>
      <c r="D932" s="47" t="s">
        <v>44</v>
      </c>
      <c r="E932" s="49"/>
      <c r="F932" s="84"/>
      <c r="G932" s="85"/>
      <c r="H932" s="49"/>
      <c r="I932" s="53" t="s">
        <v>46</v>
      </c>
      <c r="J932" s="54"/>
      <c r="K932" s="313"/>
      <c r="L932" s="55"/>
      <c r="M932" s="63"/>
      <c r="N932" s="64"/>
      <c r="O932" s="1"/>
      <c r="P932" s="24"/>
      <c r="Q932" s="73"/>
      <c r="R932" s="1"/>
      <c r="S932" s="1"/>
      <c r="T932" s="1"/>
      <c r="U932" s="4"/>
    </row>
    <row r="933" spans="1:21" s="307" customFormat="1" ht="16.5" hidden="1" customHeight="1" thickBot="1">
      <c r="A933" s="56" t="s">
        <v>48</v>
      </c>
      <c r="B933" s="57" t="s">
        <v>49</v>
      </c>
      <c r="C933" s="58">
        <f>ROUND(F931/10000,0)</f>
        <v>0</v>
      </c>
      <c r="D933" s="57" t="s">
        <v>50</v>
      </c>
      <c r="E933" s="52">
        <v>0</v>
      </c>
      <c r="F933" s="86"/>
      <c r="G933" s="87"/>
      <c r="H933" s="52"/>
      <c r="I933" s="308"/>
      <c r="J933" s="61"/>
      <c r="K933" s="308"/>
      <c r="L933" s="62"/>
      <c r="M933" s="63"/>
      <c r="N933" s="64"/>
      <c r="O933" s="1"/>
      <c r="P933" s="73"/>
      <c r="Q933" s="1"/>
      <c r="R933" s="1"/>
      <c r="S933" s="1"/>
      <c r="T933" s="1"/>
      <c r="U933" s="4"/>
    </row>
    <row r="934" spans="1:21" s="307" customFormat="1" ht="18.75" hidden="1" customHeight="1" thickBot="1">
      <c r="A934" s="566" t="s">
        <v>52</v>
      </c>
      <c r="B934" s="567"/>
      <c r="C934" s="567"/>
      <c r="D934" s="568"/>
      <c r="E934" s="65"/>
      <c r="F934" s="569" t="s">
        <v>53</v>
      </c>
      <c r="G934" s="568"/>
      <c r="H934" s="66">
        <f>H931-J932</f>
        <v>0</v>
      </c>
      <c r="I934" s="67">
        <f>H934*3.3%</f>
        <v>0</v>
      </c>
      <c r="J934" s="68">
        <f>SUM(J931)</f>
        <v>0</v>
      </c>
      <c r="K934" s="69">
        <f>H934-I934-J934</f>
        <v>0</v>
      </c>
      <c r="L934" s="70">
        <f>L931+SUM(H932:H933)+J933</f>
        <v>0</v>
      </c>
      <c r="M934" s="570">
        <f>K934+L934</f>
        <v>0</v>
      </c>
      <c r="N934" s="571"/>
      <c r="O934" s="1"/>
      <c r="P934" s="3"/>
      <c r="Q934" s="1"/>
      <c r="R934" s="1"/>
      <c r="S934" s="1"/>
      <c r="T934" s="1"/>
      <c r="U934" s="4"/>
    </row>
    <row r="935" spans="1:21" s="307" customFormat="1" ht="18.75" hidden="1" customHeight="1">
      <c r="A935" s="1"/>
      <c r="B935" s="1"/>
      <c r="C935" s="1"/>
      <c r="D935" s="1"/>
      <c r="E935" s="1"/>
      <c r="F935" s="1"/>
      <c r="G935" s="1"/>
      <c r="H935" s="141"/>
      <c r="I935" s="1"/>
      <c r="J935" s="1"/>
      <c r="K935" s="1"/>
      <c r="L935" s="1"/>
      <c r="M935" s="1"/>
      <c r="N935" s="1"/>
      <c r="O935" s="1"/>
      <c r="P935" s="3"/>
      <c r="Q935" s="1"/>
      <c r="R935" s="1"/>
      <c r="S935" s="1"/>
      <c r="T935" s="1"/>
      <c r="U935" s="4"/>
    </row>
    <row r="936" spans="1:21" s="334" customFormat="1" ht="18.75" hidden="1" customHeight="1">
      <c r="A936" s="1"/>
      <c r="B936" s="1"/>
      <c r="C936" s="1"/>
      <c r="D936" s="1"/>
      <c r="E936" s="1"/>
      <c r="F936" s="1"/>
      <c r="G936" s="1"/>
      <c r="H936" s="141">
        <v>1</v>
      </c>
      <c r="I936" s="1"/>
      <c r="J936" s="1"/>
      <c r="K936" s="1"/>
      <c r="L936" s="1"/>
      <c r="M936" s="1"/>
      <c r="N936" s="1"/>
      <c r="O936" s="1"/>
      <c r="P936" s="3"/>
      <c r="Q936" s="1"/>
      <c r="R936" s="1"/>
      <c r="S936" s="1"/>
      <c r="T936" s="1"/>
      <c r="U936" s="4"/>
    </row>
    <row r="937" spans="1:21" s="334" customFormat="1" ht="18.75" hidden="1" customHeight="1">
      <c r="A937" s="6"/>
      <c r="B937" s="7" t="str">
        <f>$B$34</f>
        <v>1월</v>
      </c>
      <c r="C937" s="8" t="s">
        <v>1</v>
      </c>
      <c r="D937" s="9">
        <f>COUNTIF($C939:$C957,"계약")+(COUNTIF($C939:$C957,"계약2")*2)</f>
        <v>0</v>
      </c>
      <c r="E937" s="3">
        <f>COUNTIF(C939:C957,"낙찰수수료")</f>
        <v>0</v>
      </c>
      <c r="F937" s="3"/>
      <c r="G937" s="89"/>
      <c r="H937" s="123">
        <v>0.4</v>
      </c>
      <c r="I937" s="12">
        <v>3.3000000000000002E-2</v>
      </c>
      <c r="J937" s="1"/>
      <c r="K937" s="1"/>
      <c r="L937" s="1"/>
      <c r="M937" s="1"/>
      <c r="N937" s="1"/>
      <c r="O937" s="1"/>
      <c r="P937" s="3"/>
      <c r="Q937" s="1"/>
      <c r="R937" s="1"/>
      <c r="S937" s="1"/>
      <c r="T937" s="1"/>
      <c r="U937" s="4"/>
    </row>
    <row r="938" spans="1:21" s="334" customFormat="1" ht="18.75" hidden="1" customHeight="1">
      <c r="A938" s="333" t="s">
        <v>3</v>
      </c>
      <c r="B938" s="14" t="s">
        <v>4</v>
      </c>
      <c r="C938" s="14" t="s">
        <v>5</v>
      </c>
      <c r="D938" s="101" t="s">
        <v>6</v>
      </c>
      <c r="E938" s="16" t="s">
        <v>7</v>
      </c>
      <c r="F938" s="17" t="s">
        <v>8</v>
      </c>
      <c r="G938" s="14" t="s">
        <v>9</v>
      </c>
      <c r="H938" s="15" t="s">
        <v>10</v>
      </c>
      <c r="I938" s="14" t="s">
        <v>11</v>
      </c>
      <c r="J938" s="15" t="s">
        <v>12</v>
      </c>
      <c r="K938" s="14" t="s">
        <v>13</v>
      </c>
      <c r="L938" s="14" t="s">
        <v>14</v>
      </c>
      <c r="M938" s="579" t="s">
        <v>15</v>
      </c>
      <c r="N938" s="577"/>
      <c r="O938" s="1"/>
      <c r="P938" s="3"/>
      <c r="Q938" s="1"/>
      <c r="R938" s="1"/>
      <c r="S938" s="1"/>
      <c r="T938" s="1"/>
      <c r="U938" s="4"/>
    </row>
    <row r="939" spans="1:21" s="334" customFormat="1" ht="18.75" hidden="1" customHeight="1">
      <c r="A939" s="28"/>
      <c r="B939" s="29"/>
      <c r="C939" s="30"/>
      <c r="D939" s="338"/>
      <c r="E939" s="27"/>
      <c r="F939" s="31">
        <f t="shared" ref="F939:F958" si="502">IF(D939="no",E939,E939/1.1)</f>
        <v>0</v>
      </c>
      <c r="G939" s="27">
        <f t="shared" ref="G939:G958" si="503">IF(D939="no",0,F939*0.1)</f>
        <v>0</v>
      </c>
      <c r="H939" s="32">
        <f>IF(D939="no",0,F939*H937)</f>
        <v>0</v>
      </c>
      <c r="I939" s="33">
        <f t="shared" ref="I939:I952" si="504">IF(D939="no",0,H939*3.3%)</f>
        <v>0</v>
      </c>
      <c r="J939" s="26"/>
      <c r="K939" s="27">
        <f t="shared" ref="K939:K952" si="505">IF(D939="no",0,H939-I939-J939)</f>
        <v>0</v>
      </c>
      <c r="L939" s="27">
        <f>IF(D939="no",F939*H937-J939,0)</f>
        <v>0</v>
      </c>
      <c r="M939" s="580"/>
      <c r="N939" s="581"/>
      <c r="O939" s="1"/>
      <c r="P939" s="3"/>
      <c r="Q939" s="1"/>
      <c r="R939" s="1"/>
      <c r="S939" s="1"/>
      <c r="T939" s="1"/>
      <c r="U939" s="4"/>
    </row>
    <row r="940" spans="1:21" s="334" customFormat="1" ht="18.75" hidden="1" customHeight="1">
      <c r="A940" s="39"/>
      <c r="B940" s="29"/>
      <c r="C940" s="30"/>
      <c r="D940" s="337"/>
      <c r="E940" s="102"/>
      <c r="F940" s="31">
        <f t="shared" si="502"/>
        <v>0</v>
      </c>
      <c r="G940" s="27">
        <f t="shared" si="503"/>
        <v>0</v>
      </c>
      <c r="H940" s="32">
        <f>IF(D940="no",0,F940*H937)</f>
        <v>0</v>
      </c>
      <c r="I940" s="33">
        <f t="shared" si="504"/>
        <v>0</v>
      </c>
      <c r="J940" s="26"/>
      <c r="K940" s="27">
        <f t="shared" si="505"/>
        <v>0</v>
      </c>
      <c r="L940" s="27">
        <f>IF(D940="no",F940*H657-J940,0)</f>
        <v>0</v>
      </c>
      <c r="M940" s="572"/>
      <c r="N940" s="564"/>
      <c r="O940" s="1"/>
      <c r="P940" s="3"/>
      <c r="Q940" s="1"/>
      <c r="R940" s="1"/>
      <c r="S940" s="1"/>
      <c r="T940" s="1"/>
      <c r="U940" s="4"/>
    </row>
    <row r="941" spans="1:21" s="334" customFormat="1" ht="18.75" hidden="1" customHeight="1">
      <c r="A941" s="39"/>
      <c r="B941" s="29"/>
      <c r="C941" s="30"/>
      <c r="D941" s="338"/>
      <c r="E941" s="27"/>
      <c r="F941" s="31">
        <f t="shared" si="502"/>
        <v>0</v>
      </c>
      <c r="G941" s="27">
        <f t="shared" si="503"/>
        <v>0</v>
      </c>
      <c r="H941" s="32">
        <f>IF(D941="no",0,F941*H937)</f>
        <v>0</v>
      </c>
      <c r="I941" s="33">
        <f t="shared" si="504"/>
        <v>0</v>
      </c>
      <c r="J941" s="26"/>
      <c r="K941" s="27">
        <f t="shared" si="505"/>
        <v>0</v>
      </c>
      <c r="L941" s="27">
        <f t="shared" ref="L941:L947" si="506">IF(D941="no",F941*H657-J941,0)</f>
        <v>0</v>
      </c>
      <c r="M941" s="572"/>
      <c r="N941" s="564"/>
      <c r="O941" s="1"/>
      <c r="P941" s="3"/>
      <c r="Q941" s="1"/>
      <c r="R941" s="1"/>
      <c r="S941" s="1"/>
      <c r="T941" s="1"/>
      <c r="U941" s="4"/>
    </row>
    <row r="942" spans="1:21" s="334" customFormat="1" ht="18.75" hidden="1" customHeight="1">
      <c r="A942" s="28"/>
      <c r="B942" s="29"/>
      <c r="C942" s="30"/>
      <c r="D942" s="338"/>
      <c r="E942" s="27"/>
      <c r="F942" s="31">
        <f t="shared" si="502"/>
        <v>0</v>
      </c>
      <c r="G942" s="27">
        <f t="shared" si="503"/>
        <v>0</v>
      </c>
      <c r="H942" s="32">
        <f>IF(D942="no",0,F942*H937)</f>
        <v>0</v>
      </c>
      <c r="I942" s="33">
        <f t="shared" si="504"/>
        <v>0</v>
      </c>
      <c r="J942" s="26"/>
      <c r="K942" s="27">
        <f t="shared" si="505"/>
        <v>0</v>
      </c>
      <c r="L942" s="27">
        <f t="shared" si="506"/>
        <v>0</v>
      </c>
      <c r="M942" s="563"/>
      <c r="N942" s="564"/>
      <c r="O942" s="1"/>
      <c r="P942" s="3"/>
      <c r="Q942" s="1"/>
      <c r="R942" s="1"/>
      <c r="S942" s="1"/>
      <c r="T942" s="1"/>
      <c r="U942" s="4"/>
    </row>
    <row r="943" spans="1:21" s="334" customFormat="1" ht="18.75" hidden="1" customHeight="1">
      <c r="A943" s="28"/>
      <c r="B943" s="29"/>
      <c r="C943" s="30"/>
      <c r="D943" s="336"/>
      <c r="E943" s="27"/>
      <c r="F943" s="31">
        <f t="shared" si="502"/>
        <v>0</v>
      </c>
      <c r="G943" s="27">
        <f t="shared" si="503"/>
        <v>0</v>
      </c>
      <c r="H943" s="32">
        <f>IF(D943="no",0,F943*H937)</f>
        <v>0</v>
      </c>
      <c r="I943" s="33">
        <f t="shared" si="504"/>
        <v>0</v>
      </c>
      <c r="J943" s="26"/>
      <c r="K943" s="27">
        <f t="shared" si="505"/>
        <v>0</v>
      </c>
      <c r="L943" s="27">
        <f t="shared" si="506"/>
        <v>0</v>
      </c>
      <c r="M943" s="572"/>
      <c r="N943" s="564"/>
      <c r="O943" s="1"/>
      <c r="P943" s="3"/>
      <c r="Q943" s="1"/>
      <c r="R943" s="1"/>
      <c r="S943" s="1"/>
      <c r="T943" s="1"/>
      <c r="U943" s="4"/>
    </row>
    <row r="944" spans="1:21" s="334" customFormat="1" ht="18.75" hidden="1" customHeight="1">
      <c r="A944" s="28"/>
      <c r="B944" s="29"/>
      <c r="C944" s="30"/>
      <c r="D944" s="338"/>
      <c r="E944" s="27"/>
      <c r="F944" s="31">
        <f t="shared" si="502"/>
        <v>0</v>
      </c>
      <c r="G944" s="27">
        <f t="shared" si="503"/>
        <v>0</v>
      </c>
      <c r="H944" s="32">
        <f>IF(D944="no",0,F944*H653)</f>
        <v>0</v>
      </c>
      <c r="I944" s="33">
        <f t="shared" si="504"/>
        <v>0</v>
      </c>
      <c r="J944" s="26"/>
      <c r="K944" s="27">
        <f t="shared" si="505"/>
        <v>0</v>
      </c>
      <c r="L944" s="27">
        <f t="shared" si="506"/>
        <v>0</v>
      </c>
      <c r="M944" s="572"/>
      <c r="N944" s="564"/>
      <c r="O944" s="1"/>
      <c r="P944" s="3"/>
      <c r="Q944" s="1"/>
      <c r="R944" s="1"/>
      <c r="S944" s="1"/>
      <c r="T944" s="1"/>
      <c r="U944" s="4"/>
    </row>
    <row r="945" spans="1:21" s="334" customFormat="1" ht="18.75" hidden="1" customHeight="1">
      <c r="A945" s="39"/>
      <c r="B945" s="29"/>
      <c r="C945" s="30"/>
      <c r="D945" s="337"/>
      <c r="E945" s="102"/>
      <c r="F945" s="31">
        <f t="shared" si="502"/>
        <v>0</v>
      </c>
      <c r="G945" s="27">
        <f t="shared" si="503"/>
        <v>0</v>
      </c>
      <c r="H945" s="32">
        <f>IF(D945="no",0,F945*H937)</f>
        <v>0</v>
      </c>
      <c r="I945" s="33">
        <f t="shared" si="504"/>
        <v>0</v>
      </c>
      <c r="J945" s="26"/>
      <c r="K945" s="27">
        <f t="shared" si="505"/>
        <v>0</v>
      </c>
      <c r="L945" s="27">
        <f t="shared" si="506"/>
        <v>0</v>
      </c>
      <c r="M945" s="572"/>
      <c r="N945" s="564"/>
      <c r="O945" s="1"/>
      <c r="P945" s="3"/>
      <c r="Q945" s="1"/>
      <c r="R945" s="1"/>
      <c r="S945" s="1"/>
      <c r="T945" s="1"/>
      <c r="U945" s="4"/>
    </row>
    <row r="946" spans="1:21" s="334" customFormat="1" ht="18.75" hidden="1" customHeight="1">
      <c r="A946" s="39"/>
      <c r="B946" s="29"/>
      <c r="C946" s="30"/>
      <c r="D946" s="338"/>
      <c r="E946" s="102"/>
      <c r="F946" s="31">
        <f t="shared" si="502"/>
        <v>0</v>
      </c>
      <c r="G946" s="27">
        <f t="shared" si="503"/>
        <v>0</v>
      </c>
      <c r="H946" s="32">
        <f>IF(D946="no",0,F946*H937)</f>
        <v>0</v>
      </c>
      <c r="I946" s="33">
        <f t="shared" si="504"/>
        <v>0</v>
      </c>
      <c r="J946" s="26"/>
      <c r="K946" s="27">
        <f t="shared" si="505"/>
        <v>0</v>
      </c>
      <c r="L946" s="27">
        <f t="shared" si="506"/>
        <v>0</v>
      </c>
      <c r="M946" s="572"/>
      <c r="N946" s="564"/>
      <c r="O946" s="1"/>
      <c r="P946" s="3"/>
      <c r="Q946" s="1"/>
      <c r="R946" s="1"/>
      <c r="S946" s="1"/>
      <c r="T946" s="1"/>
      <c r="U946" s="4"/>
    </row>
    <row r="947" spans="1:21" s="334" customFormat="1" ht="18.75" hidden="1" customHeight="1">
      <c r="A947" s="28"/>
      <c r="B947" s="29"/>
      <c r="C947" s="30"/>
      <c r="D947" s="338"/>
      <c r="E947" s="27"/>
      <c r="F947" s="31">
        <f t="shared" si="502"/>
        <v>0</v>
      </c>
      <c r="G947" s="27">
        <f t="shared" si="503"/>
        <v>0</v>
      </c>
      <c r="H947" s="32">
        <f>IF(D947="no",0,F947*H659)</f>
        <v>0</v>
      </c>
      <c r="I947" s="33">
        <f t="shared" si="504"/>
        <v>0</v>
      </c>
      <c r="J947" s="26"/>
      <c r="K947" s="27">
        <f t="shared" si="505"/>
        <v>0</v>
      </c>
      <c r="L947" s="27">
        <f t="shared" si="506"/>
        <v>0</v>
      </c>
      <c r="M947" s="563"/>
      <c r="N947" s="564"/>
      <c r="O947" s="1"/>
      <c r="P947" s="3"/>
      <c r="Q947" s="1"/>
      <c r="R947" s="1"/>
      <c r="S947" s="1"/>
      <c r="T947" s="1"/>
      <c r="U947" s="4"/>
    </row>
    <row r="948" spans="1:21" s="334" customFormat="1" ht="18.75" hidden="1" customHeight="1">
      <c r="A948" s="28"/>
      <c r="B948" s="29"/>
      <c r="C948" s="30"/>
      <c r="D948" s="336"/>
      <c r="E948" s="27"/>
      <c r="F948" s="31">
        <f t="shared" si="502"/>
        <v>0</v>
      </c>
      <c r="G948" s="27">
        <f t="shared" si="503"/>
        <v>0</v>
      </c>
      <c r="H948" s="32">
        <f>IF(D948="no",0,F948*H659)</f>
        <v>0</v>
      </c>
      <c r="I948" s="33">
        <f t="shared" si="504"/>
        <v>0</v>
      </c>
      <c r="J948" s="26"/>
      <c r="K948" s="27">
        <f t="shared" si="505"/>
        <v>0</v>
      </c>
      <c r="L948" s="27">
        <f t="shared" ref="L948:L953" si="507">IF(D948="no",F948*H665-J948,0)</f>
        <v>0</v>
      </c>
      <c r="M948" s="572"/>
      <c r="N948" s="564"/>
      <c r="O948" s="1"/>
      <c r="P948" s="3"/>
      <c r="Q948" s="1"/>
      <c r="R948" s="1"/>
      <c r="S948" s="1"/>
      <c r="T948" s="1"/>
      <c r="U948" s="4"/>
    </row>
    <row r="949" spans="1:21" s="334" customFormat="1" ht="18.75" hidden="1" customHeight="1">
      <c r="A949" s="28"/>
      <c r="B949" s="29"/>
      <c r="C949" s="30"/>
      <c r="D949" s="338"/>
      <c r="E949" s="27"/>
      <c r="F949" s="31">
        <f t="shared" si="502"/>
        <v>0</v>
      </c>
      <c r="G949" s="27">
        <f t="shared" si="503"/>
        <v>0</v>
      </c>
      <c r="H949" s="32">
        <f>IF(D949="no",0,F949*H659)</f>
        <v>0</v>
      </c>
      <c r="I949" s="33">
        <f t="shared" si="504"/>
        <v>0</v>
      </c>
      <c r="J949" s="26"/>
      <c r="K949" s="27">
        <f t="shared" si="505"/>
        <v>0</v>
      </c>
      <c r="L949" s="27">
        <f t="shared" si="507"/>
        <v>0</v>
      </c>
      <c r="M949" s="572"/>
      <c r="N949" s="564"/>
      <c r="O949" s="1"/>
      <c r="P949" s="3"/>
      <c r="Q949" s="1"/>
      <c r="R949" s="1"/>
      <c r="S949" s="1"/>
      <c r="T949" s="1"/>
      <c r="U949" s="4"/>
    </row>
    <row r="950" spans="1:21" s="334" customFormat="1" ht="18.75" hidden="1" customHeight="1">
      <c r="A950" s="28"/>
      <c r="B950" s="29"/>
      <c r="C950" s="30"/>
      <c r="D950" s="338"/>
      <c r="E950" s="27"/>
      <c r="F950" s="31">
        <f t="shared" si="502"/>
        <v>0</v>
      </c>
      <c r="G950" s="27">
        <f t="shared" si="503"/>
        <v>0</v>
      </c>
      <c r="H950" s="32">
        <f>IF(D950="no",0,F950*H937)</f>
        <v>0</v>
      </c>
      <c r="I950" s="33">
        <f t="shared" si="504"/>
        <v>0</v>
      </c>
      <c r="J950" s="26"/>
      <c r="K950" s="27">
        <f t="shared" si="505"/>
        <v>0</v>
      </c>
      <c r="L950" s="27">
        <f t="shared" si="507"/>
        <v>0</v>
      </c>
      <c r="M950" s="563"/>
      <c r="N950" s="564"/>
      <c r="O950" s="1"/>
      <c r="P950" s="3"/>
      <c r="Q950" s="1"/>
      <c r="R950" s="1"/>
      <c r="S950" s="1"/>
      <c r="T950" s="1"/>
      <c r="U950" s="4"/>
    </row>
    <row r="951" spans="1:21" s="334" customFormat="1" ht="18.75" hidden="1" customHeight="1">
      <c r="A951" s="28"/>
      <c r="B951" s="29"/>
      <c r="C951" s="30"/>
      <c r="D951" s="336"/>
      <c r="E951" s="27"/>
      <c r="F951" s="31">
        <f t="shared" si="502"/>
        <v>0</v>
      </c>
      <c r="G951" s="27">
        <f t="shared" si="503"/>
        <v>0</v>
      </c>
      <c r="H951" s="32">
        <f>IF(D951="no",0,F951*H937)</f>
        <v>0</v>
      </c>
      <c r="I951" s="33">
        <f t="shared" si="504"/>
        <v>0</v>
      </c>
      <c r="J951" s="26"/>
      <c r="K951" s="27">
        <f t="shared" si="505"/>
        <v>0</v>
      </c>
      <c r="L951" s="27">
        <f t="shared" si="507"/>
        <v>0</v>
      </c>
      <c r="M951" s="572"/>
      <c r="N951" s="564"/>
      <c r="O951" s="1"/>
      <c r="P951" s="3"/>
      <c r="Q951" s="1"/>
      <c r="R951" s="1"/>
      <c r="S951" s="1"/>
      <c r="T951" s="1"/>
      <c r="U951" s="4"/>
    </row>
    <row r="952" spans="1:21" s="334" customFormat="1" ht="18.75" hidden="1" customHeight="1">
      <c r="A952" s="28"/>
      <c r="B952" s="29"/>
      <c r="C952" s="30"/>
      <c r="D952" s="338"/>
      <c r="E952" s="27"/>
      <c r="F952" s="31">
        <f t="shared" si="502"/>
        <v>0</v>
      </c>
      <c r="G952" s="27">
        <f t="shared" si="503"/>
        <v>0</v>
      </c>
      <c r="H952" s="32">
        <f>IF(D952="no",0,F952*H937)</f>
        <v>0</v>
      </c>
      <c r="I952" s="33">
        <f t="shared" si="504"/>
        <v>0</v>
      </c>
      <c r="J952" s="26"/>
      <c r="K952" s="27">
        <f t="shared" si="505"/>
        <v>0</v>
      </c>
      <c r="L952" s="27">
        <f t="shared" si="507"/>
        <v>0</v>
      </c>
      <c r="M952" s="572"/>
      <c r="N952" s="564"/>
      <c r="O952" s="1"/>
      <c r="P952" s="3"/>
      <c r="Q952" s="1"/>
      <c r="R952" s="1"/>
      <c r="S952" s="1"/>
      <c r="T952" s="1"/>
      <c r="U952" s="4"/>
    </row>
    <row r="953" spans="1:21" s="334" customFormat="1" ht="18.75" hidden="1" customHeight="1">
      <c r="A953" s="28"/>
      <c r="B953" s="29"/>
      <c r="C953" s="30"/>
      <c r="D953" s="336"/>
      <c r="E953" s="27"/>
      <c r="F953" s="31">
        <f t="shared" si="502"/>
        <v>0</v>
      </c>
      <c r="G953" s="27">
        <f t="shared" si="503"/>
        <v>0</v>
      </c>
      <c r="H953" s="32">
        <f>IF(D953="no",0,F953*H937)</f>
        <v>0</v>
      </c>
      <c r="I953" s="33">
        <f>IF(D953="no",0,H953*3.3%)</f>
        <v>0</v>
      </c>
      <c r="J953" s="26"/>
      <c r="K953" s="27">
        <f>IF(D953="no",0,H953-I953-J953)</f>
        <v>0</v>
      </c>
      <c r="L953" s="27">
        <f t="shared" si="507"/>
        <v>0</v>
      </c>
      <c r="M953" s="573"/>
      <c r="N953" s="564"/>
      <c r="O953" s="1"/>
      <c r="P953" s="3"/>
      <c r="Q953" s="1"/>
      <c r="R953" s="1"/>
      <c r="S953" s="1"/>
      <c r="T953" s="1"/>
      <c r="U953" s="4"/>
    </row>
    <row r="954" spans="1:21" s="334" customFormat="1" ht="18.75" hidden="1" customHeight="1">
      <c r="A954" s="39" t="s">
        <v>435</v>
      </c>
      <c r="B954" s="29" t="s">
        <v>343</v>
      </c>
      <c r="C954" s="30"/>
      <c r="D954" s="336"/>
      <c r="E954" s="27"/>
      <c r="F954" s="31">
        <f t="shared" si="502"/>
        <v>0</v>
      </c>
      <c r="G954" s="27">
        <f t="shared" si="503"/>
        <v>0</v>
      </c>
      <c r="H954" s="37">
        <f>IF(D954="no",0,F954*H937)</f>
        <v>0</v>
      </c>
      <c r="I954" s="33">
        <f t="shared" ref="I954:I958" si="508">IF(D954="no",0,H954*3.3%)</f>
        <v>0</v>
      </c>
      <c r="J954" s="26"/>
      <c r="K954" s="27">
        <f t="shared" ref="K954" si="509">IF(D954="no",0,H954-I954-J954)</f>
        <v>0</v>
      </c>
      <c r="L954" s="40">
        <f>IF(D954="no",F954*H879-J954,0)</f>
        <v>0</v>
      </c>
      <c r="M954" s="590"/>
      <c r="N954" s="564"/>
      <c r="O954" s="1"/>
      <c r="P954" s="3"/>
      <c r="Q954" s="1"/>
      <c r="R954" s="1"/>
      <c r="S954" s="1"/>
      <c r="T954" s="1"/>
      <c r="U954" s="4"/>
    </row>
    <row r="955" spans="1:21" s="334" customFormat="1" ht="18.75" hidden="1" customHeight="1">
      <c r="A955" s="39" t="s">
        <v>435</v>
      </c>
      <c r="B955" s="29" t="s">
        <v>35</v>
      </c>
      <c r="C955" s="30"/>
      <c r="D955" s="336"/>
      <c r="E955" s="27"/>
      <c r="F955" s="31">
        <f t="shared" si="502"/>
        <v>0</v>
      </c>
      <c r="G955" s="27">
        <f t="shared" si="503"/>
        <v>0</v>
      </c>
      <c r="H955" s="32">
        <f>IF(D955="no",0,F955*H937)</f>
        <v>0</v>
      </c>
      <c r="I955" s="33">
        <f t="shared" si="508"/>
        <v>0</v>
      </c>
      <c r="J955" s="26"/>
      <c r="K955" s="27">
        <f>IF(D955="no",0,H955-I955-J955)</f>
        <v>0</v>
      </c>
      <c r="L955" s="27">
        <f>IF(D955="no",F955*H671-J955,0)</f>
        <v>0</v>
      </c>
      <c r="M955" s="574"/>
      <c r="N955" s="564"/>
      <c r="O955" s="1"/>
      <c r="P955" s="3"/>
      <c r="Q955" s="1"/>
      <c r="R955" s="1"/>
      <c r="S955" s="1"/>
      <c r="T955" s="1"/>
      <c r="U955" s="4"/>
    </row>
    <row r="956" spans="1:21" s="334" customFormat="1" ht="18.75" hidden="1" customHeight="1">
      <c r="A956" s="39" t="s">
        <v>435</v>
      </c>
      <c r="B956" s="29" t="s">
        <v>61</v>
      </c>
      <c r="C956" s="30"/>
      <c r="D956" s="336"/>
      <c r="E956" s="27"/>
      <c r="F956" s="31">
        <f t="shared" si="502"/>
        <v>0</v>
      </c>
      <c r="G956" s="27">
        <f t="shared" si="503"/>
        <v>0</v>
      </c>
      <c r="H956" s="32">
        <f>IF(D956="no",0,F956*H937)</f>
        <v>0</v>
      </c>
      <c r="I956" s="33">
        <f t="shared" si="508"/>
        <v>0</v>
      </c>
      <c r="J956" s="26"/>
      <c r="K956" s="27">
        <f t="shared" ref="K956:K958" si="510">IF(D956="no",0,H956-I956-J956)</f>
        <v>0</v>
      </c>
      <c r="L956" s="27">
        <f>IF(D956="no",F956*H672-J956,0)</f>
        <v>0</v>
      </c>
      <c r="M956" s="332"/>
      <c r="N956" s="143"/>
      <c r="O956" s="1"/>
      <c r="P956" s="3"/>
      <c r="Q956" s="1"/>
      <c r="R956" s="1"/>
      <c r="S956" s="1"/>
      <c r="T956" s="1"/>
      <c r="U956" s="4"/>
    </row>
    <row r="957" spans="1:21" s="334" customFormat="1" ht="18.75" hidden="1" customHeight="1">
      <c r="A957" s="39" t="s">
        <v>435</v>
      </c>
      <c r="B957" s="29" t="s">
        <v>37</v>
      </c>
      <c r="C957" s="30"/>
      <c r="D957" s="336"/>
      <c r="E957" s="27"/>
      <c r="F957" s="31">
        <f t="shared" si="502"/>
        <v>0</v>
      </c>
      <c r="G957" s="27">
        <f t="shared" si="503"/>
        <v>0</v>
      </c>
      <c r="H957" s="32">
        <f>IF(D957="no",0,F957*H937)</f>
        <v>0</v>
      </c>
      <c r="I957" s="33">
        <f t="shared" si="508"/>
        <v>0</v>
      </c>
      <c r="J957" s="26"/>
      <c r="K957" s="27">
        <f t="shared" si="510"/>
        <v>0</v>
      </c>
      <c r="L957" s="27">
        <f>IF(D957="no",F957*H673-J957,0)</f>
        <v>0</v>
      </c>
      <c r="M957" s="572"/>
      <c r="N957" s="564"/>
      <c r="O957" s="1"/>
      <c r="P957" s="3"/>
      <c r="Q957" s="1"/>
      <c r="R957" s="1"/>
      <c r="S957" s="1"/>
      <c r="T957" s="1"/>
      <c r="U957" s="4"/>
    </row>
    <row r="958" spans="1:21" s="334" customFormat="1" ht="18.75" hidden="1" customHeight="1">
      <c r="A958" s="39" t="s">
        <v>435</v>
      </c>
      <c r="B958" s="29" t="s">
        <v>106</v>
      </c>
      <c r="C958" s="30"/>
      <c r="D958" s="336"/>
      <c r="E958" s="27"/>
      <c r="F958" s="31">
        <f t="shared" si="502"/>
        <v>0</v>
      </c>
      <c r="G958" s="27">
        <f t="shared" si="503"/>
        <v>0</v>
      </c>
      <c r="H958" s="32">
        <f>IF(D958="no",0,F958*H937)</f>
        <v>0</v>
      </c>
      <c r="I958" s="33">
        <f t="shared" si="508"/>
        <v>0</v>
      </c>
      <c r="J958" s="26"/>
      <c r="K958" s="27">
        <f t="shared" si="510"/>
        <v>0</v>
      </c>
      <c r="L958" s="27">
        <f>IF(D958="no",F958*H674-J958,0)</f>
        <v>0</v>
      </c>
      <c r="M958" s="572"/>
      <c r="N958" s="564"/>
      <c r="O958" s="1"/>
      <c r="P958" s="3"/>
      <c r="Q958" s="1"/>
      <c r="R958" s="1"/>
      <c r="S958" s="1"/>
      <c r="T958" s="1"/>
      <c r="U958" s="4"/>
    </row>
    <row r="959" spans="1:21" s="334" customFormat="1" ht="18.75" hidden="1" customHeight="1">
      <c r="A959" s="575" t="s">
        <v>42</v>
      </c>
      <c r="B959" s="576"/>
      <c r="C959" s="576"/>
      <c r="D959" s="577"/>
      <c r="E959" s="42">
        <f t="shared" ref="E959:K959" si="511">SUM(E939:E958)</f>
        <v>0</v>
      </c>
      <c r="F959" s="17">
        <f t="shared" si="511"/>
        <v>0</v>
      </c>
      <c r="G959" s="42">
        <f t="shared" si="511"/>
        <v>0</v>
      </c>
      <c r="H959" s="42">
        <f t="shared" si="511"/>
        <v>0</v>
      </c>
      <c r="I959" s="42">
        <f t="shared" si="511"/>
        <v>0</v>
      </c>
      <c r="J959" s="43">
        <f t="shared" si="511"/>
        <v>0</v>
      </c>
      <c r="K959" s="42">
        <f t="shared" si="511"/>
        <v>0</v>
      </c>
      <c r="L959" s="42">
        <f>SUM(L939:L957)</f>
        <v>0</v>
      </c>
      <c r="M959" s="44"/>
      <c r="N959" s="45"/>
      <c r="O959" s="1"/>
      <c r="P959" s="3"/>
      <c r="Q959" s="1"/>
      <c r="R959" s="1"/>
      <c r="S959" s="1"/>
      <c r="T959" s="1"/>
      <c r="U959" s="4"/>
    </row>
    <row r="960" spans="1:21" s="334" customFormat="1" ht="18.75" hidden="1" customHeight="1">
      <c r="A960" s="46" t="s">
        <v>37</v>
      </c>
      <c r="B960" s="47" t="s">
        <v>43</v>
      </c>
      <c r="C960" s="48">
        <f>D937</f>
        <v>0</v>
      </c>
      <c r="D960" s="47" t="s">
        <v>44</v>
      </c>
      <c r="E960" s="49"/>
      <c r="F960" s="84"/>
      <c r="G960" s="85"/>
      <c r="H960" s="49"/>
      <c r="I960" s="53" t="s">
        <v>46</v>
      </c>
      <c r="J960" s="54"/>
      <c r="K960" s="339"/>
      <c r="L960" s="55"/>
      <c r="M960" s="63"/>
      <c r="N960" s="64"/>
      <c r="O960" s="1"/>
      <c r="P960" s="3"/>
      <c r="Q960" s="1"/>
      <c r="R960" s="1"/>
      <c r="S960" s="1"/>
      <c r="T960" s="1"/>
      <c r="U960" s="4"/>
    </row>
    <row r="961" spans="1:21" s="334" customFormat="1" ht="16.5" hidden="1" customHeight="1" thickBot="1">
      <c r="A961" s="56" t="s">
        <v>48</v>
      </c>
      <c r="B961" s="57" t="s">
        <v>49</v>
      </c>
      <c r="C961" s="58">
        <f>ROUND(F959/10000,0)</f>
        <v>0</v>
      </c>
      <c r="D961" s="57" t="s">
        <v>50</v>
      </c>
      <c r="E961" s="52">
        <v>0</v>
      </c>
      <c r="F961" s="86"/>
      <c r="G961" s="87"/>
      <c r="H961" s="52"/>
      <c r="I961" s="335"/>
      <c r="J961" s="61"/>
      <c r="K961" s="335"/>
      <c r="L961" s="62"/>
      <c r="M961" s="63"/>
      <c r="N961" s="64"/>
      <c r="O961" s="1"/>
      <c r="P961" s="3"/>
      <c r="Q961" s="1"/>
      <c r="R961" s="1"/>
      <c r="S961" s="1"/>
      <c r="T961" s="1"/>
      <c r="U961" s="4"/>
    </row>
    <row r="962" spans="1:21" s="334" customFormat="1" ht="18.75" hidden="1" customHeight="1" thickBot="1">
      <c r="A962" s="566" t="s">
        <v>52</v>
      </c>
      <c r="B962" s="567"/>
      <c r="C962" s="567"/>
      <c r="D962" s="568"/>
      <c r="E962" s="65"/>
      <c r="F962" s="569" t="s">
        <v>53</v>
      </c>
      <c r="G962" s="568"/>
      <c r="H962" s="66">
        <f>H959-J960</f>
        <v>0</v>
      </c>
      <c r="I962" s="67">
        <f>H962*3.3%</f>
        <v>0</v>
      </c>
      <c r="J962" s="68">
        <f>SUM(J959)</f>
        <v>0</v>
      </c>
      <c r="K962" s="69">
        <f>H962-I962-J962</f>
        <v>0</v>
      </c>
      <c r="L962" s="70">
        <f>L959+SUM(H960:H961)+J961</f>
        <v>0</v>
      </c>
      <c r="M962" s="570">
        <f>K962+L962</f>
        <v>0</v>
      </c>
      <c r="N962" s="571"/>
      <c r="O962" s="1"/>
      <c r="P962" s="3"/>
      <c r="Q962" s="1"/>
      <c r="R962" s="1"/>
      <c r="S962" s="1"/>
      <c r="T962" s="1"/>
      <c r="U962" s="4"/>
    </row>
    <row r="963" spans="1:21" s="334" customFormat="1" ht="18.75" hidden="1" customHeight="1">
      <c r="A963" s="1"/>
      <c r="B963" s="1"/>
      <c r="C963" s="1"/>
      <c r="D963" s="1"/>
      <c r="E963" s="1"/>
      <c r="F963" s="1"/>
      <c r="G963" s="1"/>
      <c r="H963" s="141"/>
      <c r="I963" s="1"/>
      <c r="J963" s="1"/>
      <c r="K963" s="1"/>
      <c r="L963" s="1"/>
      <c r="M963" s="1"/>
      <c r="N963" s="1"/>
      <c r="O963" s="1"/>
      <c r="P963" s="3"/>
      <c r="Q963" s="1"/>
      <c r="R963" s="1"/>
      <c r="S963" s="1"/>
      <c r="T963" s="1"/>
      <c r="U963" s="4"/>
    </row>
    <row r="964" spans="1:21" s="307" customFormat="1" ht="18.75" hidden="1" customHeight="1">
      <c r="A964" s="1"/>
      <c r="B964" s="1"/>
      <c r="C964" s="1"/>
      <c r="D964" s="1"/>
      <c r="E964" s="1"/>
      <c r="F964" s="1"/>
      <c r="G964" s="1"/>
      <c r="H964" s="141"/>
      <c r="I964" s="1"/>
      <c r="J964" s="1"/>
      <c r="K964" s="1"/>
      <c r="L964" s="1"/>
      <c r="M964" s="1"/>
      <c r="N964" s="1"/>
      <c r="O964" s="1"/>
      <c r="P964" s="3"/>
      <c r="Q964" s="1"/>
      <c r="R964" s="1"/>
      <c r="S964" s="1"/>
      <c r="T964" s="1"/>
      <c r="U964" s="4"/>
    </row>
    <row r="965" spans="1:21" s="307" customFormat="1" ht="18.75" hidden="1" customHeight="1">
      <c r="A965" s="6"/>
      <c r="B965" s="7" t="str">
        <f>$B$34</f>
        <v>1월</v>
      </c>
      <c r="C965" s="8" t="s">
        <v>1</v>
      </c>
      <c r="D965" s="9">
        <f>COUNTIF($C967:$C985,"계약")+(COUNTIF($C967:$C985,"계약2")*2)</f>
        <v>0</v>
      </c>
      <c r="E965" s="3">
        <f>COUNTIF(C967:C985,"낙찰수수료")</f>
        <v>0</v>
      </c>
      <c r="F965" s="3"/>
      <c r="G965" s="89" t="s">
        <v>380</v>
      </c>
      <c r="H965" s="123">
        <v>0.4</v>
      </c>
      <c r="I965" s="12">
        <v>3.3000000000000002E-2</v>
      </c>
      <c r="J965" s="1"/>
      <c r="K965" s="1"/>
      <c r="L965" s="1"/>
      <c r="M965" s="1"/>
      <c r="N965" s="1"/>
      <c r="O965" s="1"/>
      <c r="P965" s="3"/>
      <c r="Q965" s="1"/>
      <c r="R965" s="1"/>
      <c r="S965" s="1"/>
      <c r="T965" s="1"/>
      <c r="U965" s="4"/>
    </row>
    <row r="966" spans="1:21" s="307" customFormat="1" ht="18.75" hidden="1" customHeight="1">
      <c r="A966" s="306" t="s">
        <v>3</v>
      </c>
      <c r="B966" s="14" t="s">
        <v>4</v>
      </c>
      <c r="C966" s="14" t="s">
        <v>5</v>
      </c>
      <c r="D966" s="101" t="s">
        <v>6</v>
      </c>
      <c r="E966" s="16" t="s">
        <v>7</v>
      </c>
      <c r="F966" s="17" t="s">
        <v>8</v>
      </c>
      <c r="G966" s="14" t="s">
        <v>9</v>
      </c>
      <c r="H966" s="15" t="s">
        <v>10</v>
      </c>
      <c r="I966" s="14" t="s">
        <v>11</v>
      </c>
      <c r="J966" s="15" t="s">
        <v>12</v>
      </c>
      <c r="K966" s="14" t="s">
        <v>13</v>
      </c>
      <c r="L966" s="14" t="s">
        <v>14</v>
      </c>
      <c r="M966" s="579" t="s">
        <v>15</v>
      </c>
      <c r="N966" s="577"/>
      <c r="O966" s="1"/>
      <c r="P966" s="3"/>
      <c r="Q966" s="1"/>
      <c r="R966" s="1"/>
      <c r="S966" s="1"/>
      <c r="T966" s="1"/>
      <c r="U966" s="4"/>
    </row>
    <row r="967" spans="1:21" s="307" customFormat="1" ht="18.75" hidden="1" customHeight="1">
      <c r="A967" s="28"/>
      <c r="B967" s="29"/>
      <c r="C967" s="30"/>
      <c r="D967" s="312"/>
      <c r="E967" s="27"/>
      <c r="F967" s="31">
        <f t="shared" ref="F967:F986" si="512">IF(D967="no",E967,E967/1.1)</f>
        <v>0</v>
      </c>
      <c r="G967" s="27">
        <f t="shared" ref="G967:G986" si="513">IF(D967="no",0,F967*0.1)</f>
        <v>0</v>
      </c>
      <c r="H967" s="32">
        <f>IF(D967="no",0,F967*H965)</f>
        <v>0</v>
      </c>
      <c r="I967" s="33">
        <f t="shared" ref="I967:I986" si="514">IF(D967="no",0,H967*3.3%)</f>
        <v>0</v>
      </c>
      <c r="J967" s="26"/>
      <c r="K967" s="27">
        <f t="shared" ref="K967:K982" si="515">IF(D967="no",0,H967-I967-J967)</f>
        <v>0</v>
      </c>
      <c r="L967" s="27">
        <f>IF(D967="no",F967*H965-J967,0)</f>
        <v>0</v>
      </c>
      <c r="M967" s="580"/>
      <c r="N967" s="581"/>
      <c r="O967" s="1"/>
      <c r="P967" s="3"/>
      <c r="Q967" s="1"/>
      <c r="R967" s="1"/>
      <c r="S967" s="1"/>
      <c r="T967" s="1"/>
      <c r="U967" s="4"/>
    </row>
    <row r="968" spans="1:21" s="307" customFormat="1" ht="18.75" hidden="1" customHeight="1">
      <c r="A968" s="39"/>
      <c r="B968" s="29"/>
      <c r="C968" s="30"/>
      <c r="D968" s="311"/>
      <c r="E968" s="102"/>
      <c r="F968" s="31">
        <f t="shared" si="512"/>
        <v>0</v>
      </c>
      <c r="G968" s="27">
        <f t="shared" si="513"/>
        <v>0</v>
      </c>
      <c r="H968" s="32">
        <f>IF(D968="no",0,F968*H965)</f>
        <v>0</v>
      </c>
      <c r="I968" s="33">
        <f t="shared" si="514"/>
        <v>0</v>
      </c>
      <c r="J968" s="26"/>
      <c r="K968" s="27">
        <f t="shared" si="515"/>
        <v>0</v>
      </c>
      <c r="L968" s="27">
        <f>IF(D968="no",F968*H685-J968,0)</f>
        <v>0</v>
      </c>
      <c r="M968" s="572"/>
      <c r="N968" s="564"/>
      <c r="O968" s="1"/>
      <c r="P968" s="3"/>
      <c r="Q968" s="1"/>
      <c r="R968" s="1"/>
      <c r="S968" s="1"/>
      <c r="T968" s="1"/>
      <c r="U968" s="4"/>
    </row>
    <row r="969" spans="1:21" s="307" customFormat="1" ht="18.75" hidden="1" customHeight="1">
      <c r="A969" s="39"/>
      <c r="B969" s="29"/>
      <c r="C969" s="30"/>
      <c r="D969" s="312"/>
      <c r="E969" s="27"/>
      <c r="F969" s="31">
        <f t="shared" si="512"/>
        <v>0</v>
      </c>
      <c r="G969" s="27">
        <f t="shared" si="513"/>
        <v>0</v>
      </c>
      <c r="H969" s="32">
        <f>IF(D969="no",0,F969*H965)</f>
        <v>0</v>
      </c>
      <c r="I969" s="33">
        <f t="shared" si="514"/>
        <v>0</v>
      </c>
      <c r="J969" s="26"/>
      <c r="K969" s="27">
        <f t="shared" si="515"/>
        <v>0</v>
      </c>
      <c r="L969" s="27">
        <f t="shared" ref="L969:L975" si="516">IF(D969="no",F969*H685-J969,0)</f>
        <v>0</v>
      </c>
      <c r="M969" s="572"/>
      <c r="N969" s="564"/>
      <c r="O969" s="1"/>
      <c r="P969" s="3"/>
      <c r="Q969" s="1"/>
      <c r="R969" s="1"/>
      <c r="S969" s="1"/>
      <c r="T969" s="1"/>
      <c r="U969" s="4"/>
    </row>
    <row r="970" spans="1:21" s="307" customFormat="1" ht="18.75" hidden="1" customHeight="1">
      <c r="A970" s="28"/>
      <c r="B970" s="29"/>
      <c r="C970" s="30"/>
      <c r="D970" s="312"/>
      <c r="E970" s="27"/>
      <c r="F970" s="31">
        <f t="shared" si="512"/>
        <v>0</v>
      </c>
      <c r="G970" s="27">
        <f t="shared" si="513"/>
        <v>0</v>
      </c>
      <c r="H970" s="32">
        <f>IF(D970="no",0,F970*H965)</f>
        <v>0</v>
      </c>
      <c r="I970" s="33">
        <f t="shared" si="514"/>
        <v>0</v>
      </c>
      <c r="J970" s="26"/>
      <c r="K970" s="27">
        <f t="shared" si="515"/>
        <v>0</v>
      </c>
      <c r="L970" s="27">
        <f t="shared" si="516"/>
        <v>0</v>
      </c>
      <c r="M970" s="563"/>
      <c r="N970" s="564"/>
      <c r="O970" s="1"/>
      <c r="P970" s="3"/>
      <c r="Q970" s="1"/>
      <c r="R970" s="1"/>
      <c r="S970" s="1"/>
      <c r="T970" s="1"/>
      <c r="U970" s="4"/>
    </row>
    <row r="971" spans="1:21" s="307" customFormat="1" ht="18.75" hidden="1" customHeight="1">
      <c r="A971" s="28"/>
      <c r="B971" s="29"/>
      <c r="C971" s="30"/>
      <c r="D971" s="310"/>
      <c r="E971" s="27"/>
      <c r="F971" s="31">
        <f t="shared" si="512"/>
        <v>0</v>
      </c>
      <c r="G971" s="27">
        <f t="shared" si="513"/>
        <v>0</v>
      </c>
      <c r="H971" s="32">
        <f>IF(D971="no",0,F971*H965)</f>
        <v>0</v>
      </c>
      <c r="I971" s="33">
        <f t="shared" si="514"/>
        <v>0</v>
      </c>
      <c r="J971" s="26"/>
      <c r="K971" s="27">
        <f t="shared" si="515"/>
        <v>0</v>
      </c>
      <c r="L971" s="27">
        <f t="shared" si="516"/>
        <v>0</v>
      </c>
      <c r="M971" s="572"/>
      <c r="N971" s="564"/>
      <c r="O971" s="1"/>
      <c r="P971" s="3"/>
      <c r="Q971" s="1"/>
      <c r="R971" s="1"/>
      <c r="S971" s="1"/>
      <c r="T971" s="1"/>
      <c r="U971" s="4"/>
    </row>
    <row r="972" spans="1:21" s="307" customFormat="1" ht="18.75" hidden="1" customHeight="1">
      <c r="A972" s="28"/>
      <c r="B972" s="29"/>
      <c r="C972" s="30"/>
      <c r="D972" s="312"/>
      <c r="E972" s="27"/>
      <c r="F972" s="31">
        <f t="shared" si="512"/>
        <v>0</v>
      </c>
      <c r="G972" s="27">
        <f t="shared" si="513"/>
        <v>0</v>
      </c>
      <c r="H972" s="32">
        <f>IF(D972="no",0,F972*H681)</f>
        <v>0</v>
      </c>
      <c r="I972" s="33">
        <f t="shared" si="514"/>
        <v>0</v>
      </c>
      <c r="J972" s="26"/>
      <c r="K972" s="27">
        <f t="shared" si="515"/>
        <v>0</v>
      </c>
      <c r="L972" s="27">
        <f t="shared" si="516"/>
        <v>0</v>
      </c>
      <c r="M972" s="572"/>
      <c r="N972" s="564"/>
      <c r="O972" s="1"/>
      <c r="P972" s="3"/>
      <c r="Q972" s="1"/>
      <c r="R972" s="1"/>
      <c r="S972" s="1"/>
      <c r="T972" s="1"/>
      <c r="U972" s="4"/>
    </row>
    <row r="973" spans="1:21" s="307" customFormat="1" ht="18.75" hidden="1" customHeight="1">
      <c r="A973" s="39"/>
      <c r="B973" s="29"/>
      <c r="C973" s="30"/>
      <c r="D973" s="311"/>
      <c r="E973" s="102"/>
      <c r="F973" s="31">
        <f t="shared" si="512"/>
        <v>0</v>
      </c>
      <c r="G973" s="27">
        <f t="shared" si="513"/>
        <v>0</v>
      </c>
      <c r="H973" s="32">
        <f>IF(D973="no",0,F973*H965)</f>
        <v>0</v>
      </c>
      <c r="I973" s="33">
        <f t="shared" si="514"/>
        <v>0</v>
      </c>
      <c r="J973" s="26"/>
      <c r="K973" s="27">
        <f t="shared" si="515"/>
        <v>0</v>
      </c>
      <c r="L973" s="27">
        <f t="shared" si="516"/>
        <v>0</v>
      </c>
      <c r="M973" s="572"/>
      <c r="N973" s="564"/>
      <c r="O973" s="1"/>
      <c r="P973" s="3"/>
      <c r="Q973" s="1"/>
      <c r="R973" s="1"/>
      <c r="S973" s="1"/>
      <c r="T973" s="1"/>
      <c r="U973" s="4"/>
    </row>
    <row r="974" spans="1:21" s="307" customFormat="1" ht="18.75" hidden="1" customHeight="1">
      <c r="A974" s="39"/>
      <c r="B974" s="29"/>
      <c r="C974" s="30"/>
      <c r="D974" s="312"/>
      <c r="E974" s="102"/>
      <c r="F974" s="31">
        <f t="shared" si="512"/>
        <v>0</v>
      </c>
      <c r="G974" s="27">
        <f t="shared" si="513"/>
        <v>0</v>
      </c>
      <c r="H974" s="32">
        <f>IF(D974="no",0,F974*H965)</f>
        <v>0</v>
      </c>
      <c r="I974" s="33">
        <f t="shared" si="514"/>
        <v>0</v>
      </c>
      <c r="J974" s="26"/>
      <c r="K974" s="27">
        <f t="shared" si="515"/>
        <v>0</v>
      </c>
      <c r="L974" s="27">
        <f t="shared" si="516"/>
        <v>0</v>
      </c>
      <c r="M974" s="572"/>
      <c r="N974" s="564"/>
      <c r="O974" s="1"/>
      <c r="P974" s="3"/>
      <c r="Q974" s="1"/>
      <c r="R974" s="1"/>
      <c r="S974" s="1"/>
      <c r="T974" s="1"/>
      <c r="U974" s="4"/>
    </row>
    <row r="975" spans="1:21" s="307" customFormat="1" ht="18.75" hidden="1" customHeight="1">
      <c r="A975" s="28"/>
      <c r="B975" s="29"/>
      <c r="C975" s="30"/>
      <c r="D975" s="312"/>
      <c r="E975" s="27"/>
      <c r="F975" s="31">
        <f t="shared" si="512"/>
        <v>0</v>
      </c>
      <c r="G975" s="27">
        <f t="shared" si="513"/>
        <v>0</v>
      </c>
      <c r="H975" s="32">
        <f>IF(D975="no",0,F975*H687)</f>
        <v>0</v>
      </c>
      <c r="I975" s="33">
        <f t="shared" si="514"/>
        <v>0</v>
      </c>
      <c r="J975" s="26"/>
      <c r="K975" s="27">
        <f t="shared" si="515"/>
        <v>0</v>
      </c>
      <c r="L975" s="27">
        <f t="shared" si="516"/>
        <v>0</v>
      </c>
      <c r="M975" s="563"/>
      <c r="N975" s="564"/>
      <c r="O975" s="1"/>
      <c r="P975" s="3"/>
      <c r="Q975" s="1"/>
      <c r="R975" s="1"/>
      <c r="S975" s="1"/>
      <c r="T975" s="1"/>
      <c r="U975" s="4"/>
    </row>
    <row r="976" spans="1:21" s="307" customFormat="1" ht="18.75" hidden="1" customHeight="1">
      <c r="A976" s="28"/>
      <c r="B976" s="29"/>
      <c r="C976" s="30"/>
      <c r="D976" s="310"/>
      <c r="E976" s="27"/>
      <c r="F976" s="31">
        <f t="shared" si="512"/>
        <v>0</v>
      </c>
      <c r="G976" s="27">
        <f t="shared" si="513"/>
        <v>0</v>
      </c>
      <c r="H976" s="32">
        <f>IF(D976="no",0,F976*H687)</f>
        <v>0</v>
      </c>
      <c r="I976" s="33">
        <f t="shared" si="514"/>
        <v>0</v>
      </c>
      <c r="J976" s="26"/>
      <c r="K976" s="27">
        <f t="shared" si="515"/>
        <v>0</v>
      </c>
      <c r="L976" s="27">
        <f t="shared" ref="L976:L981" si="517">IF(D976="no",F976*H693-J976,0)</f>
        <v>0</v>
      </c>
      <c r="M976" s="572"/>
      <c r="N976" s="564"/>
      <c r="O976" s="1"/>
      <c r="P976" s="3"/>
      <c r="Q976" s="1"/>
      <c r="R976" s="1"/>
      <c r="S976" s="1"/>
      <c r="T976" s="1"/>
      <c r="U976" s="4"/>
    </row>
    <row r="977" spans="1:21" s="307" customFormat="1" ht="18.75" hidden="1" customHeight="1">
      <c r="A977" s="28"/>
      <c r="B977" s="29"/>
      <c r="C977" s="30"/>
      <c r="D977" s="312"/>
      <c r="E977" s="27"/>
      <c r="F977" s="31">
        <f t="shared" si="512"/>
        <v>0</v>
      </c>
      <c r="G977" s="27">
        <f t="shared" si="513"/>
        <v>0</v>
      </c>
      <c r="H977" s="32">
        <f>IF(D977="no",0,F977*H687)</f>
        <v>0</v>
      </c>
      <c r="I977" s="33">
        <f t="shared" si="514"/>
        <v>0</v>
      </c>
      <c r="J977" s="26"/>
      <c r="K977" s="27">
        <f t="shared" si="515"/>
        <v>0</v>
      </c>
      <c r="L977" s="27">
        <f t="shared" si="517"/>
        <v>0</v>
      </c>
      <c r="M977" s="572"/>
      <c r="N977" s="564"/>
      <c r="O977" s="1"/>
      <c r="P977" s="3"/>
      <c r="Q977" s="1"/>
      <c r="R977" s="1"/>
      <c r="S977" s="1"/>
      <c r="T977" s="1"/>
      <c r="U977" s="4"/>
    </row>
    <row r="978" spans="1:21" s="307" customFormat="1" ht="18.75" hidden="1" customHeight="1">
      <c r="A978" s="28"/>
      <c r="B978" s="29"/>
      <c r="C978" s="30"/>
      <c r="D978" s="312"/>
      <c r="E978" s="27"/>
      <c r="F978" s="31">
        <f t="shared" si="512"/>
        <v>0</v>
      </c>
      <c r="G978" s="27">
        <f t="shared" si="513"/>
        <v>0</v>
      </c>
      <c r="H978" s="32">
        <f>IF(D978="no",0,F978*H965)</f>
        <v>0</v>
      </c>
      <c r="I978" s="33">
        <f t="shared" si="514"/>
        <v>0</v>
      </c>
      <c r="J978" s="26"/>
      <c r="K978" s="27">
        <f t="shared" si="515"/>
        <v>0</v>
      </c>
      <c r="L978" s="27">
        <f t="shared" si="517"/>
        <v>0</v>
      </c>
      <c r="M978" s="563"/>
      <c r="N978" s="564"/>
      <c r="O978" s="1"/>
      <c r="P978" s="3"/>
      <c r="Q978" s="1"/>
      <c r="R978" s="1"/>
      <c r="S978" s="1"/>
      <c r="T978" s="1"/>
      <c r="U978" s="4"/>
    </row>
    <row r="979" spans="1:21" s="307" customFormat="1" ht="18.75" hidden="1" customHeight="1">
      <c r="A979" s="28"/>
      <c r="B979" s="29"/>
      <c r="C979" s="30"/>
      <c r="D979" s="310"/>
      <c r="E979" s="27"/>
      <c r="F979" s="31">
        <f t="shared" si="512"/>
        <v>0</v>
      </c>
      <c r="G979" s="27">
        <f t="shared" si="513"/>
        <v>0</v>
      </c>
      <c r="H979" s="32">
        <f>IF(D979="no",0,F979*H965)</f>
        <v>0</v>
      </c>
      <c r="I979" s="33">
        <f t="shared" si="514"/>
        <v>0</v>
      </c>
      <c r="J979" s="26"/>
      <c r="K979" s="27">
        <f t="shared" si="515"/>
        <v>0</v>
      </c>
      <c r="L979" s="27">
        <f t="shared" si="517"/>
        <v>0</v>
      </c>
      <c r="M979" s="572"/>
      <c r="N979" s="564"/>
      <c r="O979" s="1"/>
      <c r="P979" s="3"/>
      <c r="Q979" s="1"/>
      <c r="R979" s="1"/>
      <c r="S979" s="1"/>
      <c r="T979" s="1"/>
      <c r="U979" s="4"/>
    </row>
    <row r="980" spans="1:21" s="307" customFormat="1" ht="18.75" hidden="1" customHeight="1">
      <c r="A980" s="28"/>
      <c r="B980" s="29"/>
      <c r="C980" s="30"/>
      <c r="D980" s="312"/>
      <c r="E980" s="27"/>
      <c r="F980" s="31">
        <f t="shared" si="512"/>
        <v>0</v>
      </c>
      <c r="G980" s="27">
        <f t="shared" si="513"/>
        <v>0</v>
      </c>
      <c r="H980" s="32">
        <f>IF(D980="no",0,F980*H965)</f>
        <v>0</v>
      </c>
      <c r="I980" s="33">
        <f t="shared" si="514"/>
        <v>0</v>
      </c>
      <c r="J980" s="26"/>
      <c r="K980" s="27">
        <f t="shared" si="515"/>
        <v>0</v>
      </c>
      <c r="L980" s="27">
        <f t="shared" si="517"/>
        <v>0</v>
      </c>
      <c r="M980" s="572"/>
      <c r="N980" s="564"/>
      <c r="O980" s="1"/>
      <c r="P980" s="3"/>
      <c r="Q980" s="1"/>
      <c r="R980" s="1"/>
      <c r="S980" s="1"/>
      <c r="T980" s="1"/>
      <c r="U980" s="4"/>
    </row>
    <row r="981" spans="1:21" s="307" customFormat="1" ht="18.75" hidden="1" customHeight="1">
      <c r="A981" s="28"/>
      <c r="B981" s="29"/>
      <c r="C981" s="30"/>
      <c r="D981" s="310"/>
      <c r="E981" s="27"/>
      <c r="F981" s="31">
        <f t="shared" si="512"/>
        <v>0</v>
      </c>
      <c r="G981" s="27">
        <f t="shared" si="513"/>
        <v>0</v>
      </c>
      <c r="H981" s="32">
        <f>IF(D981="no",0,F981*H965)</f>
        <v>0</v>
      </c>
      <c r="I981" s="33">
        <f>IF(D981="no",0,H981*3.3%)</f>
        <v>0</v>
      </c>
      <c r="J981" s="26"/>
      <c r="K981" s="27">
        <f>IF(D981="no",0,H981-I981-J981)</f>
        <v>0</v>
      </c>
      <c r="L981" s="27">
        <f t="shared" si="517"/>
        <v>0</v>
      </c>
      <c r="M981" s="573"/>
      <c r="N981" s="564"/>
      <c r="O981" s="1"/>
      <c r="P981" s="3"/>
      <c r="Q981" s="1"/>
      <c r="R981" s="1"/>
      <c r="S981" s="1"/>
      <c r="T981" s="1"/>
      <c r="U981" s="4"/>
    </row>
    <row r="982" spans="1:21" s="321" customFormat="1" ht="18.75" hidden="1" customHeight="1">
      <c r="A982" s="39" t="s">
        <v>435</v>
      </c>
      <c r="B982" s="29" t="s">
        <v>343</v>
      </c>
      <c r="C982" s="30"/>
      <c r="D982" s="320"/>
      <c r="E982" s="27"/>
      <c r="F982" s="31">
        <f t="shared" si="512"/>
        <v>0</v>
      </c>
      <c r="G982" s="27">
        <f t="shared" si="513"/>
        <v>0</v>
      </c>
      <c r="H982" s="37">
        <f>IF(D982="no",0,F982*H965)</f>
        <v>0</v>
      </c>
      <c r="I982" s="33">
        <f t="shared" si="514"/>
        <v>0</v>
      </c>
      <c r="J982" s="26"/>
      <c r="K982" s="27">
        <f t="shared" si="515"/>
        <v>0</v>
      </c>
      <c r="L982" s="40">
        <f>IF(D982="no",F982*H930-J982,0)</f>
        <v>0</v>
      </c>
      <c r="M982" s="590"/>
      <c r="N982" s="564"/>
      <c r="O982" s="1"/>
      <c r="P982" s="3"/>
      <c r="Q982" s="1"/>
      <c r="R982" s="1"/>
      <c r="S982" s="1"/>
      <c r="T982" s="1"/>
      <c r="U982" s="4"/>
    </row>
    <row r="983" spans="1:21" s="307" customFormat="1" ht="18.75" hidden="1" customHeight="1">
      <c r="A983" s="39" t="s">
        <v>435</v>
      </c>
      <c r="B983" s="29" t="s">
        <v>35</v>
      </c>
      <c r="C983" s="30"/>
      <c r="D983" s="310"/>
      <c r="E983" s="27"/>
      <c r="F983" s="31">
        <f t="shared" si="512"/>
        <v>0</v>
      </c>
      <c r="G983" s="27">
        <f t="shared" si="513"/>
        <v>0</v>
      </c>
      <c r="H983" s="32">
        <f>IF(D983="no",0,F983*H965)</f>
        <v>0</v>
      </c>
      <c r="I983" s="33">
        <f t="shared" si="514"/>
        <v>0</v>
      </c>
      <c r="J983" s="26"/>
      <c r="K983" s="27">
        <f>IF(D983="no",0,H983-I983-J983)</f>
        <v>0</v>
      </c>
      <c r="L983" s="27">
        <f>IF(D983="no",F983*H699-J983,0)</f>
        <v>0</v>
      </c>
      <c r="M983" s="574"/>
      <c r="N983" s="564"/>
      <c r="O983" s="1"/>
      <c r="P983" s="3"/>
      <c r="Q983" s="1"/>
      <c r="R983" s="1"/>
      <c r="S983" s="1"/>
      <c r="T983" s="1"/>
      <c r="U983" s="4"/>
    </row>
    <row r="984" spans="1:21" s="307" customFormat="1" ht="18.75" hidden="1" customHeight="1">
      <c r="A984" s="39" t="s">
        <v>435</v>
      </c>
      <c r="B984" s="29" t="s">
        <v>61</v>
      </c>
      <c r="C984" s="30"/>
      <c r="D984" s="310"/>
      <c r="E984" s="27"/>
      <c r="F984" s="31">
        <f t="shared" si="512"/>
        <v>0</v>
      </c>
      <c r="G984" s="27">
        <f t="shared" si="513"/>
        <v>0</v>
      </c>
      <c r="H984" s="32">
        <f>IF(D984="no",0,F984*H965)</f>
        <v>0</v>
      </c>
      <c r="I984" s="33">
        <f t="shared" si="514"/>
        <v>0</v>
      </c>
      <c r="J984" s="26"/>
      <c r="K984" s="27">
        <f t="shared" ref="K984:K986" si="518">IF(D984="no",0,H984-I984-J984)</f>
        <v>0</v>
      </c>
      <c r="L984" s="27">
        <f>IF(D984="no",F984*H700-J984,0)</f>
        <v>0</v>
      </c>
      <c r="M984" s="309"/>
      <c r="N984" s="143"/>
      <c r="O984" s="1"/>
      <c r="P984" s="3"/>
      <c r="Q984" s="1"/>
      <c r="R984" s="1"/>
      <c r="S984" s="1"/>
      <c r="T984" s="1"/>
      <c r="U984" s="4"/>
    </row>
    <row r="985" spans="1:21" s="307" customFormat="1" ht="18.75" hidden="1" customHeight="1">
      <c r="A985" s="39" t="s">
        <v>435</v>
      </c>
      <c r="B985" s="29" t="s">
        <v>37</v>
      </c>
      <c r="C985" s="30"/>
      <c r="D985" s="310"/>
      <c r="E985" s="27"/>
      <c r="F985" s="31">
        <f t="shared" si="512"/>
        <v>0</v>
      </c>
      <c r="G985" s="27">
        <f t="shared" si="513"/>
        <v>0</v>
      </c>
      <c r="H985" s="32">
        <f>IF(D985="no",0,F985*H965)</f>
        <v>0</v>
      </c>
      <c r="I985" s="33">
        <f t="shared" si="514"/>
        <v>0</v>
      </c>
      <c r="J985" s="26"/>
      <c r="K985" s="27">
        <f t="shared" si="518"/>
        <v>0</v>
      </c>
      <c r="L985" s="27">
        <f>IF(D985="no",F985*H701-J985,0)</f>
        <v>0</v>
      </c>
      <c r="M985" s="572"/>
      <c r="N985" s="564"/>
      <c r="O985" s="1"/>
      <c r="P985" s="3"/>
      <c r="Q985" s="1"/>
      <c r="R985" s="1"/>
      <c r="S985" s="1"/>
      <c r="T985" s="1"/>
      <c r="U985" s="4"/>
    </row>
    <row r="986" spans="1:21" s="307" customFormat="1" ht="18.75" hidden="1" customHeight="1">
      <c r="A986" s="39" t="s">
        <v>435</v>
      </c>
      <c r="B986" s="29" t="s">
        <v>106</v>
      </c>
      <c r="C986" s="30"/>
      <c r="D986" s="310"/>
      <c r="E986" s="27"/>
      <c r="F986" s="31">
        <f t="shared" si="512"/>
        <v>0</v>
      </c>
      <c r="G986" s="27">
        <f t="shared" si="513"/>
        <v>0</v>
      </c>
      <c r="H986" s="32">
        <f>IF(D986="no",0,F986*H965)</f>
        <v>0</v>
      </c>
      <c r="I986" s="33">
        <f t="shared" si="514"/>
        <v>0</v>
      </c>
      <c r="J986" s="26"/>
      <c r="K986" s="27">
        <f t="shared" si="518"/>
        <v>0</v>
      </c>
      <c r="L986" s="27">
        <f>IF(D986="no",F986*H702-J986,0)</f>
        <v>0</v>
      </c>
      <c r="M986" s="572"/>
      <c r="N986" s="564"/>
      <c r="O986" s="1"/>
      <c r="P986" s="3"/>
      <c r="Q986" s="1"/>
      <c r="R986" s="1"/>
      <c r="S986" s="1"/>
      <c r="T986" s="1"/>
      <c r="U986" s="4"/>
    </row>
    <row r="987" spans="1:21" s="307" customFormat="1" ht="18.75" hidden="1" customHeight="1">
      <c r="A987" s="575" t="s">
        <v>42</v>
      </c>
      <c r="B987" s="576"/>
      <c r="C987" s="576"/>
      <c r="D987" s="577"/>
      <c r="E987" s="42">
        <f t="shared" ref="E987:K987" si="519">SUM(E967:E986)</f>
        <v>0</v>
      </c>
      <c r="F987" s="17">
        <f t="shared" si="519"/>
        <v>0</v>
      </c>
      <c r="G987" s="42">
        <f t="shared" si="519"/>
        <v>0</v>
      </c>
      <c r="H987" s="42">
        <f t="shared" si="519"/>
        <v>0</v>
      </c>
      <c r="I987" s="42">
        <f t="shared" si="519"/>
        <v>0</v>
      </c>
      <c r="J987" s="43">
        <f t="shared" si="519"/>
        <v>0</v>
      </c>
      <c r="K987" s="42">
        <f t="shared" si="519"/>
        <v>0</v>
      </c>
      <c r="L987" s="42">
        <f>SUM(L967:L985)</f>
        <v>0</v>
      </c>
      <c r="M987" s="44"/>
      <c r="N987" s="45"/>
      <c r="O987" s="1"/>
      <c r="P987" s="3"/>
      <c r="Q987" s="1"/>
      <c r="R987" s="1"/>
      <c r="S987" s="1"/>
      <c r="T987" s="1"/>
      <c r="U987" s="4"/>
    </row>
    <row r="988" spans="1:21" s="307" customFormat="1" ht="18.75" hidden="1" customHeight="1">
      <c r="A988" s="46" t="s">
        <v>37</v>
      </c>
      <c r="B988" s="47" t="s">
        <v>43</v>
      </c>
      <c r="C988" s="48">
        <f>D965</f>
        <v>0</v>
      </c>
      <c r="D988" s="47" t="s">
        <v>44</v>
      </c>
      <c r="E988" s="49"/>
      <c r="F988" s="84"/>
      <c r="G988" s="85"/>
      <c r="H988" s="49"/>
      <c r="I988" s="53" t="s">
        <v>46</v>
      </c>
      <c r="J988" s="54"/>
      <c r="K988" s="313"/>
      <c r="L988" s="55"/>
      <c r="M988" s="63"/>
      <c r="N988" s="64"/>
      <c r="O988" s="1"/>
      <c r="P988" s="3"/>
      <c r="Q988" s="1"/>
      <c r="R988" s="1"/>
      <c r="S988" s="1"/>
      <c r="T988" s="1"/>
      <c r="U988" s="4"/>
    </row>
    <row r="989" spans="1:21" s="307" customFormat="1" ht="16.5" hidden="1" customHeight="1" thickBot="1">
      <c r="A989" s="56" t="s">
        <v>48</v>
      </c>
      <c r="B989" s="57" t="s">
        <v>49</v>
      </c>
      <c r="C989" s="58">
        <f>ROUND(F987/10000,0)</f>
        <v>0</v>
      </c>
      <c r="D989" s="57" t="s">
        <v>50</v>
      </c>
      <c r="E989" s="52">
        <v>0</v>
      </c>
      <c r="F989" s="86"/>
      <c r="G989" s="87"/>
      <c r="H989" s="52"/>
      <c r="I989" s="308"/>
      <c r="J989" s="61"/>
      <c r="K989" s="308"/>
      <c r="L989" s="62"/>
      <c r="M989" s="63"/>
      <c r="N989" s="64"/>
      <c r="O989" s="1"/>
      <c r="P989" s="3"/>
      <c r="Q989" s="1"/>
      <c r="R989" s="1"/>
      <c r="S989" s="1"/>
      <c r="T989" s="1"/>
      <c r="U989" s="4"/>
    </row>
    <row r="990" spans="1:21" s="307" customFormat="1" ht="18.75" hidden="1" customHeight="1" thickBot="1">
      <c r="A990" s="566" t="s">
        <v>52</v>
      </c>
      <c r="B990" s="567"/>
      <c r="C990" s="567"/>
      <c r="D990" s="568"/>
      <c r="E990" s="65"/>
      <c r="F990" s="569" t="s">
        <v>53</v>
      </c>
      <c r="G990" s="568"/>
      <c r="H990" s="66">
        <f>H987-J988</f>
        <v>0</v>
      </c>
      <c r="I990" s="67">
        <f>H990*3.3%</f>
        <v>0</v>
      </c>
      <c r="J990" s="68">
        <f>SUM(J987)</f>
        <v>0</v>
      </c>
      <c r="K990" s="69">
        <f>H990-I990-J990</f>
        <v>0</v>
      </c>
      <c r="L990" s="70">
        <f>L987+SUM(H988:H989)+J989</f>
        <v>0</v>
      </c>
      <c r="M990" s="570">
        <f>K990+L990</f>
        <v>0</v>
      </c>
      <c r="N990" s="571"/>
      <c r="O990" s="1"/>
      <c r="P990" s="3"/>
      <c r="Q990" s="1"/>
      <c r="R990" s="1"/>
      <c r="S990" s="1"/>
      <c r="T990" s="1"/>
      <c r="U990" s="4"/>
    </row>
    <row r="991" spans="1:21" s="307" customFormat="1" ht="18.75" hidden="1" customHeight="1">
      <c r="A991" s="1"/>
      <c r="B991" s="1"/>
      <c r="C991" s="1"/>
      <c r="D991" s="1"/>
      <c r="E991" s="1"/>
      <c r="F991" s="1"/>
      <c r="G991" s="1"/>
      <c r="H991" s="141"/>
      <c r="I991" s="1"/>
      <c r="J991" s="1"/>
      <c r="K991" s="1"/>
      <c r="L991" s="1"/>
      <c r="M991" s="1"/>
      <c r="N991" s="1"/>
      <c r="O991" s="1"/>
      <c r="P991" s="3"/>
      <c r="Q991" s="1"/>
      <c r="R991" s="1"/>
      <c r="S991" s="1"/>
      <c r="T991" s="1"/>
      <c r="U991" s="4"/>
    </row>
    <row r="992" spans="1:21" s="307" customFormat="1" ht="18.75" hidden="1" customHeight="1">
      <c r="A992" s="1"/>
      <c r="B992" s="1"/>
      <c r="C992" s="1"/>
      <c r="D992" s="1"/>
      <c r="E992" s="1"/>
      <c r="F992" s="1"/>
      <c r="G992" s="1"/>
      <c r="H992" s="141"/>
      <c r="I992" s="1"/>
      <c r="J992" s="1"/>
      <c r="K992" s="1"/>
      <c r="L992" s="1"/>
      <c r="M992" s="1"/>
      <c r="N992" s="1"/>
      <c r="O992" s="1"/>
      <c r="P992" s="3"/>
      <c r="Q992" s="1"/>
      <c r="R992" s="1"/>
      <c r="S992" s="1"/>
      <c r="T992" s="1"/>
      <c r="U992" s="4"/>
    </row>
    <row r="993" spans="1:21" ht="18.75" hidden="1" customHeight="1">
      <c r="A993" s="6"/>
      <c r="B993" s="7" t="str">
        <f>$B$34</f>
        <v>1월</v>
      </c>
      <c r="C993" s="8" t="s">
        <v>1</v>
      </c>
      <c r="D993" s="9">
        <f>COUNTIF($C995:$C1001,"계약")+(COUNTIF($C995:$C1001,"계약2")*2)</f>
        <v>0</v>
      </c>
      <c r="E993" s="3">
        <f>COUNTIF(C995:C1001,"낙찰수수료")</f>
        <v>0</v>
      </c>
      <c r="F993" s="3"/>
      <c r="G993" s="89" t="s">
        <v>126</v>
      </c>
      <c r="H993" s="123">
        <v>0.4</v>
      </c>
      <c r="I993" s="12">
        <v>3.3000000000000002E-2</v>
      </c>
      <c r="J993" s="1"/>
      <c r="K993" s="1"/>
      <c r="L993" s="1"/>
      <c r="M993" s="1"/>
      <c r="N993" s="1"/>
      <c r="O993" s="1"/>
      <c r="P993" s="3"/>
      <c r="Q993" s="1"/>
      <c r="R993" s="1"/>
      <c r="S993" s="1"/>
      <c r="T993" s="1"/>
      <c r="U993" s="4"/>
    </row>
    <row r="994" spans="1:21" ht="18.75" hidden="1" customHeight="1">
      <c r="A994" s="13" t="s">
        <v>3</v>
      </c>
      <c r="B994" s="14" t="s">
        <v>4</v>
      </c>
      <c r="C994" s="14" t="s">
        <v>5</v>
      </c>
      <c r="D994" s="101" t="s">
        <v>6</v>
      </c>
      <c r="E994" s="16" t="s">
        <v>7</v>
      </c>
      <c r="F994" s="17" t="s">
        <v>8</v>
      </c>
      <c r="G994" s="14" t="s">
        <v>9</v>
      </c>
      <c r="H994" s="15" t="s">
        <v>10</v>
      </c>
      <c r="I994" s="14" t="s">
        <v>11</v>
      </c>
      <c r="J994" s="15" t="s">
        <v>12</v>
      </c>
      <c r="K994" s="14" t="s">
        <v>13</v>
      </c>
      <c r="L994" s="14" t="s">
        <v>14</v>
      </c>
      <c r="M994" s="579" t="s">
        <v>15</v>
      </c>
      <c r="N994" s="577"/>
      <c r="O994" s="1"/>
      <c r="P994" s="3"/>
      <c r="Q994" s="1"/>
      <c r="R994" s="1"/>
      <c r="S994" s="1"/>
      <c r="T994" s="1"/>
      <c r="U994" s="4"/>
    </row>
    <row r="995" spans="1:21" ht="18.75" hidden="1" customHeight="1">
      <c r="A995" s="28"/>
      <c r="B995" s="29"/>
      <c r="C995" s="30"/>
      <c r="D995" s="38"/>
      <c r="E995" s="27"/>
      <c r="F995" s="31">
        <f t="shared" ref="F995:F997" si="520">IF(D995="no",E995,E995/1.1)</f>
        <v>0</v>
      </c>
      <c r="G995" s="27">
        <f t="shared" ref="G995:G997" si="521">IF(D995="no",0,F995*0.1)</f>
        <v>0</v>
      </c>
      <c r="H995" s="32">
        <f>IF(D995="no",0,F995*H993)</f>
        <v>0</v>
      </c>
      <c r="I995" s="33">
        <f t="shared" ref="I995:I1001" si="522">IF(D995="no",0,H995*3.3%)</f>
        <v>0</v>
      </c>
      <c r="J995" s="26"/>
      <c r="K995" s="27">
        <f t="shared" ref="K995:K1001" si="523">IF(D995="no",0,H995-I995-J995)</f>
        <v>0</v>
      </c>
      <c r="L995" s="27">
        <f>IF(D995="no",F995*H993-J995,0)</f>
        <v>0</v>
      </c>
      <c r="M995" s="580"/>
      <c r="N995" s="581"/>
      <c r="O995" s="1"/>
      <c r="P995" s="3"/>
      <c r="Q995" s="1"/>
      <c r="R995" s="1"/>
      <c r="S995" s="1"/>
      <c r="T995" s="1"/>
      <c r="U995" s="4"/>
    </row>
    <row r="996" spans="1:21" ht="18.75" hidden="1" customHeight="1">
      <c r="A996" s="28"/>
      <c r="B996" s="29"/>
      <c r="C996" s="30"/>
      <c r="D996" s="38"/>
      <c r="E996" s="27"/>
      <c r="F996" s="31">
        <f t="shared" si="520"/>
        <v>0</v>
      </c>
      <c r="G996" s="27">
        <f t="shared" si="521"/>
        <v>0</v>
      </c>
      <c r="H996" s="32">
        <f>IF(D996="no",0,F996*H993)</f>
        <v>0</v>
      </c>
      <c r="I996" s="33">
        <f t="shared" si="522"/>
        <v>0</v>
      </c>
      <c r="J996" s="26"/>
      <c r="K996" s="27">
        <f t="shared" si="523"/>
        <v>0</v>
      </c>
      <c r="L996" s="27">
        <f>IF(D996="no",F996*H993-J996,0)</f>
        <v>0</v>
      </c>
      <c r="M996" s="572"/>
      <c r="N996" s="564"/>
      <c r="O996" s="1"/>
      <c r="P996" s="3"/>
      <c r="Q996" s="1"/>
      <c r="R996" s="1"/>
      <c r="S996" s="1"/>
      <c r="T996" s="1"/>
      <c r="U996" s="4"/>
    </row>
    <row r="997" spans="1:21" ht="18.75" hidden="1" customHeight="1">
      <c r="A997" s="39"/>
      <c r="B997" s="29"/>
      <c r="C997" s="30"/>
      <c r="D997" s="95"/>
      <c r="E997" s="102"/>
      <c r="F997" s="31">
        <f t="shared" si="520"/>
        <v>0</v>
      </c>
      <c r="G997" s="27">
        <f t="shared" si="521"/>
        <v>0</v>
      </c>
      <c r="H997" s="32">
        <f>IF(D997="no",0,F997*H993)</f>
        <v>0</v>
      </c>
      <c r="I997" s="33">
        <f t="shared" si="522"/>
        <v>0</v>
      </c>
      <c r="J997" s="26"/>
      <c r="K997" s="27">
        <f t="shared" si="523"/>
        <v>0</v>
      </c>
      <c r="L997" s="27">
        <f>IF(D997="no",F997*H993-J997,0)</f>
        <v>0</v>
      </c>
      <c r="M997" s="572"/>
      <c r="N997" s="564"/>
      <c r="O997" s="1"/>
      <c r="P997" s="3"/>
      <c r="Q997" s="1"/>
      <c r="R997" s="1"/>
      <c r="S997" s="1"/>
      <c r="T997" s="1"/>
      <c r="U997" s="4"/>
    </row>
    <row r="998" spans="1:21" ht="18.75" hidden="1" customHeight="1">
      <c r="A998" s="39"/>
      <c r="B998" s="29"/>
      <c r="C998" s="30"/>
      <c r="D998" s="21"/>
      <c r="E998" s="27"/>
      <c r="F998" s="31"/>
      <c r="G998" s="27"/>
      <c r="H998" s="32"/>
      <c r="I998" s="33">
        <f t="shared" si="522"/>
        <v>0</v>
      </c>
      <c r="J998" s="26"/>
      <c r="K998" s="27">
        <f t="shared" si="523"/>
        <v>0</v>
      </c>
      <c r="L998" s="1"/>
      <c r="M998" s="142"/>
      <c r="N998" s="143"/>
      <c r="O998" s="1"/>
      <c r="P998" s="3"/>
      <c r="Q998" s="1"/>
      <c r="R998" s="1"/>
      <c r="S998" s="1"/>
      <c r="T998" s="1"/>
      <c r="U998" s="4"/>
    </row>
    <row r="999" spans="1:21" ht="18.75" hidden="1" customHeight="1">
      <c r="A999" s="39" t="s">
        <v>435</v>
      </c>
      <c r="B999" s="29" t="s">
        <v>61</v>
      </c>
      <c r="C999" s="30"/>
      <c r="D999" s="21"/>
      <c r="E999" s="27"/>
      <c r="F999" s="31"/>
      <c r="G999" s="27"/>
      <c r="H999" s="32">
        <f>IF(D999="no",0,F999*H606)</f>
        <v>0</v>
      </c>
      <c r="I999" s="33">
        <f t="shared" si="522"/>
        <v>0</v>
      </c>
      <c r="J999" s="26"/>
      <c r="K999" s="27">
        <f t="shared" si="523"/>
        <v>0</v>
      </c>
      <c r="L999" s="27">
        <f>IF(D999="no",F999*H993-J999,0)</f>
        <v>0</v>
      </c>
      <c r="M999" s="94"/>
      <c r="N999" s="95"/>
      <c r="O999" s="1"/>
      <c r="P999" s="3"/>
      <c r="Q999" s="1"/>
      <c r="R999" s="1"/>
      <c r="S999" s="1"/>
      <c r="T999" s="1"/>
      <c r="U999" s="4"/>
    </row>
    <row r="1000" spans="1:21" ht="18.75" hidden="1" customHeight="1">
      <c r="A1000" s="39" t="s">
        <v>435</v>
      </c>
      <c r="B1000" s="29" t="s">
        <v>35</v>
      </c>
      <c r="C1000" s="30"/>
      <c r="D1000" s="21"/>
      <c r="E1000" s="27"/>
      <c r="F1000" s="31">
        <f t="shared" ref="F1000:F1001" si="524">IF(D1000="no",E1000,E1000/1.1)</f>
        <v>0</v>
      </c>
      <c r="G1000" s="27">
        <f t="shared" ref="G1000:G1001" si="525">IF(D1000="no",0,F1000*0.1)</f>
        <v>0</v>
      </c>
      <c r="H1000" s="32"/>
      <c r="I1000" s="33">
        <f t="shared" si="522"/>
        <v>0</v>
      </c>
      <c r="J1000" s="26"/>
      <c r="K1000" s="27">
        <f t="shared" si="523"/>
        <v>0</v>
      </c>
      <c r="L1000" s="1"/>
      <c r="M1000" s="574"/>
      <c r="N1000" s="564"/>
      <c r="O1000" s="1"/>
      <c r="P1000" s="3"/>
      <c r="Q1000" s="1"/>
      <c r="R1000" s="1"/>
      <c r="S1000" s="1"/>
      <c r="T1000" s="1"/>
      <c r="U1000" s="4"/>
    </row>
    <row r="1001" spans="1:21" ht="18.75" hidden="1" customHeight="1">
      <c r="A1001" s="39" t="s">
        <v>435</v>
      </c>
      <c r="B1001" s="29" t="s">
        <v>37</v>
      </c>
      <c r="C1001" s="30"/>
      <c r="D1001" s="21"/>
      <c r="E1001" s="27"/>
      <c r="F1001" s="31">
        <f t="shared" si="524"/>
        <v>0</v>
      </c>
      <c r="G1001" s="27">
        <f t="shared" si="525"/>
        <v>0</v>
      </c>
      <c r="H1001" s="37">
        <v>0</v>
      </c>
      <c r="I1001" s="33">
        <f t="shared" si="522"/>
        <v>0</v>
      </c>
      <c r="J1001" s="26"/>
      <c r="K1001" s="27">
        <f t="shared" si="523"/>
        <v>0</v>
      </c>
      <c r="L1001" s="27"/>
      <c r="M1001" s="572"/>
      <c r="N1001" s="564"/>
      <c r="O1001" s="1"/>
      <c r="P1001" s="3"/>
      <c r="Q1001" s="1"/>
      <c r="R1001" s="1"/>
      <c r="S1001" s="1"/>
      <c r="T1001" s="1"/>
      <c r="U1001" s="4"/>
    </row>
    <row r="1002" spans="1:21" ht="18.75" hidden="1" customHeight="1">
      <c r="A1002" s="575" t="s">
        <v>42</v>
      </c>
      <c r="B1002" s="576"/>
      <c r="C1002" s="576"/>
      <c r="D1002" s="577"/>
      <c r="E1002" s="42">
        <f t="shared" ref="E1002:L1002" si="526">SUM(E995:E1001)</f>
        <v>0</v>
      </c>
      <c r="F1002" s="17">
        <f t="shared" si="526"/>
        <v>0</v>
      </c>
      <c r="G1002" s="42">
        <f t="shared" si="526"/>
        <v>0</v>
      </c>
      <c r="H1002" s="43">
        <f t="shared" si="526"/>
        <v>0</v>
      </c>
      <c r="I1002" s="42">
        <f t="shared" si="526"/>
        <v>0</v>
      </c>
      <c r="J1002" s="43">
        <f t="shared" si="526"/>
        <v>0</v>
      </c>
      <c r="K1002" s="42">
        <f t="shared" si="526"/>
        <v>0</v>
      </c>
      <c r="L1002" s="42">
        <f t="shared" si="526"/>
        <v>0</v>
      </c>
      <c r="M1002" s="44"/>
      <c r="N1002" s="45"/>
      <c r="O1002" s="1"/>
      <c r="P1002" s="3"/>
      <c r="Q1002" s="1"/>
      <c r="R1002" s="1"/>
      <c r="S1002" s="1"/>
      <c r="T1002" s="1"/>
      <c r="U1002" s="4"/>
    </row>
    <row r="1003" spans="1:21" ht="18.75" hidden="1" customHeight="1">
      <c r="A1003" s="46" t="s">
        <v>37</v>
      </c>
      <c r="B1003" s="47" t="s">
        <v>43</v>
      </c>
      <c r="C1003" s="48">
        <f>D993</f>
        <v>0</v>
      </c>
      <c r="D1003" s="47" t="s">
        <v>44</v>
      </c>
      <c r="E1003" s="49"/>
      <c r="F1003" s="84"/>
      <c r="G1003" s="85"/>
      <c r="H1003" s="49"/>
      <c r="I1003" s="53" t="s">
        <v>46</v>
      </c>
      <c r="J1003" s="54"/>
      <c r="K1003" s="50"/>
      <c r="L1003" s="55"/>
      <c r="M1003" s="63"/>
      <c r="N1003" s="64"/>
      <c r="O1003" s="1"/>
      <c r="P1003" s="3"/>
      <c r="Q1003" s="1"/>
      <c r="R1003" s="1"/>
      <c r="S1003" s="1"/>
      <c r="T1003" s="1"/>
      <c r="U1003" s="4"/>
    </row>
    <row r="1004" spans="1:21" ht="16.5" hidden="1" customHeight="1" thickBot="1">
      <c r="A1004" s="56" t="s">
        <v>48</v>
      </c>
      <c r="B1004" s="57" t="s">
        <v>49</v>
      </c>
      <c r="C1004" s="58">
        <f>ROUND(F1002/10000,0)</f>
        <v>0</v>
      </c>
      <c r="D1004" s="57" t="s">
        <v>50</v>
      </c>
      <c r="E1004" s="52">
        <f>IF(C1004&gt;=8000,5200000,IF(C1004&gt;=5000,2700000,IF(C1004&gt;=200,200000,0)))</f>
        <v>0</v>
      </c>
      <c r="F1004" s="86"/>
      <c r="G1004" s="87"/>
      <c r="H1004" s="52"/>
      <c r="I1004" s="59"/>
      <c r="J1004" s="61"/>
      <c r="K1004" s="59"/>
      <c r="L1004" s="62"/>
      <c r="M1004" s="63"/>
      <c r="N1004" s="64"/>
      <c r="O1004" s="1"/>
      <c r="P1004" s="3"/>
      <c r="Q1004" s="1"/>
      <c r="R1004" s="1"/>
      <c r="S1004" s="1"/>
      <c r="T1004" s="1"/>
      <c r="U1004" s="4"/>
    </row>
    <row r="1005" spans="1:21" ht="18.75" hidden="1" customHeight="1" thickBot="1">
      <c r="A1005" s="566" t="s">
        <v>52</v>
      </c>
      <c r="B1005" s="567"/>
      <c r="C1005" s="567"/>
      <c r="D1005" s="568"/>
      <c r="E1005" s="65"/>
      <c r="F1005" s="569" t="s">
        <v>53</v>
      </c>
      <c r="G1005" s="568"/>
      <c r="H1005" s="66">
        <f>H1002-J1003</f>
        <v>0</v>
      </c>
      <c r="I1005" s="67">
        <f>H1005*3.3%</f>
        <v>0</v>
      </c>
      <c r="J1005" s="68">
        <f>SUM(J1002)</f>
        <v>0</v>
      </c>
      <c r="K1005" s="69">
        <f>H1005-I1005-J1005</f>
        <v>0</v>
      </c>
      <c r="L1005" s="70">
        <f>L1002+SUM(H1003:H1004)+J1004</f>
        <v>0</v>
      </c>
      <c r="M1005" s="570">
        <f>K1005+L1005</f>
        <v>0</v>
      </c>
      <c r="N1005" s="571"/>
      <c r="O1005" s="1"/>
      <c r="P1005" s="3"/>
      <c r="Q1005" s="1"/>
      <c r="R1005" s="1"/>
      <c r="S1005" s="1"/>
      <c r="T1005" s="1"/>
      <c r="U1005" s="4"/>
    </row>
    <row r="1006" spans="1:21" ht="16.5" hidden="1" customHeight="1">
      <c r="A1006" s="1"/>
      <c r="B1006" s="1"/>
      <c r="C1006" s="1"/>
      <c r="D1006" s="1"/>
      <c r="E1006" s="1"/>
      <c r="F1006" s="1"/>
      <c r="G1006" s="1"/>
      <c r="H1006" s="141"/>
      <c r="I1006" s="1"/>
      <c r="J1006" s="1"/>
      <c r="K1006" s="1"/>
      <c r="L1006" s="1"/>
      <c r="M1006" s="1"/>
      <c r="N1006" s="1"/>
      <c r="O1006" s="1"/>
      <c r="P1006" s="3"/>
      <c r="Q1006" s="1"/>
      <c r="R1006" s="1"/>
      <c r="S1006" s="1"/>
      <c r="T1006" s="1"/>
      <c r="U1006" s="4"/>
    </row>
    <row r="1007" spans="1:21" s="263" customFormat="1" ht="18.75" hidden="1" customHeight="1">
      <c r="A1007" s="1"/>
      <c r="B1007" s="1"/>
      <c r="C1007" s="1"/>
      <c r="D1007" s="1"/>
      <c r="E1007" s="1"/>
      <c r="F1007" s="1"/>
      <c r="G1007" s="1"/>
      <c r="H1007" s="141"/>
      <c r="I1007" s="1"/>
      <c r="J1007" s="1"/>
      <c r="K1007" s="1"/>
      <c r="L1007" s="1"/>
      <c r="M1007" s="1"/>
      <c r="N1007" s="1"/>
      <c r="O1007" s="1"/>
      <c r="P1007" s="3"/>
      <c r="Q1007" s="1"/>
      <c r="R1007" s="1"/>
      <c r="S1007" s="1"/>
      <c r="T1007" s="1"/>
      <c r="U1007" s="4"/>
    </row>
    <row r="1008" spans="1:21" s="508" customFormat="1" ht="18.75" customHeight="1">
      <c r="A1008" s="1"/>
      <c r="B1008" s="1"/>
      <c r="C1008" s="1"/>
      <c r="D1008" s="1"/>
      <c r="E1008" s="1"/>
      <c r="F1008" s="1"/>
      <c r="G1008" s="1"/>
      <c r="H1008" s="141"/>
      <c r="I1008" s="1"/>
      <c r="J1008" s="1"/>
      <c r="K1008" s="1"/>
      <c r="L1008" s="1"/>
      <c r="M1008" s="1"/>
      <c r="N1008" s="1"/>
      <c r="O1008" s="1"/>
      <c r="P1008" s="3"/>
      <c r="Q1008" s="1"/>
      <c r="R1008" s="1"/>
      <c r="S1008" s="1"/>
      <c r="T1008" s="1"/>
      <c r="U1008" s="4"/>
    </row>
    <row r="1009" spans="1:21" s="508" customFormat="1" ht="18.75" hidden="1" customHeight="1">
      <c r="A1009" s="6" t="s">
        <v>549</v>
      </c>
      <c r="B1009" s="7" t="str">
        <f>$B$34</f>
        <v>1월</v>
      </c>
      <c r="C1009" s="8" t="s">
        <v>1</v>
      </c>
      <c r="D1009" s="9">
        <f>COUNTIF($C1011:$C1028,"계약")+(COUNTIF($C1011:$C1028,"계약2")*2)</f>
        <v>0</v>
      </c>
      <c r="E1009" s="3">
        <f>COUNTIF(C1011:C1028,"낙찰수수료")</f>
        <v>0</v>
      </c>
      <c r="F1009" s="3"/>
      <c r="G1009" s="89" t="s">
        <v>550</v>
      </c>
      <c r="H1009" s="11">
        <v>0.5</v>
      </c>
      <c r="I1009" s="12">
        <v>3.3000000000000002E-2</v>
      </c>
      <c r="J1009" s="1"/>
      <c r="K1009" s="1"/>
      <c r="L1009" s="1"/>
      <c r="M1009" s="1"/>
      <c r="N1009" s="1"/>
      <c r="O1009" s="1"/>
      <c r="P1009" s="3"/>
      <c r="Q1009" s="1"/>
      <c r="R1009" s="1"/>
      <c r="S1009" s="1"/>
      <c r="T1009" s="1"/>
      <c r="U1009" s="4"/>
    </row>
    <row r="1010" spans="1:21" s="508" customFormat="1" ht="18.75" hidden="1" customHeight="1">
      <c r="A1010" s="504" t="s">
        <v>3</v>
      </c>
      <c r="B1010" s="14" t="s">
        <v>4</v>
      </c>
      <c r="C1010" s="14" t="s">
        <v>5</v>
      </c>
      <c r="D1010" s="101" t="s">
        <v>6</v>
      </c>
      <c r="E1010" s="16" t="s">
        <v>7</v>
      </c>
      <c r="F1010" s="17" t="s">
        <v>8</v>
      </c>
      <c r="G1010" s="14" t="s">
        <v>9</v>
      </c>
      <c r="H1010" s="15" t="s">
        <v>10</v>
      </c>
      <c r="I1010" s="14" t="s">
        <v>11</v>
      </c>
      <c r="J1010" s="15" t="s">
        <v>12</v>
      </c>
      <c r="K1010" s="14" t="s">
        <v>13</v>
      </c>
      <c r="L1010" s="14" t="s">
        <v>14</v>
      </c>
      <c r="M1010" s="579" t="s">
        <v>15</v>
      </c>
      <c r="N1010" s="577"/>
      <c r="O1010" s="1"/>
      <c r="P1010" s="3"/>
      <c r="Q1010" s="1"/>
      <c r="R1010" s="1"/>
      <c r="S1010" s="1"/>
      <c r="T1010" s="1"/>
      <c r="U1010" s="4"/>
    </row>
    <row r="1011" spans="1:21" s="508" customFormat="1" ht="18.75" hidden="1" customHeight="1">
      <c r="A1011" s="28"/>
      <c r="B1011" s="29"/>
      <c r="C1011" s="109"/>
      <c r="D1011" s="122"/>
      <c r="E1011" s="111"/>
      <c r="F1011" s="288">
        <f t="shared" ref="F1011:F1029" si="527">IF(D1011="no",E1011,E1011/1.1)</f>
        <v>0</v>
      </c>
      <c r="G1011" s="111">
        <f t="shared" ref="G1011:G1029" si="528">IF(D1011="no",0,F1011*0.1)</f>
        <v>0</v>
      </c>
      <c r="H1011" s="112">
        <f>IF(D1011="no",0,F1011*H1009)</f>
        <v>0</v>
      </c>
      <c r="I1011" s="113">
        <f t="shared" ref="I1011:I1027" si="529">IF(D1011="no",0,H1011*3.3%)</f>
        <v>0</v>
      </c>
      <c r="J1011" s="114"/>
      <c r="K1011" s="111">
        <f t="shared" ref="K1011:K1025" si="530">IF(D1011="no",0,H1011-I1011-J1011)</f>
        <v>0</v>
      </c>
      <c r="L1011" s="27">
        <f>IF(D1011="no",F1011*H1009-J1011,0)</f>
        <v>0</v>
      </c>
      <c r="M1011" s="580"/>
      <c r="N1011" s="581"/>
      <c r="O1011" s="1"/>
      <c r="P1011" s="3"/>
      <c r="Q1011" s="1"/>
      <c r="R1011" s="1"/>
      <c r="S1011" s="1"/>
      <c r="T1011" s="1"/>
      <c r="U1011" s="4"/>
    </row>
    <row r="1012" spans="1:21" s="508" customFormat="1" ht="18.75" hidden="1" customHeight="1">
      <c r="A1012" s="39"/>
      <c r="B1012" s="29"/>
      <c r="C1012" s="30"/>
      <c r="D1012" s="505"/>
      <c r="E1012" s="27"/>
      <c r="F1012" s="31">
        <f t="shared" si="527"/>
        <v>0</v>
      </c>
      <c r="G1012" s="27">
        <f t="shared" si="528"/>
        <v>0</v>
      </c>
      <c r="H1012" s="32">
        <f>IF(D1012="no",0,F1012*H1009)</f>
        <v>0</v>
      </c>
      <c r="I1012" s="33">
        <f t="shared" si="529"/>
        <v>0</v>
      </c>
      <c r="J1012" s="26"/>
      <c r="K1012" s="27">
        <f t="shared" si="530"/>
        <v>0</v>
      </c>
      <c r="L1012" s="27">
        <f t="shared" ref="L1012:L1019" si="531">IF(D1012="no",F1012*H756-J1012,0)</f>
        <v>0</v>
      </c>
      <c r="M1012" s="572"/>
      <c r="N1012" s="564"/>
      <c r="O1012" s="1"/>
      <c r="P1012" s="3"/>
      <c r="Q1012" s="1"/>
      <c r="R1012" s="1"/>
      <c r="S1012" s="1"/>
      <c r="T1012" s="1"/>
      <c r="U1012" s="4"/>
    </row>
    <row r="1013" spans="1:21" s="508" customFormat="1" ht="18.75" hidden="1" customHeight="1">
      <c r="A1013" s="28"/>
      <c r="B1013" s="29"/>
      <c r="C1013" s="30"/>
      <c r="D1013" s="505"/>
      <c r="E1013" s="27"/>
      <c r="F1013" s="31">
        <f t="shared" si="527"/>
        <v>0</v>
      </c>
      <c r="G1013" s="27">
        <f t="shared" si="528"/>
        <v>0</v>
      </c>
      <c r="H1013" s="32">
        <f>IF(D1013="no",0,F1013*H1009)</f>
        <v>0</v>
      </c>
      <c r="I1013" s="33">
        <f t="shared" si="529"/>
        <v>0</v>
      </c>
      <c r="J1013" s="26"/>
      <c r="K1013" s="27">
        <f t="shared" si="530"/>
        <v>0</v>
      </c>
      <c r="L1013" s="27">
        <f t="shared" si="531"/>
        <v>0</v>
      </c>
      <c r="M1013" s="563"/>
      <c r="N1013" s="564"/>
      <c r="O1013" s="1"/>
      <c r="P1013" s="3"/>
      <c r="Q1013" s="1"/>
      <c r="R1013" s="1"/>
      <c r="S1013" s="1"/>
      <c r="T1013" s="1"/>
      <c r="U1013" s="4"/>
    </row>
    <row r="1014" spans="1:21" s="508" customFormat="1" ht="18.75" hidden="1" customHeight="1">
      <c r="A1014" s="28"/>
      <c r="B1014" s="29"/>
      <c r="C1014" s="30"/>
      <c r="D1014" s="509"/>
      <c r="E1014" s="27"/>
      <c r="F1014" s="31">
        <f t="shared" si="527"/>
        <v>0</v>
      </c>
      <c r="G1014" s="27">
        <f t="shared" si="528"/>
        <v>0</v>
      </c>
      <c r="H1014" s="32">
        <f>IF(D1014="no",0,F1014*H1009)</f>
        <v>0</v>
      </c>
      <c r="I1014" s="33">
        <f t="shared" si="529"/>
        <v>0</v>
      </c>
      <c r="J1014" s="26"/>
      <c r="K1014" s="27">
        <f t="shared" si="530"/>
        <v>0</v>
      </c>
      <c r="L1014" s="27">
        <f t="shared" si="531"/>
        <v>0</v>
      </c>
      <c r="M1014" s="572"/>
      <c r="N1014" s="564"/>
      <c r="O1014" s="1"/>
      <c r="P1014" s="3"/>
      <c r="Q1014" s="1"/>
      <c r="R1014" s="1"/>
      <c r="S1014" s="1"/>
      <c r="T1014" s="1"/>
      <c r="U1014" s="4"/>
    </row>
    <row r="1015" spans="1:21" s="508" customFormat="1" ht="18.75" hidden="1" customHeight="1">
      <c r="A1015" s="28"/>
      <c r="B1015" s="29"/>
      <c r="C1015" s="30"/>
      <c r="D1015" s="505"/>
      <c r="E1015" s="27"/>
      <c r="F1015" s="31">
        <f t="shared" si="527"/>
        <v>0</v>
      </c>
      <c r="G1015" s="27">
        <f t="shared" si="528"/>
        <v>0</v>
      </c>
      <c r="H1015" s="32">
        <f>IF(D1015="no",0,F1015*H1009)</f>
        <v>0</v>
      </c>
      <c r="I1015" s="33">
        <f t="shared" si="529"/>
        <v>0</v>
      </c>
      <c r="J1015" s="26"/>
      <c r="K1015" s="27">
        <f t="shared" si="530"/>
        <v>0</v>
      </c>
      <c r="L1015" s="27">
        <f t="shared" si="531"/>
        <v>0</v>
      </c>
      <c r="M1015" s="572"/>
      <c r="N1015" s="564"/>
      <c r="O1015" s="1"/>
      <c r="P1015" s="3"/>
      <c r="Q1015" s="1"/>
      <c r="R1015" s="1"/>
      <c r="S1015" s="1"/>
      <c r="T1015" s="1"/>
      <c r="U1015" s="4"/>
    </row>
    <row r="1016" spans="1:21" s="508" customFormat="1" ht="18.75" hidden="1" customHeight="1">
      <c r="A1016" s="39"/>
      <c r="B1016" s="29"/>
      <c r="C1016" s="30"/>
      <c r="D1016" s="507"/>
      <c r="E1016" s="102"/>
      <c r="F1016" s="31">
        <f t="shared" si="527"/>
        <v>0</v>
      </c>
      <c r="G1016" s="27">
        <f t="shared" si="528"/>
        <v>0</v>
      </c>
      <c r="H1016" s="32">
        <f>IF(D1016="no",0,F1016*H1009)</f>
        <v>0</v>
      </c>
      <c r="I1016" s="33">
        <f t="shared" si="529"/>
        <v>0</v>
      </c>
      <c r="J1016" s="26"/>
      <c r="K1016" s="27">
        <f t="shared" si="530"/>
        <v>0</v>
      </c>
      <c r="L1016" s="27">
        <f t="shared" si="531"/>
        <v>0</v>
      </c>
      <c r="M1016" s="572"/>
      <c r="N1016" s="564"/>
      <c r="O1016" s="1"/>
      <c r="P1016" s="3"/>
      <c r="Q1016" s="1"/>
      <c r="R1016" s="1"/>
      <c r="S1016" s="1"/>
      <c r="T1016" s="1"/>
      <c r="U1016" s="4"/>
    </row>
    <row r="1017" spans="1:21" s="508" customFormat="1" ht="18.75" hidden="1" customHeight="1">
      <c r="A1017" s="39"/>
      <c r="B1017" s="29"/>
      <c r="C1017" s="30"/>
      <c r="D1017" s="505"/>
      <c r="E1017" s="102"/>
      <c r="F1017" s="31">
        <f t="shared" si="527"/>
        <v>0</v>
      </c>
      <c r="G1017" s="27">
        <f t="shared" si="528"/>
        <v>0</v>
      </c>
      <c r="H1017" s="32">
        <f>IF(D1017="no",0,F1017*H1009)</f>
        <v>0</v>
      </c>
      <c r="I1017" s="33">
        <f t="shared" si="529"/>
        <v>0</v>
      </c>
      <c r="J1017" s="26"/>
      <c r="K1017" s="27">
        <f t="shared" si="530"/>
        <v>0</v>
      </c>
      <c r="L1017" s="27">
        <f t="shared" si="531"/>
        <v>0</v>
      </c>
      <c r="M1017" s="572"/>
      <c r="N1017" s="564"/>
      <c r="O1017" s="1"/>
      <c r="P1017" s="3"/>
      <c r="Q1017" s="1"/>
      <c r="R1017" s="1"/>
      <c r="S1017" s="1"/>
      <c r="T1017" s="1"/>
      <c r="U1017" s="4"/>
    </row>
    <row r="1018" spans="1:21" s="508" customFormat="1" ht="18.75" hidden="1" customHeight="1">
      <c r="A1018" s="28"/>
      <c r="B1018" s="29"/>
      <c r="C1018" s="30"/>
      <c r="D1018" s="505"/>
      <c r="E1018" s="27"/>
      <c r="F1018" s="31">
        <f t="shared" si="527"/>
        <v>0</v>
      </c>
      <c r="G1018" s="27">
        <f t="shared" si="528"/>
        <v>0</v>
      </c>
      <c r="H1018" s="32">
        <f>IF(D1018="no",0,F1018*H758)</f>
        <v>0</v>
      </c>
      <c r="I1018" s="33">
        <f t="shared" si="529"/>
        <v>0</v>
      </c>
      <c r="J1018" s="26"/>
      <c r="K1018" s="27">
        <f t="shared" si="530"/>
        <v>0</v>
      </c>
      <c r="L1018" s="27">
        <f t="shared" si="531"/>
        <v>0</v>
      </c>
      <c r="M1018" s="563"/>
      <c r="N1018" s="564"/>
      <c r="O1018" s="1"/>
      <c r="P1018" s="3"/>
      <c r="Q1018" s="1"/>
      <c r="R1018" s="1"/>
      <c r="S1018" s="1"/>
      <c r="T1018" s="1"/>
      <c r="U1018" s="4"/>
    </row>
    <row r="1019" spans="1:21" s="508" customFormat="1" ht="18.75" hidden="1" customHeight="1">
      <c r="A1019" s="28"/>
      <c r="B1019" s="29"/>
      <c r="C1019" s="30"/>
      <c r="D1019" s="509"/>
      <c r="E1019" s="27"/>
      <c r="F1019" s="31">
        <f t="shared" si="527"/>
        <v>0</v>
      </c>
      <c r="G1019" s="27">
        <f t="shared" si="528"/>
        <v>0</v>
      </c>
      <c r="H1019" s="32">
        <f>IF(D1019="no",0,F1019*H758)</f>
        <v>0</v>
      </c>
      <c r="I1019" s="33">
        <f t="shared" si="529"/>
        <v>0</v>
      </c>
      <c r="J1019" s="26"/>
      <c r="K1019" s="27">
        <f t="shared" si="530"/>
        <v>0</v>
      </c>
      <c r="L1019" s="27">
        <f t="shared" si="531"/>
        <v>0</v>
      </c>
      <c r="M1019" s="572"/>
      <c r="N1019" s="564"/>
      <c r="O1019" s="1"/>
      <c r="P1019" s="3"/>
      <c r="Q1019" s="1"/>
      <c r="R1019" s="1"/>
      <c r="S1019" s="1"/>
      <c r="T1019" s="1"/>
      <c r="U1019" s="4"/>
    </row>
    <row r="1020" spans="1:21" s="508" customFormat="1" ht="18.75" hidden="1" customHeight="1">
      <c r="A1020" s="28"/>
      <c r="B1020" s="29"/>
      <c r="C1020" s="30"/>
      <c r="D1020" s="505"/>
      <c r="E1020" s="27"/>
      <c r="F1020" s="31">
        <f t="shared" si="527"/>
        <v>0</v>
      </c>
      <c r="G1020" s="27">
        <f t="shared" si="528"/>
        <v>0</v>
      </c>
      <c r="H1020" s="32">
        <f>IF(D1020="no",0,F1020*H758)</f>
        <v>0</v>
      </c>
      <c r="I1020" s="33">
        <f t="shared" si="529"/>
        <v>0</v>
      </c>
      <c r="J1020" s="26"/>
      <c r="K1020" s="27">
        <f t="shared" si="530"/>
        <v>0</v>
      </c>
      <c r="L1020" s="27">
        <f>IF(D1020="no",F1020*H765-J1020,0)</f>
        <v>0</v>
      </c>
      <c r="M1020" s="572"/>
      <c r="N1020" s="564"/>
      <c r="O1020" s="1"/>
      <c r="P1020" s="3"/>
      <c r="Q1020" s="1"/>
      <c r="R1020" s="1"/>
      <c r="S1020" s="1"/>
      <c r="T1020" s="1"/>
      <c r="U1020" s="4"/>
    </row>
    <row r="1021" spans="1:21" s="508" customFormat="1" ht="18.75" hidden="1" customHeight="1">
      <c r="A1021" s="28"/>
      <c r="B1021" s="29"/>
      <c r="C1021" s="30"/>
      <c r="D1021" s="505"/>
      <c r="E1021" s="27"/>
      <c r="F1021" s="31">
        <f t="shared" si="527"/>
        <v>0</v>
      </c>
      <c r="G1021" s="27">
        <f t="shared" si="528"/>
        <v>0</v>
      </c>
      <c r="H1021" s="32">
        <f>IF(D1021="no",0,F1021*H1009)</f>
        <v>0</v>
      </c>
      <c r="I1021" s="33">
        <f t="shared" si="529"/>
        <v>0</v>
      </c>
      <c r="J1021" s="26"/>
      <c r="K1021" s="27">
        <f t="shared" si="530"/>
        <v>0</v>
      </c>
      <c r="L1021" s="27">
        <f>IF(D1021="no",F1021*H766-J1021,0)</f>
        <v>0</v>
      </c>
      <c r="M1021" s="563"/>
      <c r="N1021" s="564"/>
      <c r="O1021" s="1"/>
      <c r="P1021" s="3"/>
      <c r="Q1021" s="1"/>
      <c r="R1021" s="1"/>
      <c r="S1021" s="1"/>
      <c r="T1021" s="1"/>
      <c r="U1021" s="4"/>
    </row>
    <row r="1022" spans="1:21" s="508" customFormat="1" ht="18.75" hidden="1" customHeight="1">
      <c r="A1022" s="28"/>
      <c r="B1022" s="29"/>
      <c r="C1022" s="30"/>
      <c r="D1022" s="509"/>
      <c r="E1022" s="27"/>
      <c r="F1022" s="31">
        <f t="shared" si="527"/>
        <v>0</v>
      </c>
      <c r="G1022" s="27">
        <f t="shared" si="528"/>
        <v>0</v>
      </c>
      <c r="H1022" s="32">
        <f>IF(D1022="no",0,F1022*H1009)</f>
        <v>0</v>
      </c>
      <c r="I1022" s="33">
        <f t="shared" si="529"/>
        <v>0</v>
      </c>
      <c r="J1022" s="26"/>
      <c r="K1022" s="27">
        <f t="shared" si="530"/>
        <v>0</v>
      </c>
      <c r="L1022" s="27">
        <f>IF(D1022="no",F1022*H767-J1022,0)</f>
        <v>0</v>
      </c>
      <c r="M1022" s="572"/>
      <c r="N1022" s="564"/>
      <c r="O1022" s="1"/>
      <c r="P1022" s="3"/>
      <c r="Q1022" s="1"/>
      <c r="R1022" s="1"/>
      <c r="S1022" s="1"/>
      <c r="T1022" s="1"/>
      <c r="U1022" s="4"/>
    </row>
    <row r="1023" spans="1:21" s="508" customFormat="1" ht="18.75" hidden="1" customHeight="1">
      <c r="A1023" s="28"/>
      <c r="B1023" s="29"/>
      <c r="C1023" s="30"/>
      <c r="D1023" s="505"/>
      <c r="E1023" s="27"/>
      <c r="F1023" s="31">
        <f t="shared" si="527"/>
        <v>0</v>
      </c>
      <c r="G1023" s="27">
        <f t="shared" si="528"/>
        <v>0</v>
      </c>
      <c r="H1023" s="32">
        <f>IF(D1023="no",0,F1023*H1009)</f>
        <v>0</v>
      </c>
      <c r="I1023" s="33">
        <f t="shared" si="529"/>
        <v>0</v>
      </c>
      <c r="J1023" s="26"/>
      <c r="K1023" s="27">
        <f t="shared" si="530"/>
        <v>0</v>
      </c>
      <c r="L1023" s="27">
        <f>IF(D1023="no",F1023*H768-J1023,0)</f>
        <v>0</v>
      </c>
      <c r="M1023" s="572"/>
      <c r="N1023" s="564"/>
      <c r="O1023" s="1"/>
      <c r="P1023" s="3"/>
      <c r="Q1023" s="1"/>
      <c r="R1023" s="1"/>
      <c r="S1023" s="1"/>
      <c r="T1023" s="1"/>
      <c r="U1023" s="4"/>
    </row>
    <row r="1024" spans="1:21" s="508" customFormat="1" ht="18.75" hidden="1" customHeight="1">
      <c r="A1024" s="28"/>
      <c r="B1024" s="29"/>
      <c r="C1024" s="30"/>
      <c r="D1024" s="509"/>
      <c r="E1024" s="27"/>
      <c r="F1024" s="31">
        <f t="shared" si="527"/>
        <v>0</v>
      </c>
      <c r="G1024" s="27">
        <f t="shared" si="528"/>
        <v>0</v>
      </c>
      <c r="H1024" s="32">
        <f>IF(D1024="no",0,F1024*H1009)</f>
        <v>0</v>
      </c>
      <c r="I1024" s="33">
        <f t="shared" si="529"/>
        <v>0</v>
      </c>
      <c r="J1024" s="26"/>
      <c r="K1024" s="27">
        <f t="shared" si="530"/>
        <v>0</v>
      </c>
      <c r="L1024" s="27">
        <f>IF(D1024="no",F1024*H769-J1024,0)</f>
        <v>0</v>
      </c>
      <c r="M1024" s="573"/>
      <c r="N1024" s="564"/>
      <c r="O1024" s="1"/>
      <c r="P1024" s="3"/>
      <c r="Q1024" s="1"/>
      <c r="R1024" s="1"/>
      <c r="S1024" s="1"/>
      <c r="T1024" s="1"/>
      <c r="U1024" s="4"/>
    </row>
    <row r="1025" spans="1:21" s="508" customFormat="1" ht="18.75" hidden="1" customHeight="1">
      <c r="A1025" s="39" t="s">
        <v>616</v>
      </c>
      <c r="B1025" s="29" t="s">
        <v>343</v>
      </c>
      <c r="C1025" s="30"/>
      <c r="D1025" s="509"/>
      <c r="E1025" s="27"/>
      <c r="F1025" s="31">
        <f t="shared" si="527"/>
        <v>0</v>
      </c>
      <c r="G1025" s="27">
        <f t="shared" si="528"/>
        <v>0</v>
      </c>
      <c r="H1025" s="37">
        <f>IF(D1025="no",0,F1025*H1009)</f>
        <v>0</v>
      </c>
      <c r="I1025" s="33">
        <f t="shared" si="529"/>
        <v>0</v>
      </c>
      <c r="J1025" s="26"/>
      <c r="K1025" s="27">
        <f t="shared" si="530"/>
        <v>0</v>
      </c>
      <c r="L1025" s="40">
        <f>IF(D1025="no",F1025*H978-J1025,0)</f>
        <v>0</v>
      </c>
      <c r="M1025" s="590"/>
      <c r="N1025" s="564"/>
      <c r="O1025" s="1"/>
      <c r="P1025" s="3"/>
      <c r="Q1025" s="1"/>
      <c r="R1025" s="1"/>
      <c r="S1025" s="1"/>
      <c r="T1025" s="1"/>
      <c r="U1025" s="4"/>
    </row>
    <row r="1026" spans="1:21" s="508" customFormat="1" ht="18.75" hidden="1" customHeight="1">
      <c r="A1026" s="39" t="s">
        <v>616</v>
      </c>
      <c r="B1026" s="29" t="s">
        <v>35</v>
      </c>
      <c r="C1026" s="30"/>
      <c r="D1026" s="509"/>
      <c r="E1026" s="27"/>
      <c r="F1026" s="31">
        <f t="shared" si="527"/>
        <v>0</v>
      </c>
      <c r="G1026" s="27">
        <f t="shared" si="528"/>
        <v>0</v>
      </c>
      <c r="H1026" s="32">
        <f>IF(D1026="no",0,F1026*H1009)</f>
        <v>0</v>
      </c>
      <c r="I1026" s="33">
        <f t="shared" si="529"/>
        <v>0</v>
      </c>
      <c r="J1026" s="26"/>
      <c r="K1026" s="27">
        <f>IF(D1026="no",0,H1026-I1026-J1026)</f>
        <v>0</v>
      </c>
      <c r="L1026" s="27">
        <f>IF(D1026="no",F1026*H770-J1026,0)</f>
        <v>0</v>
      </c>
      <c r="M1026" s="574"/>
      <c r="N1026" s="564"/>
      <c r="O1026" s="1"/>
      <c r="P1026" s="3"/>
      <c r="Q1026" s="1"/>
      <c r="R1026" s="1"/>
      <c r="S1026" s="1"/>
      <c r="T1026" s="1"/>
      <c r="U1026" s="4"/>
    </row>
    <row r="1027" spans="1:21" s="508" customFormat="1" ht="18.75" hidden="1" customHeight="1">
      <c r="A1027" s="39" t="s">
        <v>616</v>
      </c>
      <c r="B1027" s="29" t="s">
        <v>61</v>
      </c>
      <c r="C1027" s="30"/>
      <c r="D1027" s="509"/>
      <c r="E1027" s="27"/>
      <c r="F1027" s="31">
        <f t="shared" si="527"/>
        <v>0</v>
      </c>
      <c r="G1027" s="27">
        <f t="shared" si="528"/>
        <v>0</v>
      </c>
      <c r="H1027" s="32">
        <f>IF(D1027="no",0,F1027*H1009)</f>
        <v>0</v>
      </c>
      <c r="I1027" s="33">
        <f t="shared" si="529"/>
        <v>0</v>
      </c>
      <c r="J1027" s="26"/>
      <c r="K1027" s="27">
        <f t="shared" ref="K1027" si="532">IF(D1027="no",0,H1027-I1027-J1027)</f>
        <v>0</v>
      </c>
      <c r="L1027" s="27">
        <f>IF(D1027="no",F1027*H771-J1027,0)</f>
        <v>0</v>
      </c>
      <c r="M1027" s="503"/>
      <c r="N1027" s="143"/>
      <c r="O1027" s="1"/>
      <c r="P1027" s="3"/>
      <c r="Q1027" s="1"/>
      <c r="R1027" s="1"/>
      <c r="S1027" s="1"/>
      <c r="T1027" s="1"/>
      <c r="U1027" s="4"/>
    </row>
    <row r="1028" spans="1:21" s="508" customFormat="1" ht="18.75" hidden="1" customHeight="1">
      <c r="A1028" s="39" t="s">
        <v>616</v>
      </c>
      <c r="B1028" s="29" t="s">
        <v>37</v>
      </c>
      <c r="C1028" s="30"/>
      <c r="D1028" s="509"/>
      <c r="E1028" s="27"/>
      <c r="F1028" s="31">
        <f t="shared" si="527"/>
        <v>0</v>
      </c>
      <c r="G1028" s="27">
        <f t="shared" si="528"/>
        <v>0</v>
      </c>
      <c r="H1028" s="37"/>
      <c r="I1028" s="33">
        <f>IF(D1028="no",0,H1028*3.3%)</f>
        <v>0</v>
      </c>
      <c r="J1028" s="26"/>
      <c r="K1028" s="27">
        <f>IF(D1028="no",0,H1028-I1028-J1028)</f>
        <v>0</v>
      </c>
      <c r="L1028" s="27">
        <f>IF(D1028="no",F1028*H772-J1028,0)</f>
        <v>0</v>
      </c>
      <c r="M1028" s="572"/>
      <c r="N1028" s="564"/>
      <c r="O1028" s="1"/>
      <c r="P1028" s="3"/>
      <c r="Q1028" s="1"/>
      <c r="R1028" s="1"/>
      <c r="S1028" s="1"/>
      <c r="T1028" s="1"/>
      <c r="U1028" s="4"/>
    </row>
    <row r="1029" spans="1:21" s="508" customFormat="1" ht="18.75" hidden="1" customHeight="1">
      <c r="A1029" s="39" t="s">
        <v>616</v>
      </c>
      <c r="B1029" s="29" t="s">
        <v>106</v>
      </c>
      <c r="C1029" s="30"/>
      <c r="D1029" s="509"/>
      <c r="E1029" s="27"/>
      <c r="F1029" s="31">
        <f t="shared" si="527"/>
        <v>0</v>
      </c>
      <c r="G1029" s="27">
        <f t="shared" si="528"/>
        <v>0</v>
      </c>
      <c r="H1029" s="32">
        <f>IF(D1029="no",0,F1029*H1009)</f>
        <v>0</v>
      </c>
      <c r="I1029" s="33">
        <f>IF(D1029="no",0,H1029*3.3%)</f>
        <v>0</v>
      </c>
      <c r="J1029" s="26"/>
      <c r="K1029" s="27">
        <f t="shared" ref="K1029" si="533">IF(D1029="no",0,H1029-I1029-J1029)</f>
        <v>0</v>
      </c>
      <c r="L1029" s="27">
        <f>IF(D1029="no",F1029*H773-J1029,0)</f>
        <v>0</v>
      </c>
      <c r="M1029" s="572"/>
      <c r="N1029" s="564"/>
      <c r="O1029" s="1"/>
      <c r="P1029" s="3"/>
      <c r="Q1029" s="1"/>
      <c r="R1029" s="1"/>
      <c r="S1029" s="1"/>
      <c r="T1029" s="1"/>
      <c r="U1029" s="4"/>
    </row>
    <row r="1030" spans="1:21" s="508" customFormat="1" ht="18.75" hidden="1" customHeight="1">
      <c r="A1030" s="575" t="s">
        <v>42</v>
      </c>
      <c r="B1030" s="576"/>
      <c r="C1030" s="576"/>
      <c r="D1030" s="577"/>
      <c r="E1030" s="42">
        <f t="shared" ref="E1030:L1030" si="534">SUM(E1011:E1029)</f>
        <v>0</v>
      </c>
      <c r="F1030" s="17">
        <f t="shared" si="534"/>
        <v>0</v>
      </c>
      <c r="G1030" s="42">
        <f t="shared" si="534"/>
        <v>0</v>
      </c>
      <c r="H1030" s="42">
        <f t="shared" si="534"/>
        <v>0</v>
      </c>
      <c r="I1030" s="42">
        <f t="shared" si="534"/>
        <v>0</v>
      </c>
      <c r="J1030" s="43">
        <f t="shared" si="534"/>
        <v>0</v>
      </c>
      <c r="K1030" s="42">
        <f t="shared" si="534"/>
        <v>0</v>
      </c>
      <c r="L1030" s="42">
        <f t="shared" si="534"/>
        <v>0</v>
      </c>
      <c r="M1030" s="44"/>
      <c r="N1030" s="45"/>
      <c r="O1030" s="1"/>
      <c r="P1030" s="3"/>
      <c r="Q1030" s="1"/>
      <c r="R1030" s="1"/>
      <c r="S1030" s="1"/>
      <c r="T1030" s="1"/>
      <c r="U1030" s="4"/>
    </row>
    <row r="1031" spans="1:21" s="508" customFormat="1" ht="18.75" hidden="1" customHeight="1">
      <c r="A1031" s="46" t="s">
        <v>37</v>
      </c>
      <c r="B1031" s="47" t="s">
        <v>43</v>
      </c>
      <c r="C1031" s="48">
        <f>D1009</f>
        <v>0</v>
      </c>
      <c r="D1031" s="47" t="s">
        <v>44</v>
      </c>
      <c r="E1031" s="49"/>
      <c r="F1031" s="84"/>
      <c r="G1031" s="85"/>
      <c r="H1031" s="49"/>
      <c r="I1031" s="53" t="s">
        <v>46</v>
      </c>
      <c r="J1031" s="54"/>
      <c r="K1031" s="506"/>
      <c r="L1031" s="55"/>
      <c r="M1031" s="63"/>
      <c r="N1031" s="64"/>
      <c r="O1031" s="1"/>
      <c r="P1031" s="24"/>
      <c r="Q1031" s="73"/>
      <c r="R1031" s="1"/>
      <c r="S1031" s="1"/>
      <c r="T1031" s="1"/>
      <c r="U1031" s="4"/>
    </row>
    <row r="1032" spans="1:21" s="508" customFormat="1" ht="16.5" hidden="1" customHeight="1" thickBot="1">
      <c r="A1032" s="56" t="s">
        <v>48</v>
      </c>
      <c r="B1032" s="57" t="s">
        <v>49</v>
      </c>
      <c r="C1032" s="58">
        <f>ROUND(F1030/10000,0)</f>
        <v>0</v>
      </c>
      <c r="D1032" s="57" t="s">
        <v>50</v>
      </c>
      <c r="E1032" s="52">
        <v>0</v>
      </c>
      <c r="F1032" s="86"/>
      <c r="G1032" s="87"/>
      <c r="H1032" s="52"/>
      <c r="I1032" s="510"/>
      <c r="J1032" s="61"/>
      <c r="K1032" s="510"/>
      <c r="L1032" s="62"/>
      <c r="M1032" s="63"/>
      <c r="N1032" s="64"/>
      <c r="O1032" s="1"/>
      <c r="P1032" s="73"/>
      <c r="Q1032" s="1"/>
      <c r="R1032" s="1"/>
      <c r="S1032" s="1"/>
      <c r="T1032" s="1"/>
      <c r="U1032" s="4"/>
    </row>
    <row r="1033" spans="1:21" s="508" customFormat="1" ht="18.75" hidden="1" customHeight="1" thickBot="1">
      <c r="A1033" s="566" t="s">
        <v>52</v>
      </c>
      <c r="B1033" s="567"/>
      <c r="C1033" s="567"/>
      <c r="D1033" s="568"/>
      <c r="E1033" s="65"/>
      <c r="F1033" s="569" t="s">
        <v>53</v>
      </c>
      <c r="G1033" s="568"/>
      <c r="H1033" s="66">
        <f>H1030-J1031</f>
        <v>0</v>
      </c>
      <c r="I1033" s="67">
        <f>H1033*3.3%</f>
        <v>0</v>
      </c>
      <c r="J1033" s="68">
        <f>SUM(J1030)</f>
        <v>0</v>
      </c>
      <c r="K1033" s="69">
        <v>0</v>
      </c>
      <c r="L1033" s="70">
        <f>L1030+SUM(H1031:H1032)+J1032</f>
        <v>0</v>
      </c>
      <c r="M1033" s="570">
        <f>K1033+L1033</f>
        <v>0</v>
      </c>
      <c r="N1033" s="571"/>
      <c r="O1033" s="1"/>
      <c r="P1033" s="3"/>
      <c r="Q1033" s="1"/>
      <c r="R1033" s="1"/>
      <c r="S1033" s="1"/>
      <c r="T1033" s="1"/>
      <c r="U1033" s="4"/>
    </row>
    <row r="1034" spans="1:21" s="508" customFormat="1" ht="18.75" customHeight="1">
      <c r="A1034" s="1"/>
      <c r="B1034" s="1"/>
      <c r="C1034" s="1"/>
      <c r="D1034" s="1"/>
      <c r="E1034" s="1"/>
      <c r="F1034" s="1"/>
      <c r="G1034" s="1"/>
      <c r="H1034" s="141"/>
      <c r="I1034" s="1"/>
      <c r="J1034" s="1"/>
      <c r="K1034" s="1"/>
      <c r="L1034" s="1"/>
      <c r="M1034" s="1"/>
      <c r="N1034" s="1"/>
      <c r="O1034" s="1"/>
      <c r="P1034" s="3"/>
      <c r="Q1034" s="1"/>
      <c r="R1034" s="1"/>
      <c r="S1034" s="1"/>
      <c r="T1034" s="1"/>
      <c r="U1034" s="4"/>
    </row>
    <row r="1035" spans="1:21" s="263" customFormat="1" ht="16.5" hidden="1" customHeight="1">
      <c r="A1035" s="1"/>
      <c r="B1035" s="1"/>
      <c r="C1035" s="1"/>
      <c r="D1035" s="1"/>
      <c r="E1035" s="1"/>
      <c r="F1035" s="1"/>
      <c r="G1035" s="1"/>
      <c r="H1035" s="141"/>
      <c r="I1035" s="1"/>
      <c r="J1035" s="1"/>
      <c r="K1035" s="1"/>
      <c r="L1035" s="1"/>
      <c r="M1035" s="1"/>
      <c r="N1035" s="1"/>
      <c r="O1035" s="1"/>
      <c r="P1035" s="3"/>
      <c r="Q1035" s="1"/>
      <c r="R1035" s="1"/>
      <c r="S1035" s="1"/>
      <c r="T1035" s="1"/>
      <c r="U1035" s="4"/>
    </row>
    <row r="1036" spans="1:21" ht="18.75" customHeight="1">
      <c r="A1036" s="1"/>
      <c r="B1036" s="1"/>
      <c r="C1036" s="1"/>
      <c r="D1036" s="1"/>
      <c r="E1036" s="1"/>
      <c r="F1036" s="10" t="s">
        <v>667</v>
      </c>
      <c r="G1036" s="1"/>
      <c r="H1036" s="141">
        <v>1</v>
      </c>
      <c r="I1036" s="1"/>
      <c r="J1036" s="1"/>
      <c r="K1036" s="1"/>
      <c r="L1036" s="1"/>
      <c r="M1036" s="1"/>
      <c r="N1036" s="1"/>
      <c r="O1036" s="1"/>
      <c r="P1036" s="3"/>
      <c r="Q1036" s="1"/>
      <c r="R1036" s="1"/>
      <c r="S1036" s="1"/>
      <c r="T1036" s="1"/>
      <c r="U1036" s="4"/>
    </row>
    <row r="1037" spans="1:21" ht="18.75" customHeight="1">
      <c r="A1037" s="6" t="s">
        <v>129</v>
      </c>
      <c r="B1037" s="7" t="str">
        <f>$B$34</f>
        <v>1월</v>
      </c>
      <c r="C1037" s="8" t="s">
        <v>1</v>
      </c>
      <c r="D1037" s="9">
        <f>COUNTIF($C1039:$C1061,"계약")+(COUNTIF($C1039:$C1061,"계약2")*2)</f>
        <v>5</v>
      </c>
      <c r="E1037" s="3">
        <f>COUNTIF(C1039:C1061,"낙찰수수료")</f>
        <v>0</v>
      </c>
      <c r="F1037" s="10" t="s">
        <v>564</v>
      </c>
      <c r="G1037" s="1" t="s">
        <v>130</v>
      </c>
      <c r="H1037" s="11">
        <v>0.5</v>
      </c>
      <c r="I1037" s="12">
        <v>3.3000000000000002E-2</v>
      </c>
      <c r="J1037" s="1"/>
      <c r="K1037" s="1"/>
      <c r="L1037" s="1"/>
      <c r="M1037" s="1"/>
      <c r="N1037" s="1"/>
      <c r="O1037" s="1"/>
      <c r="P1037" s="3"/>
      <c r="Q1037" s="1"/>
      <c r="R1037" s="1"/>
      <c r="S1037" s="1"/>
      <c r="T1037" s="1"/>
      <c r="U1037" s="4"/>
    </row>
    <row r="1038" spans="1:21" ht="18.75" customHeight="1">
      <c r="A1038" s="13" t="s">
        <v>3</v>
      </c>
      <c r="B1038" s="14" t="s">
        <v>4</v>
      </c>
      <c r="C1038" s="14" t="s">
        <v>5</v>
      </c>
      <c r="D1038" s="101" t="s">
        <v>6</v>
      </c>
      <c r="E1038" s="16" t="s">
        <v>7</v>
      </c>
      <c r="F1038" s="17" t="s">
        <v>8</v>
      </c>
      <c r="G1038" s="14" t="s">
        <v>9</v>
      </c>
      <c r="H1038" s="15" t="s">
        <v>10</v>
      </c>
      <c r="I1038" s="14" t="s">
        <v>11</v>
      </c>
      <c r="J1038" s="15" t="s">
        <v>12</v>
      </c>
      <c r="K1038" s="14" t="s">
        <v>13</v>
      </c>
      <c r="L1038" s="14" t="s">
        <v>14</v>
      </c>
      <c r="M1038" s="579" t="s">
        <v>15</v>
      </c>
      <c r="N1038" s="577"/>
      <c r="O1038" s="1"/>
      <c r="P1038" s="3"/>
      <c r="Q1038" s="73"/>
      <c r="R1038" s="1"/>
      <c r="S1038" s="1"/>
      <c r="T1038" s="1"/>
      <c r="U1038" s="4"/>
    </row>
    <row r="1039" spans="1:21" ht="18.75" customHeight="1">
      <c r="A1039" s="28">
        <v>46031</v>
      </c>
      <c r="B1039" s="29" t="s">
        <v>617</v>
      </c>
      <c r="C1039" s="30" t="s">
        <v>618</v>
      </c>
      <c r="D1039" s="38"/>
      <c r="E1039" s="27">
        <v>550000</v>
      </c>
      <c r="F1039" s="31">
        <f t="shared" ref="F1039:F1055" si="535">IF(D1039="no",E1039,E1039/1.1)</f>
        <v>499999.99999999994</v>
      </c>
      <c r="G1039" s="27">
        <f t="shared" ref="G1039:G1055" si="536">IF(D1039="no",0,F1039*0.1)</f>
        <v>50000</v>
      </c>
      <c r="H1039" s="32">
        <f t="shared" ref="H1039:H1053" si="537">IF(D1039="no",0,F1039*$H$1037)</f>
        <v>249999.99999999997</v>
      </c>
      <c r="I1039" s="33">
        <f t="shared" ref="I1039:I1060" si="538">IF(D1039="no",0,H1039*3.3%)</f>
        <v>8250</v>
      </c>
      <c r="J1039" s="26"/>
      <c r="K1039" s="27">
        <f t="shared" ref="K1039:K1061" si="539">IF(D1039="no",0,H1039-I1039-J1039)</f>
        <v>241749.99999999997</v>
      </c>
      <c r="L1039" s="40">
        <f>IF(D1039="no",F1039*H1037-J1039,0)</f>
        <v>0</v>
      </c>
      <c r="M1039" s="582"/>
      <c r="N1039" s="581"/>
      <c r="O1039" s="1"/>
      <c r="P1039" s="3"/>
      <c r="Q1039" s="1"/>
      <c r="R1039" s="1"/>
      <c r="S1039" s="1"/>
      <c r="T1039" s="1"/>
      <c r="U1039" s="4"/>
    </row>
    <row r="1040" spans="1:21" s="408" customFormat="1" ht="18.75" customHeight="1">
      <c r="A1040" s="28">
        <v>46035</v>
      </c>
      <c r="B1040" s="29" t="s">
        <v>619</v>
      </c>
      <c r="C1040" s="30" t="s">
        <v>618</v>
      </c>
      <c r="D1040" s="409"/>
      <c r="E1040" s="27">
        <v>550000</v>
      </c>
      <c r="F1040" s="31">
        <f t="shared" si="535"/>
        <v>499999.99999999994</v>
      </c>
      <c r="G1040" s="27">
        <f t="shared" si="536"/>
        <v>50000</v>
      </c>
      <c r="H1040" s="32">
        <f t="shared" si="537"/>
        <v>249999.99999999997</v>
      </c>
      <c r="I1040" s="33">
        <f t="shared" si="538"/>
        <v>8250</v>
      </c>
      <c r="J1040" s="26"/>
      <c r="K1040" s="27">
        <f t="shared" si="539"/>
        <v>241749.99999999997</v>
      </c>
      <c r="L1040" s="40"/>
      <c r="M1040" s="578"/>
      <c r="N1040" s="592"/>
      <c r="O1040" s="1"/>
      <c r="P1040" s="3"/>
      <c r="Q1040" s="1"/>
      <c r="R1040" s="1"/>
      <c r="S1040" s="1"/>
      <c r="T1040" s="1"/>
      <c r="U1040" s="4"/>
    </row>
    <row r="1041" spans="1:22" ht="18.75" customHeight="1">
      <c r="A1041" s="28">
        <v>46036</v>
      </c>
      <c r="B1041" s="29" t="s">
        <v>620</v>
      </c>
      <c r="C1041" s="30" t="s">
        <v>621</v>
      </c>
      <c r="D1041" s="95"/>
      <c r="E1041" s="27">
        <v>1100000</v>
      </c>
      <c r="F1041" s="31">
        <f t="shared" si="535"/>
        <v>999999.99999999988</v>
      </c>
      <c r="G1041" s="27">
        <f t="shared" si="536"/>
        <v>100000</v>
      </c>
      <c r="H1041" s="32">
        <f t="shared" si="537"/>
        <v>499999.99999999994</v>
      </c>
      <c r="I1041" s="33">
        <f t="shared" si="538"/>
        <v>16500</v>
      </c>
      <c r="J1041" s="26"/>
      <c r="K1041" s="27">
        <f t="shared" si="539"/>
        <v>483499.99999999994</v>
      </c>
      <c r="L1041" s="40">
        <f>IF(D1041="no",F1041*H1037-J1041,0)</f>
        <v>0</v>
      </c>
      <c r="M1041" s="572"/>
      <c r="N1041" s="564"/>
      <c r="O1041" s="1"/>
      <c r="P1041" s="3"/>
      <c r="Q1041" s="1"/>
      <c r="R1041" s="1"/>
      <c r="S1041" s="1"/>
      <c r="T1041" s="1"/>
      <c r="U1041" s="4"/>
    </row>
    <row r="1042" spans="1:22" s="408" customFormat="1" ht="18.75" customHeight="1">
      <c r="A1042" s="28">
        <v>46045</v>
      </c>
      <c r="B1042" s="29" t="s">
        <v>622</v>
      </c>
      <c r="C1042" s="30" t="s">
        <v>623</v>
      </c>
      <c r="D1042" s="518"/>
      <c r="E1042" s="27">
        <v>110000</v>
      </c>
      <c r="F1042" s="31">
        <f t="shared" si="535"/>
        <v>99999.999999999985</v>
      </c>
      <c r="G1042" s="27">
        <f t="shared" si="536"/>
        <v>10000</v>
      </c>
      <c r="H1042" s="32">
        <f t="shared" si="537"/>
        <v>49999.999999999993</v>
      </c>
      <c r="I1042" s="33">
        <f t="shared" si="538"/>
        <v>1649.9999999999998</v>
      </c>
      <c r="J1042" s="26"/>
      <c r="K1042" s="27">
        <f t="shared" si="539"/>
        <v>48349.999999999993</v>
      </c>
      <c r="L1042" s="40">
        <f>IF(D1042="no",F1042*H1037-J1042,0)</f>
        <v>0</v>
      </c>
      <c r="M1042" s="641"/>
      <c r="N1042" s="642"/>
      <c r="O1042" s="1"/>
      <c r="P1042" s="3"/>
      <c r="Q1042" s="1"/>
      <c r="R1042" s="1"/>
      <c r="S1042" s="1"/>
      <c r="T1042" s="1"/>
      <c r="U1042" s="4"/>
      <c r="V1042" s="5"/>
    </row>
    <row r="1043" spans="1:22" s="408" customFormat="1" ht="18.75" customHeight="1">
      <c r="A1043" s="28">
        <v>46045</v>
      </c>
      <c r="B1043" s="29" t="s">
        <v>624</v>
      </c>
      <c r="C1043" s="30" t="s">
        <v>618</v>
      </c>
      <c r="D1043" s="519"/>
      <c r="E1043" s="27">
        <v>550000</v>
      </c>
      <c r="F1043" s="31">
        <f t="shared" si="535"/>
        <v>499999.99999999994</v>
      </c>
      <c r="G1043" s="27">
        <f t="shared" si="536"/>
        <v>50000</v>
      </c>
      <c r="H1043" s="32">
        <f t="shared" si="537"/>
        <v>249999.99999999997</v>
      </c>
      <c r="I1043" s="33">
        <f t="shared" si="538"/>
        <v>8250</v>
      </c>
      <c r="J1043" s="26"/>
      <c r="K1043" s="27">
        <f t="shared" si="539"/>
        <v>241749.99999999997</v>
      </c>
      <c r="L1043" s="40">
        <f>IF(D1043="no",F1043*H1037-J1043,0)</f>
        <v>0</v>
      </c>
      <c r="M1043" s="565"/>
      <c r="N1043" s="643"/>
      <c r="O1043" s="1"/>
      <c r="P1043" s="3"/>
      <c r="Q1043" s="1"/>
      <c r="R1043" s="1"/>
      <c r="S1043" s="1"/>
      <c r="T1043" s="1"/>
      <c r="U1043" s="4"/>
      <c r="V1043" s="5"/>
    </row>
    <row r="1044" spans="1:22" s="408" customFormat="1" ht="18.75" customHeight="1">
      <c r="A1044" s="28">
        <v>46050</v>
      </c>
      <c r="B1044" s="29" t="s">
        <v>625</v>
      </c>
      <c r="C1044" s="30" t="s">
        <v>618</v>
      </c>
      <c r="D1044" s="409"/>
      <c r="E1044" s="27">
        <v>1100000</v>
      </c>
      <c r="F1044" s="31">
        <f t="shared" si="535"/>
        <v>999999.99999999988</v>
      </c>
      <c r="G1044" s="27">
        <f t="shared" si="536"/>
        <v>100000</v>
      </c>
      <c r="H1044" s="32">
        <f t="shared" si="537"/>
        <v>499999.99999999994</v>
      </c>
      <c r="I1044" s="33">
        <f t="shared" si="538"/>
        <v>16500</v>
      </c>
      <c r="J1044" s="26"/>
      <c r="K1044" s="27">
        <f t="shared" si="539"/>
        <v>483499.99999999994</v>
      </c>
      <c r="L1044" s="40">
        <f>IF(D1044="no",F1044*H1038-J1044,0)</f>
        <v>0</v>
      </c>
      <c r="M1044" s="563"/>
      <c r="N1044" s="644"/>
      <c r="O1044" s="1"/>
      <c r="P1044" s="3"/>
      <c r="Q1044" s="1"/>
      <c r="R1044" s="1"/>
      <c r="S1044" s="1"/>
      <c r="T1044" s="1"/>
      <c r="U1044" s="4"/>
      <c r="V1044" s="5"/>
    </row>
    <row r="1045" spans="1:22" ht="18.75" customHeight="1">
      <c r="A1045" s="28"/>
      <c r="B1045" s="29"/>
      <c r="C1045" s="30"/>
      <c r="D1045" s="38"/>
      <c r="E1045" s="27"/>
      <c r="F1045" s="31">
        <f t="shared" si="535"/>
        <v>0</v>
      </c>
      <c r="G1045" s="27">
        <f t="shared" si="536"/>
        <v>0</v>
      </c>
      <c r="H1045" s="32">
        <f t="shared" si="537"/>
        <v>0</v>
      </c>
      <c r="I1045" s="33">
        <f t="shared" si="538"/>
        <v>0</v>
      </c>
      <c r="J1045" s="26"/>
      <c r="K1045" s="27">
        <f t="shared" si="539"/>
        <v>0</v>
      </c>
      <c r="L1045" s="40">
        <f>IF(D1045="no",F1045*H1037-J1045,0)</f>
        <v>0</v>
      </c>
      <c r="M1045" s="608"/>
      <c r="N1045" s="564"/>
      <c r="O1045" s="1"/>
      <c r="P1045" s="3"/>
      <c r="Q1045" s="1"/>
      <c r="R1045" s="1"/>
      <c r="S1045" s="1"/>
      <c r="T1045" s="1"/>
      <c r="U1045" s="4"/>
    </row>
    <row r="1046" spans="1:22" ht="18.75" hidden="1" customHeight="1">
      <c r="A1046" s="28"/>
      <c r="B1046" s="29"/>
      <c r="C1046" s="29"/>
      <c r="D1046" s="38"/>
      <c r="E1046" s="27"/>
      <c r="F1046" s="31">
        <f t="shared" si="535"/>
        <v>0</v>
      </c>
      <c r="G1046" s="27">
        <f t="shared" si="536"/>
        <v>0</v>
      </c>
      <c r="H1046" s="32">
        <f t="shared" si="537"/>
        <v>0</v>
      </c>
      <c r="I1046" s="33">
        <f t="shared" si="538"/>
        <v>0</v>
      </c>
      <c r="J1046" s="26"/>
      <c r="K1046" s="27">
        <f t="shared" si="539"/>
        <v>0</v>
      </c>
      <c r="L1046" s="40">
        <f>IF(D1046="no",F1046*H1037-J1046,0)</f>
        <v>0</v>
      </c>
      <c r="M1046" s="563"/>
      <c r="N1046" s="564"/>
      <c r="O1046" s="1"/>
      <c r="P1046" s="3"/>
      <c r="Q1046" s="1"/>
      <c r="R1046" s="1"/>
      <c r="S1046" s="1"/>
      <c r="T1046" s="1"/>
      <c r="U1046" s="4"/>
    </row>
    <row r="1047" spans="1:22" ht="18.75" hidden="1" customHeight="1">
      <c r="A1047" s="28"/>
      <c r="B1047" s="29"/>
      <c r="C1047" s="30"/>
      <c r="D1047" s="21"/>
      <c r="E1047" s="27"/>
      <c r="F1047" s="31">
        <f t="shared" si="535"/>
        <v>0</v>
      </c>
      <c r="G1047" s="27">
        <f t="shared" si="536"/>
        <v>0</v>
      </c>
      <c r="H1047" s="32">
        <f t="shared" si="537"/>
        <v>0</v>
      </c>
      <c r="I1047" s="33">
        <f t="shared" si="538"/>
        <v>0</v>
      </c>
      <c r="J1047" s="26"/>
      <c r="K1047" s="27">
        <f t="shared" si="539"/>
        <v>0</v>
      </c>
      <c r="L1047" s="40"/>
      <c r="M1047" s="608"/>
      <c r="N1047" s="564"/>
      <c r="O1047" s="1"/>
      <c r="P1047" s="3"/>
      <c r="Q1047" s="1"/>
      <c r="R1047" s="1"/>
      <c r="S1047" s="1"/>
      <c r="T1047" s="1"/>
      <c r="U1047" s="4"/>
    </row>
    <row r="1048" spans="1:22" ht="18.75" hidden="1" customHeight="1">
      <c r="A1048" s="28"/>
      <c r="B1048" s="29"/>
      <c r="C1048" s="30"/>
      <c r="D1048" s="21"/>
      <c r="E1048" s="27"/>
      <c r="F1048" s="31">
        <f t="shared" si="535"/>
        <v>0</v>
      </c>
      <c r="G1048" s="27">
        <f t="shared" si="536"/>
        <v>0</v>
      </c>
      <c r="H1048" s="32">
        <f t="shared" si="537"/>
        <v>0</v>
      </c>
      <c r="I1048" s="33">
        <f t="shared" si="538"/>
        <v>0</v>
      </c>
      <c r="J1048" s="26"/>
      <c r="K1048" s="27">
        <f t="shared" si="539"/>
        <v>0</v>
      </c>
      <c r="L1048" s="40">
        <f>IF(D1048="no",F1048*H1037-J1048,0)</f>
        <v>0</v>
      </c>
      <c r="M1048" s="608"/>
      <c r="N1048" s="564"/>
      <c r="O1048" s="1"/>
      <c r="P1048" s="3"/>
      <c r="Q1048" s="1"/>
      <c r="R1048" s="1"/>
      <c r="S1048" s="1"/>
      <c r="T1048" s="1"/>
      <c r="U1048" s="4"/>
    </row>
    <row r="1049" spans="1:22" ht="18.75" hidden="1" customHeight="1">
      <c r="A1049" s="28"/>
      <c r="B1049" s="29"/>
      <c r="C1049" s="30"/>
      <c r="D1049" s="21"/>
      <c r="E1049" s="27"/>
      <c r="F1049" s="31">
        <f t="shared" si="535"/>
        <v>0</v>
      </c>
      <c r="G1049" s="27">
        <f t="shared" si="536"/>
        <v>0</v>
      </c>
      <c r="H1049" s="32">
        <f t="shared" si="537"/>
        <v>0</v>
      </c>
      <c r="I1049" s="33">
        <f t="shared" si="538"/>
        <v>0</v>
      </c>
      <c r="J1049" s="26"/>
      <c r="K1049" s="27">
        <f t="shared" si="539"/>
        <v>0</v>
      </c>
      <c r="L1049" s="40">
        <f>IF(D1049="no",F1049*H1038-J1049,0)</f>
        <v>0</v>
      </c>
      <c r="M1049" s="563"/>
      <c r="N1049" s="564"/>
      <c r="O1049" s="1"/>
      <c r="P1049" s="3"/>
      <c r="Q1049" s="1"/>
      <c r="R1049" s="1"/>
      <c r="S1049" s="1"/>
      <c r="T1049" s="1"/>
      <c r="U1049" s="4"/>
    </row>
    <row r="1050" spans="1:22" ht="18.75" hidden="1" customHeight="1">
      <c r="A1050" s="39"/>
      <c r="B1050" s="29"/>
      <c r="C1050" s="30"/>
      <c r="D1050" s="21"/>
      <c r="E1050" s="27"/>
      <c r="F1050" s="31">
        <f t="shared" si="535"/>
        <v>0</v>
      </c>
      <c r="G1050" s="27">
        <f t="shared" si="536"/>
        <v>0</v>
      </c>
      <c r="H1050" s="32">
        <f t="shared" si="537"/>
        <v>0</v>
      </c>
      <c r="I1050" s="33">
        <f t="shared" si="538"/>
        <v>0</v>
      </c>
      <c r="J1050" s="26"/>
      <c r="K1050" s="27">
        <f t="shared" si="539"/>
        <v>0</v>
      </c>
      <c r="L1050" s="40">
        <f>IF(D1050="no",F1050*H1039-J1050,0)</f>
        <v>0</v>
      </c>
      <c r="M1050" s="563"/>
      <c r="N1050" s="564"/>
      <c r="O1050" s="1"/>
      <c r="P1050" s="3"/>
      <c r="Q1050" s="1"/>
      <c r="R1050" s="1"/>
      <c r="S1050" s="1"/>
      <c r="T1050" s="1"/>
      <c r="U1050" s="4"/>
    </row>
    <row r="1051" spans="1:22" ht="18.75" hidden="1" customHeight="1">
      <c r="A1051" s="28"/>
      <c r="B1051" s="29"/>
      <c r="C1051" s="30"/>
      <c r="D1051" s="21"/>
      <c r="E1051" s="27"/>
      <c r="F1051" s="31">
        <f t="shared" si="535"/>
        <v>0</v>
      </c>
      <c r="G1051" s="27">
        <f t="shared" si="536"/>
        <v>0</v>
      </c>
      <c r="H1051" s="32">
        <f t="shared" si="537"/>
        <v>0</v>
      </c>
      <c r="I1051" s="33">
        <f t="shared" si="538"/>
        <v>0</v>
      </c>
      <c r="J1051" s="26"/>
      <c r="K1051" s="27">
        <f t="shared" si="539"/>
        <v>0</v>
      </c>
      <c r="L1051" s="40"/>
      <c r="M1051" s="94"/>
      <c r="N1051" s="95"/>
      <c r="O1051" s="1"/>
      <c r="P1051" s="3"/>
      <c r="Q1051" s="1"/>
      <c r="R1051" s="1"/>
      <c r="S1051" s="1"/>
      <c r="T1051" s="1"/>
      <c r="U1051" s="4"/>
    </row>
    <row r="1052" spans="1:22" ht="18.75" hidden="1" customHeight="1">
      <c r="A1052" s="28"/>
      <c r="B1052" s="29"/>
      <c r="C1052" s="30"/>
      <c r="D1052" s="21"/>
      <c r="E1052" s="27"/>
      <c r="F1052" s="31">
        <f t="shared" si="535"/>
        <v>0</v>
      </c>
      <c r="G1052" s="27">
        <f t="shared" si="536"/>
        <v>0</v>
      </c>
      <c r="H1052" s="32">
        <f t="shared" si="537"/>
        <v>0</v>
      </c>
      <c r="I1052" s="33">
        <f t="shared" si="538"/>
        <v>0</v>
      </c>
      <c r="J1052" s="26"/>
      <c r="K1052" s="27">
        <f t="shared" si="539"/>
        <v>0</v>
      </c>
      <c r="L1052" s="40">
        <f>IF(D1052="no",F1052*H1042-J1052,0)</f>
        <v>0</v>
      </c>
      <c r="M1052" s="572"/>
      <c r="N1052" s="564"/>
      <c r="O1052" s="1"/>
      <c r="P1052" s="3"/>
      <c r="Q1052" s="1"/>
      <c r="R1052" s="1"/>
      <c r="S1052" s="1"/>
      <c r="T1052" s="1"/>
      <c r="U1052" s="4"/>
    </row>
    <row r="1053" spans="1:22" ht="18.75" hidden="1" customHeight="1">
      <c r="A1053" s="28"/>
      <c r="B1053" s="29"/>
      <c r="C1053" s="30"/>
      <c r="D1053" s="21"/>
      <c r="E1053" s="27"/>
      <c r="F1053" s="31">
        <f t="shared" si="535"/>
        <v>0</v>
      </c>
      <c r="G1053" s="27">
        <f t="shared" si="536"/>
        <v>0</v>
      </c>
      <c r="H1053" s="32">
        <f t="shared" si="537"/>
        <v>0</v>
      </c>
      <c r="I1053" s="33">
        <f t="shared" si="538"/>
        <v>0</v>
      </c>
      <c r="J1053" s="26"/>
      <c r="K1053" s="27">
        <f t="shared" si="539"/>
        <v>0</v>
      </c>
      <c r="L1053" s="40"/>
      <c r="M1053" s="94"/>
      <c r="N1053" s="95"/>
      <c r="O1053" s="1"/>
      <c r="P1053" s="3"/>
      <c r="Q1053" s="1"/>
      <c r="R1053" s="1"/>
      <c r="S1053" s="1"/>
      <c r="T1053" s="1"/>
      <c r="U1053" s="4"/>
    </row>
    <row r="1054" spans="1:22" ht="18.75" hidden="1" customHeight="1">
      <c r="A1054" s="28"/>
      <c r="B1054" s="29"/>
      <c r="C1054" s="30"/>
      <c r="D1054" s="21"/>
      <c r="E1054" s="27"/>
      <c r="F1054" s="31">
        <f t="shared" si="535"/>
        <v>0</v>
      </c>
      <c r="G1054" s="27">
        <f t="shared" si="536"/>
        <v>0</v>
      </c>
      <c r="H1054" s="32">
        <f>IF(D1054="no",0,F1054*H1037)</f>
        <v>0</v>
      </c>
      <c r="I1054" s="33">
        <f t="shared" si="538"/>
        <v>0</v>
      </c>
      <c r="J1054" s="26"/>
      <c r="K1054" s="27">
        <f t="shared" si="539"/>
        <v>0</v>
      </c>
      <c r="L1054" s="40">
        <f>IF(D1054="no",F1054*H1043-J1054,0)</f>
        <v>0</v>
      </c>
      <c r="M1054" s="94"/>
      <c r="N1054" s="95"/>
      <c r="O1054" s="1"/>
      <c r="P1054" s="3"/>
      <c r="Q1054" s="1"/>
      <c r="R1054" s="1"/>
      <c r="S1054" s="1"/>
      <c r="T1054" s="1"/>
      <c r="U1054" s="4"/>
    </row>
    <row r="1055" spans="1:22" ht="18.75" hidden="1" customHeight="1">
      <c r="A1055" s="39"/>
      <c r="B1055" s="29"/>
      <c r="C1055" s="30"/>
      <c r="D1055" s="21"/>
      <c r="E1055" s="27"/>
      <c r="F1055" s="31">
        <f t="shared" si="535"/>
        <v>0</v>
      </c>
      <c r="G1055" s="27">
        <f t="shared" si="536"/>
        <v>0</v>
      </c>
      <c r="H1055" s="32">
        <f>IF(D1055="no",0,F1055*H1037)</f>
        <v>0</v>
      </c>
      <c r="I1055" s="33">
        <f t="shared" si="538"/>
        <v>0</v>
      </c>
      <c r="J1055" s="26"/>
      <c r="K1055" s="27">
        <f t="shared" si="539"/>
        <v>0</v>
      </c>
      <c r="L1055" s="40">
        <f>IF(D1055="no",F1055*H1037-J1055,0)</f>
        <v>0</v>
      </c>
      <c r="M1055" s="94"/>
      <c r="N1055" s="95"/>
      <c r="O1055" s="1"/>
      <c r="P1055" s="3"/>
      <c r="Q1055" s="1"/>
      <c r="R1055" s="1"/>
      <c r="S1055" s="1"/>
      <c r="T1055" s="1"/>
      <c r="U1055" s="4"/>
    </row>
    <row r="1056" spans="1:22" ht="18.75" customHeight="1">
      <c r="A1056" s="39" t="s">
        <v>616</v>
      </c>
      <c r="B1056" s="29" t="s">
        <v>417</v>
      </c>
      <c r="C1056" s="30"/>
      <c r="D1056" s="21"/>
      <c r="E1056" s="27"/>
      <c r="F1056" s="31">
        <f t="shared" ref="F1056:F1058" si="540">IF(D1056="no",E1056,E1056/1.1)</f>
        <v>0</v>
      </c>
      <c r="G1056" s="27">
        <f t="shared" ref="G1056:G1058" si="541">IF(D1056="no",0,F1056*0.1)</f>
        <v>0</v>
      </c>
      <c r="H1056" s="32">
        <v>0</v>
      </c>
      <c r="I1056" s="33">
        <f t="shared" ref="I1056:I1058" si="542">IF(D1056="no",0,H1056*3.3%)</f>
        <v>0</v>
      </c>
      <c r="J1056" s="26">
        <v>0</v>
      </c>
      <c r="K1056" s="27">
        <f t="shared" si="539"/>
        <v>0</v>
      </c>
      <c r="L1056" s="40">
        <f>IF(D1056="no",F1056*H1037-J1056,0)</f>
        <v>0</v>
      </c>
      <c r="M1056" s="572"/>
      <c r="N1056" s="564"/>
      <c r="O1056" s="1"/>
      <c r="P1056" s="3"/>
      <c r="Q1056" s="1"/>
      <c r="R1056" s="1"/>
      <c r="S1056" s="1"/>
      <c r="T1056" s="1"/>
      <c r="U1056" s="4"/>
    </row>
    <row r="1057" spans="1:21" ht="18.75" customHeight="1">
      <c r="A1057" s="39" t="s">
        <v>616</v>
      </c>
      <c r="B1057" s="29" t="s">
        <v>77</v>
      </c>
      <c r="C1057" s="30"/>
      <c r="D1057" s="21"/>
      <c r="E1057" s="27"/>
      <c r="F1057" s="31">
        <f t="shared" si="540"/>
        <v>0</v>
      </c>
      <c r="G1057" s="27">
        <f t="shared" si="541"/>
        <v>0</v>
      </c>
      <c r="H1057" s="32">
        <f>IF(D1057="no",0,F1057*H1044)</f>
        <v>0</v>
      </c>
      <c r="I1057" s="33">
        <f t="shared" si="542"/>
        <v>0</v>
      </c>
      <c r="J1057" s="26"/>
      <c r="K1057" s="27">
        <f t="shared" si="539"/>
        <v>0</v>
      </c>
      <c r="L1057" s="40">
        <f>IF(D1057="no",F1057*H1046-J1057,0)</f>
        <v>0</v>
      </c>
      <c r="M1057" s="563"/>
      <c r="N1057" s="564"/>
      <c r="O1057" s="1"/>
      <c r="P1057" s="3"/>
      <c r="Q1057" s="1"/>
      <c r="R1057" s="1"/>
      <c r="S1057" s="1"/>
      <c r="T1057" s="1"/>
      <c r="U1057" s="4"/>
    </row>
    <row r="1058" spans="1:21" ht="18.75" customHeight="1">
      <c r="A1058" s="39" t="s">
        <v>616</v>
      </c>
      <c r="B1058" s="29" t="s">
        <v>35</v>
      </c>
      <c r="C1058" s="30"/>
      <c r="D1058" s="21"/>
      <c r="E1058" s="27"/>
      <c r="F1058" s="31">
        <f t="shared" si="540"/>
        <v>0</v>
      </c>
      <c r="G1058" s="27">
        <f t="shared" si="541"/>
        <v>0</v>
      </c>
      <c r="H1058" s="32">
        <f>IF(D1058="no",0,F1058*H1045)</f>
        <v>0</v>
      </c>
      <c r="I1058" s="33">
        <f t="shared" si="542"/>
        <v>0</v>
      </c>
      <c r="J1058" s="93"/>
      <c r="K1058" s="27">
        <f t="shared" si="539"/>
        <v>0</v>
      </c>
      <c r="L1058" s="40">
        <f>IF(D1058="no",F1058*H1042-J1058,0)</f>
        <v>0</v>
      </c>
      <c r="M1058" s="578"/>
      <c r="N1058" s="564"/>
      <c r="O1058" s="1"/>
      <c r="P1058" s="3"/>
      <c r="Q1058" s="1"/>
      <c r="R1058" s="1"/>
      <c r="S1058" s="1"/>
      <c r="T1058" s="1"/>
      <c r="U1058" s="4"/>
    </row>
    <row r="1059" spans="1:21" ht="18.75" customHeight="1">
      <c r="A1059" s="39" t="s">
        <v>616</v>
      </c>
      <c r="B1059" s="29" t="s">
        <v>480</v>
      </c>
      <c r="C1059" s="30"/>
      <c r="D1059" s="21"/>
      <c r="E1059" s="27"/>
      <c r="F1059" s="31">
        <f t="shared" ref="F1059:F1061" si="543">IF(D1059="no",E1059,E1059/1.1)</f>
        <v>0</v>
      </c>
      <c r="G1059" s="27">
        <f t="shared" ref="G1059:G1061" si="544">IF(D1059="no",0,F1059*0.1)</f>
        <v>0</v>
      </c>
      <c r="H1059" s="37"/>
      <c r="I1059" s="33">
        <f t="shared" si="538"/>
        <v>0</v>
      </c>
      <c r="J1059" s="26"/>
      <c r="K1059" s="27">
        <f t="shared" si="539"/>
        <v>0</v>
      </c>
      <c r="L1059" s="40">
        <f>IF(D1059="no",F1059*H1038-J1059,0)</f>
        <v>0</v>
      </c>
      <c r="M1059" s="630"/>
      <c r="N1059" s="631"/>
      <c r="O1059" s="1"/>
      <c r="P1059" s="3"/>
      <c r="Q1059" s="146"/>
      <c r="R1059" s="146"/>
      <c r="S1059" s="1"/>
      <c r="T1059" s="1"/>
      <c r="U1059" s="4"/>
    </row>
    <row r="1060" spans="1:21" ht="18.75" customHeight="1">
      <c r="A1060" s="39" t="s">
        <v>616</v>
      </c>
      <c r="B1060" s="29" t="s">
        <v>39</v>
      </c>
      <c r="C1060" s="30"/>
      <c r="D1060" s="21"/>
      <c r="E1060" s="27"/>
      <c r="F1060" s="31">
        <f t="shared" si="543"/>
        <v>0</v>
      </c>
      <c r="G1060" s="27">
        <f t="shared" si="544"/>
        <v>0</v>
      </c>
      <c r="H1060" s="32"/>
      <c r="I1060" s="33">
        <f t="shared" si="538"/>
        <v>0</v>
      </c>
      <c r="J1060" s="26"/>
      <c r="K1060" s="27">
        <f t="shared" si="539"/>
        <v>0</v>
      </c>
      <c r="L1060" s="40">
        <f>IF(D1060="no",F1060*H1046-J1060,0)</f>
        <v>0</v>
      </c>
      <c r="M1060" s="621"/>
      <c r="N1060" s="629"/>
      <c r="O1060" s="1"/>
      <c r="P1060" s="3"/>
      <c r="Q1060" s="146"/>
      <c r="R1060" s="146"/>
      <c r="S1060" s="1"/>
      <c r="T1060" s="1"/>
      <c r="U1060" s="4"/>
    </row>
    <row r="1061" spans="1:21" ht="18.75" customHeight="1">
      <c r="A1061" s="39" t="s">
        <v>616</v>
      </c>
      <c r="B1061" s="29" t="s">
        <v>41</v>
      </c>
      <c r="C1061" s="30"/>
      <c r="D1061" s="21"/>
      <c r="E1061" s="27"/>
      <c r="F1061" s="31">
        <f t="shared" si="543"/>
        <v>0</v>
      </c>
      <c r="G1061" s="27">
        <f t="shared" si="544"/>
        <v>0</v>
      </c>
      <c r="H1061" s="32"/>
      <c r="I1061" s="33">
        <f t="shared" ref="I1061" si="545">IF(D1061="no",0,H1061*3.3%)</f>
        <v>0</v>
      </c>
      <c r="J1061" s="26"/>
      <c r="K1061" s="27">
        <f t="shared" si="539"/>
        <v>0</v>
      </c>
      <c r="L1061" s="40">
        <v>0</v>
      </c>
      <c r="M1061" s="632"/>
      <c r="N1061" s="633"/>
      <c r="O1061" s="1"/>
      <c r="P1061" s="3"/>
      <c r="Q1061" s="1"/>
      <c r="R1061" s="1"/>
      <c r="S1061" s="1"/>
      <c r="T1061" s="1"/>
      <c r="U1061" s="4"/>
    </row>
    <row r="1062" spans="1:21" ht="18.75" customHeight="1">
      <c r="A1062" s="575" t="s">
        <v>42</v>
      </c>
      <c r="B1062" s="576"/>
      <c r="C1062" s="576"/>
      <c r="D1062" s="577"/>
      <c r="E1062" s="42">
        <f t="shared" ref="E1062:J1062" si="546">SUM(E1039:E1061)</f>
        <v>3960000</v>
      </c>
      <c r="F1062" s="17">
        <f t="shared" si="546"/>
        <v>3599999.9999999995</v>
      </c>
      <c r="G1062" s="42">
        <f t="shared" si="546"/>
        <v>360000</v>
      </c>
      <c r="H1062" s="43">
        <f t="shared" si="546"/>
        <v>1799999.9999999998</v>
      </c>
      <c r="I1062" s="42">
        <f t="shared" si="546"/>
        <v>59400</v>
      </c>
      <c r="J1062" s="43">
        <f t="shared" si="546"/>
        <v>0</v>
      </c>
      <c r="K1062" s="42">
        <f>SUM(K1039:K1061)</f>
        <v>1740599.9999999998</v>
      </c>
      <c r="L1062" s="42">
        <v>0</v>
      </c>
      <c r="M1062" s="144"/>
      <c r="N1062" s="145"/>
      <c r="O1062" s="1"/>
      <c r="P1062" s="3"/>
      <c r="Q1062" s="1"/>
      <c r="R1062" s="1"/>
      <c r="S1062" s="1"/>
      <c r="T1062" s="1"/>
      <c r="U1062" s="4"/>
    </row>
    <row r="1063" spans="1:21" ht="18.75" customHeight="1">
      <c r="A1063" s="46" t="s">
        <v>37</v>
      </c>
      <c r="B1063" s="47" t="s">
        <v>43</v>
      </c>
      <c r="C1063" s="48">
        <f>D1037</f>
        <v>5</v>
      </c>
      <c r="D1063" s="47" t="s">
        <v>44</v>
      </c>
      <c r="E1063" s="49"/>
      <c r="F1063" s="50" t="s">
        <v>95</v>
      </c>
      <c r="G1063" s="60">
        <f>C1063+C1159+C1202+C1247+C1293+C1414+C1437+C1461+C1479</f>
        <v>23</v>
      </c>
      <c r="H1063" s="52"/>
      <c r="I1063" s="53" t="s">
        <v>46</v>
      </c>
      <c r="J1063" s="54">
        <v>86150</v>
      </c>
      <c r="K1063" s="59"/>
      <c r="L1063" s="62"/>
      <c r="M1063" s="63"/>
      <c r="N1063" s="64"/>
      <c r="O1063" s="1"/>
      <c r="P1063" s="3"/>
      <c r="Q1063" s="1"/>
      <c r="R1063" s="1"/>
      <c r="S1063" s="1"/>
      <c r="T1063" s="1"/>
      <c r="U1063" s="4"/>
    </row>
    <row r="1064" spans="1:21" ht="18.75" customHeight="1">
      <c r="A1064" s="147" t="s">
        <v>48</v>
      </c>
      <c r="B1064" s="57" t="s">
        <v>49</v>
      </c>
      <c r="C1064" s="76">
        <f>ROUND(F1062/10000,0)</f>
        <v>360</v>
      </c>
      <c r="D1064" s="57" t="s">
        <v>50</v>
      </c>
      <c r="E1064" s="52"/>
      <c r="F1064" s="59" t="s">
        <v>96</v>
      </c>
      <c r="G1064" s="60">
        <f>C1064+C1160+C1203+C1248+C1294+C1415+C1438+C1462</f>
        <v>3424</v>
      </c>
      <c r="H1064" s="52"/>
      <c r="I1064" s="63"/>
      <c r="J1064" s="77"/>
      <c r="K1064" s="59"/>
      <c r="L1064" s="62"/>
      <c r="M1064" s="63"/>
      <c r="N1064" s="64"/>
      <c r="O1064" s="1"/>
      <c r="P1064" s="3"/>
      <c r="Q1064" s="1"/>
      <c r="R1064" s="1"/>
      <c r="S1064" s="1"/>
      <c r="T1064" s="1"/>
      <c r="U1064" s="4"/>
    </row>
    <row r="1065" spans="1:21" ht="18.75" customHeight="1">
      <c r="A1065" s="75"/>
      <c r="B1065" s="57"/>
      <c r="C1065" s="76"/>
      <c r="D1065" s="57"/>
      <c r="E1065" s="52"/>
      <c r="F1065" s="59" t="s">
        <v>66</v>
      </c>
      <c r="G1065" s="60">
        <f>C1063+C1202+C1414</f>
        <v>10</v>
      </c>
      <c r="H1065" s="52"/>
      <c r="I1065" s="63"/>
      <c r="J1065" s="77"/>
      <c r="K1065" s="59"/>
      <c r="L1065" s="62"/>
      <c r="M1065" s="63"/>
      <c r="N1065" s="64"/>
      <c r="O1065" s="1"/>
      <c r="P1065" s="3"/>
      <c r="Q1065" s="1"/>
      <c r="R1065" s="1"/>
      <c r="S1065" s="1"/>
      <c r="T1065" s="1"/>
      <c r="U1065" s="4"/>
    </row>
    <row r="1066" spans="1:21" ht="18.75" customHeight="1" thickBot="1">
      <c r="A1066" s="56"/>
      <c r="B1066" s="57"/>
      <c r="C1066" s="58"/>
      <c r="D1066" s="57"/>
      <c r="E1066" s="52"/>
      <c r="F1066" s="59" t="s">
        <v>67</v>
      </c>
      <c r="G1066" s="60">
        <f>C1064+C1203+C1415</f>
        <v>825</v>
      </c>
      <c r="H1066" s="52"/>
      <c r="I1066" s="59"/>
      <c r="J1066" s="61"/>
      <c r="K1066" s="59"/>
      <c r="L1066" s="62"/>
      <c r="M1066" s="63"/>
      <c r="N1066" s="148"/>
      <c r="O1066" s="1"/>
      <c r="P1066" s="3"/>
      <c r="Q1066" s="1"/>
      <c r="R1066" s="1"/>
      <c r="S1066" s="1"/>
      <c r="T1066" s="1"/>
      <c r="U1066" s="4"/>
    </row>
    <row r="1067" spans="1:21" ht="18.75" customHeight="1" thickBot="1">
      <c r="A1067" s="566" t="s">
        <v>52</v>
      </c>
      <c r="B1067" s="567"/>
      <c r="C1067" s="567"/>
      <c r="D1067" s="568"/>
      <c r="E1067" s="65"/>
      <c r="F1067" s="569" t="s">
        <v>53</v>
      </c>
      <c r="G1067" s="568"/>
      <c r="H1067" s="66">
        <f>H1062-J1063</f>
        <v>1713849.9999999998</v>
      </c>
      <c r="I1067" s="67">
        <f>H1067*3.3%</f>
        <v>56557.049999999996</v>
      </c>
      <c r="J1067" s="68">
        <f>SUM(J1062)</f>
        <v>0</v>
      </c>
      <c r="K1067" s="69">
        <f>H1067-I1067-J1067</f>
        <v>1657292.9499999997</v>
      </c>
      <c r="L1067" s="70"/>
      <c r="M1067" s="570">
        <f>K1067</f>
        <v>1657292.9499999997</v>
      </c>
      <c r="N1067" s="571"/>
      <c r="O1067" s="1"/>
      <c r="P1067" s="3"/>
      <c r="Q1067" s="1"/>
      <c r="R1067" s="1"/>
      <c r="S1067" s="1"/>
      <c r="T1067" s="1"/>
      <c r="U1067" s="4"/>
    </row>
    <row r="1068" spans="1:21" ht="18.75" customHeight="1">
      <c r="A1068" s="1"/>
      <c r="B1068" s="1"/>
      <c r="C1068" s="1"/>
      <c r="D1068" s="1"/>
      <c r="E1068" s="1"/>
      <c r="F1068" s="1"/>
      <c r="G1068" s="1"/>
      <c r="H1068" s="141">
        <v>1</v>
      </c>
      <c r="I1068" s="1"/>
      <c r="J1068" s="1"/>
      <c r="K1068" s="1"/>
      <c r="L1068" s="1"/>
      <c r="M1068" s="1"/>
      <c r="N1068" s="1"/>
      <c r="O1068" s="1"/>
      <c r="P1068" s="3"/>
      <c r="Q1068" s="1"/>
      <c r="R1068" s="1"/>
      <c r="S1068" s="1"/>
      <c r="T1068" s="1"/>
      <c r="U1068" s="4"/>
    </row>
    <row r="1069" spans="1:21" ht="18.75" hidden="1" customHeight="1">
      <c r="A1069" s="6"/>
      <c r="B1069" s="7" t="str">
        <f>$B$34</f>
        <v>1월</v>
      </c>
      <c r="C1069" s="8" t="s">
        <v>1</v>
      </c>
      <c r="D1069" s="9">
        <f>COUNTIF($C1071:$C1083,"계약")+(COUNTIF($C1071:$C1083,"계약2")*2)</f>
        <v>0</v>
      </c>
      <c r="E1069" s="3">
        <f>COUNTIF(C1071:C1083,"낙찰수수료")</f>
        <v>0</v>
      </c>
      <c r="F1069" s="10"/>
      <c r="G1069" s="1"/>
      <c r="H1069" s="11">
        <v>0.5</v>
      </c>
      <c r="I1069" s="12">
        <v>3.3000000000000002E-2</v>
      </c>
      <c r="J1069" s="1"/>
      <c r="K1069" s="1"/>
      <c r="L1069" s="1"/>
      <c r="M1069" s="1"/>
      <c r="N1069" s="1"/>
      <c r="O1069" s="1"/>
      <c r="P1069" s="3"/>
      <c r="Q1069" s="149"/>
      <c r="R1069" s="149"/>
      <c r="S1069" s="1"/>
      <c r="T1069" s="1"/>
      <c r="U1069" s="4"/>
    </row>
    <row r="1070" spans="1:21" ht="18.75" hidden="1" customHeight="1">
      <c r="A1070" s="13" t="s">
        <v>3</v>
      </c>
      <c r="B1070" s="14" t="s">
        <v>4</v>
      </c>
      <c r="C1070" s="14" t="s">
        <v>5</v>
      </c>
      <c r="D1070" s="101" t="s">
        <v>6</v>
      </c>
      <c r="E1070" s="16" t="s">
        <v>7</v>
      </c>
      <c r="F1070" s="17" t="s">
        <v>8</v>
      </c>
      <c r="G1070" s="14" t="s">
        <v>9</v>
      </c>
      <c r="H1070" s="15" t="s">
        <v>10</v>
      </c>
      <c r="I1070" s="14" t="s">
        <v>11</v>
      </c>
      <c r="J1070" s="15" t="s">
        <v>12</v>
      </c>
      <c r="K1070" s="14" t="s">
        <v>13</v>
      </c>
      <c r="L1070" s="14" t="s">
        <v>14</v>
      </c>
      <c r="M1070" s="579" t="s">
        <v>15</v>
      </c>
      <c r="N1070" s="577"/>
      <c r="O1070" s="1"/>
      <c r="P1070" s="3"/>
      <c r="Q1070" s="73"/>
      <c r="R1070" s="73"/>
      <c r="S1070" s="1"/>
      <c r="T1070" s="1"/>
      <c r="U1070" s="4"/>
    </row>
    <row r="1071" spans="1:21" ht="18.75" hidden="1" customHeight="1">
      <c r="A1071" s="28"/>
      <c r="B1071" s="29"/>
      <c r="C1071" s="30"/>
      <c r="D1071" s="38"/>
      <c r="E1071" s="27"/>
      <c r="F1071" s="31">
        <f t="shared" ref="F1071:F1076" si="547">IF(D1071="no",E1071,E1071/1.1)</f>
        <v>0</v>
      </c>
      <c r="G1071" s="27">
        <f t="shared" ref="G1071:G1076" si="548">IF(D1071="no",0,F1071*0.1)</f>
        <v>0</v>
      </c>
      <c r="H1071" s="32">
        <f>IF(D1071="no",0,F1071*H1069)</f>
        <v>0</v>
      </c>
      <c r="I1071" s="33">
        <f t="shared" ref="I1071:I1083" si="549">IF(D1071="no",0,H1071*3.3%)</f>
        <v>0</v>
      </c>
      <c r="J1071" s="26"/>
      <c r="K1071" s="27">
        <f t="shared" ref="K1071:K1083" si="550">IF(D1071="no",0,H1071-I1071-J1071)</f>
        <v>0</v>
      </c>
      <c r="L1071" s="27">
        <f>IF(D1071="no",F1071*H1069-J1071,0)</f>
        <v>0</v>
      </c>
      <c r="M1071" s="582"/>
      <c r="N1071" s="581"/>
      <c r="O1071" s="1"/>
      <c r="P1071" s="3"/>
      <c r="Q1071" s="149"/>
      <c r="R1071" s="149"/>
      <c r="S1071" s="1"/>
      <c r="T1071" s="1"/>
      <c r="U1071" s="4"/>
    </row>
    <row r="1072" spans="1:21" ht="18.75" hidden="1" customHeight="1">
      <c r="A1072" s="28"/>
      <c r="B1072" s="29"/>
      <c r="C1072" s="30"/>
      <c r="D1072" s="38"/>
      <c r="E1072" s="27"/>
      <c r="F1072" s="31">
        <f t="shared" si="547"/>
        <v>0</v>
      </c>
      <c r="G1072" s="27">
        <f t="shared" si="548"/>
        <v>0</v>
      </c>
      <c r="H1072" s="32">
        <f>IF(D1072="no",0,F1072*H1069)</f>
        <v>0</v>
      </c>
      <c r="I1072" s="33">
        <f t="shared" si="549"/>
        <v>0</v>
      </c>
      <c r="J1072" s="26"/>
      <c r="K1072" s="27">
        <f t="shared" si="550"/>
        <v>0</v>
      </c>
      <c r="L1072" s="27">
        <f>IF(D1072="no",F1072*H1069-J1072,0)</f>
        <v>0</v>
      </c>
      <c r="M1072" s="572"/>
      <c r="N1072" s="564"/>
      <c r="O1072" s="1"/>
      <c r="P1072" s="3"/>
      <c r="Q1072" s="638"/>
      <c r="R1072" s="606"/>
      <c r="S1072" s="1"/>
      <c r="T1072" s="1"/>
      <c r="U1072" s="4"/>
    </row>
    <row r="1073" spans="1:21" ht="18.75" hidden="1" customHeight="1">
      <c r="A1073" s="28"/>
      <c r="B1073" s="29"/>
      <c r="C1073" s="30"/>
      <c r="D1073" s="38"/>
      <c r="E1073" s="27"/>
      <c r="F1073" s="31">
        <f t="shared" si="547"/>
        <v>0</v>
      </c>
      <c r="G1073" s="27">
        <f t="shared" si="548"/>
        <v>0</v>
      </c>
      <c r="H1073" s="32">
        <f>IF(D1073="no",0,F1073*H1069)</f>
        <v>0</v>
      </c>
      <c r="I1073" s="33">
        <f t="shared" si="549"/>
        <v>0</v>
      </c>
      <c r="J1073" s="26"/>
      <c r="K1073" s="27">
        <f t="shared" si="550"/>
        <v>0</v>
      </c>
      <c r="L1073" s="27">
        <f>IF(D1073="no",F1073*H1069-J1073,0)</f>
        <v>0</v>
      </c>
      <c r="M1073" s="572"/>
      <c r="N1073" s="564"/>
      <c r="O1073" s="1"/>
      <c r="P1073" s="3"/>
      <c r="Q1073" s="639"/>
      <c r="R1073" s="606"/>
      <c r="S1073" s="1"/>
      <c r="T1073" s="1"/>
      <c r="U1073" s="4"/>
    </row>
    <row r="1074" spans="1:21" ht="18.75" hidden="1" customHeight="1">
      <c r="A1074" s="28"/>
      <c r="B1074" s="29"/>
      <c r="C1074" s="30"/>
      <c r="D1074" s="38"/>
      <c r="E1074" s="27"/>
      <c r="F1074" s="31">
        <f t="shared" si="547"/>
        <v>0</v>
      </c>
      <c r="G1074" s="27">
        <f t="shared" si="548"/>
        <v>0</v>
      </c>
      <c r="H1074" s="32">
        <f>IF(D1074="no",0,F1074*H1069)</f>
        <v>0</v>
      </c>
      <c r="I1074" s="33">
        <f t="shared" si="549"/>
        <v>0</v>
      </c>
      <c r="J1074" s="26"/>
      <c r="K1074" s="27">
        <f t="shared" si="550"/>
        <v>0</v>
      </c>
      <c r="L1074" s="27">
        <f>IF(D1074="no",F1074*H1069-J1074,0)</f>
        <v>0</v>
      </c>
      <c r="M1074" s="572"/>
      <c r="N1074" s="564"/>
      <c r="O1074" s="1"/>
      <c r="P1074" s="3"/>
      <c r="Q1074" s="640"/>
      <c r="R1074" s="606"/>
      <c r="S1074" s="1"/>
      <c r="T1074" s="1"/>
      <c r="U1074" s="4"/>
    </row>
    <row r="1075" spans="1:21" ht="18.75" hidden="1" customHeight="1">
      <c r="A1075" s="28"/>
      <c r="B1075" s="29"/>
      <c r="C1075" s="30"/>
      <c r="D1075" s="38"/>
      <c r="E1075" s="27"/>
      <c r="F1075" s="31">
        <f t="shared" si="547"/>
        <v>0</v>
      </c>
      <c r="G1075" s="27">
        <f t="shared" si="548"/>
        <v>0</v>
      </c>
      <c r="H1075" s="32">
        <f>IF(D1075="no",0,F1075*H1069)</f>
        <v>0</v>
      </c>
      <c r="I1075" s="33">
        <f t="shared" si="549"/>
        <v>0</v>
      </c>
      <c r="J1075" s="26"/>
      <c r="K1075" s="27">
        <f t="shared" si="550"/>
        <v>0</v>
      </c>
      <c r="L1075" s="27">
        <f t="shared" ref="L1075:L1078" si="551">IF(D1075="no",F1075*H1069-J1075,0)</f>
        <v>0</v>
      </c>
      <c r="M1075" s="585"/>
      <c r="N1075" s="564"/>
      <c r="O1075" s="1"/>
      <c r="P1075" s="3"/>
      <c r="Q1075" s="640"/>
      <c r="R1075" s="606"/>
      <c r="S1075" s="1"/>
      <c r="T1075" s="1"/>
      <c r="U1075" s="4"/>
    </row>
    <row r="1076" spans="1:21" ht="18.75" hidden="1" customHeight="1">
      <c r="A1076" s="28"/>
      <c r="B1076" s="29"/>
      <c r="C1076" s="30"/>
      <c r="D1076" s="96"/>
      <c r="E1076" s="27"/>
      <c r="F1076" s="31">
        <f t="shared" si="547"/>
        <v>0</v>
      </c>
      <c r="G1076" s="27">
        <f t="shared" si="548"/>
        <v>0</v>
      </c>
      <c r="H1076" s="32">
        <f>IF(D1076="no",0,F1076*H1069)</f>
        <v>0</v>
      </c>
      <c r="I1076" s="33">
        <f t="shared" si="549"/>
        <v>0</v>
      </c>
      <c r="J1076" s="26"/>
      <c r="K1076" s="27">
        <f t="shared" si="550"/>
        <v>0</v>
      </c>
      <c r="L1076" s="27">
        <f t="shared" si="551"/>
        <v>0</v>
      </c>
      <c r="M1076" s="563"/>
      <c r="N1076" s="564"/>
      <c r="O1076" s="1"/>
      <c r="P1076" s="3"/>
      <c r="Q1076" s="638"/>
      <c r="R1076" s="606"/>
      <c r="S1076" s="1"/>
      <c r="T1076" s="1"/>
      <c r="U1076" s="4"/>
    </row>
    <row r="1077" spans="1:21" ht="18.75" hidden="1" customHeight="1">
      <c r="A1077" s="28"/>
      <c r="B1077" s="29"/>
      <c r="C1077" s="30"/>
      <c r="D1077" s="96"/>
      <c r="E1077" s="27"/>
      <c r="F1077" s="31"/>
      <c r="G1077" s="27"/>
      <c r="H1077" s="32"/>
      <c r="I1077" s="33">
        <f t="shared" si="549"/>
        <v>0</v>
      </c>
      <c r="J1077" s="26"/>
      <c r="K1077" s="27">
        <f t="shared" si="550"/>
        <v>0</v>
      </c>
      <c r="L1077" s="27">
        <f t="shared" si="551"/>
        <v>0</v>
      </c>
      <c r="M1077" s="572"/>
      <c r="N1077" s="564"/>
      <c r="O1077" s="1"/>
      <c r="P1077" s="3"/>
      <c r="Q1077" s="149"/>
      <c r="R1077" s="149"/>
      <c r="S1077" s="1"/>
      <c r="T1077" s="1"/>
      <c r="U1077" s="4"/>
    </row>
    <row r="1078" spans="1:21" ht="18.75" hidden="1" customHeight="1">
      <c r="A1078" s="39" t="s">
        <v>32</v>
      </c>
      <c r="B1078" s="29" t="s">
        <v>33</v>
      </c>
      <c r="C1078" s="30"/>
      <c r="D1078" s="96"/>
      <c r="E1078" s="27"/>
      <c r="F1078" s="31"/>
      <c r="G1078" s="27"/>
      <c r="H1078" s="32"/>
      <c r="I1078" s="33">
        <f t="shared" si="549"/>
        <v>0</v>
      </c>
      <c r="J1078" s="26"/>
      <c r="K1078" s="27">
        <f t="shared" si="550"/>
        <v>0</v>
      </c>
      <c r="L1078" s="27">
        <f t="shared" si="551"/>
        <v>0</v>
      </c>
      <c r="M1078" s="572"/>
      <c r="N1078" s="564"/>
      <c r="O1078" s="1"/>
      <c r="P1078" s="3"/>
      <c r="Q1078" s="73"/>
      <c r="R1078" s="73"/>
      <c r="S1078" s="1"/>
      <c r="T1078" s="1"/>
      <c r="U1078" s="4"/>
    </row>
    <row r="1079" spans="1:21" ht="18.75" hidden="1" customHeight="1">
      <c r="A1079" s="39" t="s">
        <v>32</v>
      </c>
      <c r="B1079" s="29" t="s">
        <v>35</v>
      </c>
      <c r="C1079" s="30"/>
      <c r="D1079" s="21"/>
      <c r="E1079" s="27"/>
      <c r="F1079" s="31">
        <f t="shared" ref="F1079:F1083" si="552">IF(D1079="no",E1079,E1079/1.1)</f>
        <v>0</v>
      </c>
      <c r="G1079" s="27">
        <f t="shared" ref="G1079:G1083" si="553">IF(D1079="no",0,F1079*0.1)</f>
        <v>0</v>
      </c>
      <c r="H1079" s="32"/>
      <c r="I1079" s="33">
        <f t="shared" si="549"/>
        <v>0</v>
      </c>
      <c r="J1079" s="26"/>
      <c r="K1079" s="27">
        <f t="shared" si="550"/>
        <v>0</v>
      </c>
      <c r="L1079" s="27">
        <f t="shared" ref="L1079:L1080" si="554">IF(D1079="no",F1079*H1069-J1079,0)</f>
        <v>0</v>
      </c>
      <c r="M1079" s="637"/>
      <c r="N1079" s="564"/>
      <c r="O1079" s="1"/>
      <c r="P1079" s="3"/>
      <c r="Q1079" s="149"/>
      <c r="R1079" s="149"/>
      <c r="S1079" s="1"/>
      <c r="T1079" s="1"/>
      <c r="U1079" s="4"/>
    </row>
    <row r="1080" spans="1:21" ht="18.75" hidden="1" customHeight="1">
      <c r="A1080" s="39" t="s">
        <v>32</v>
      </c>
      <c r="B1080" s="29" t="s">
        <v>61</v>
      </c>
      <c r="C1080" s="30"/>
      <c r="D1080" s="21"/>
      <c r="E1080" s="27"/>
      <c r="F1080" s="31">
        <f t="shared" si="552"/>
        <v>0</v>
      </c>
      <c r="G1080" s="27">
        <f t="shared" si="553"/>
        <v>0</v>
      </c>
      <c r="H1080" s="32"/>
      <c r="I1080" s="33">
        <f t="shared" si="549"/>
        <v>0</v>
      </c>
      <c r="J1080" s="26"/>
      <c r="K1080" s="27">
        <f t="shared" si="550"/>
        <v>0</v>
      </c>
      <c r="L1080" s="27">
        <f t="shared" si="554"/>
        <v>0</v>
      </c>
      <c r="M1080" s="578"/>
      <c r="N1080" s="564"/>
      <c r="O1080" s="1"/>
      <c r="P1080" s="150"/>
      <c r="Q1080" s="149"/>
      <c r="R1080" s="149"/>
      <c r="S1080" s="1"/>
      <c r="T1080" s="1"/>
      <c r="U1080" s="4"/>
    </row>
    <row r="1081" spans="1:21" ht="18.75" hidden="1" customHeight="1">
      <c r="A1081" s="39" t="s">
        <v>32</v>
      </c>
      <c r="B1081" s="29" t="s">
        <v>39</v>
      </c>
      <c r="C1081" s="30"/>
      <c r="D1081" s="38"/>
      <c r="E1081" s="27"/>
      <c r="F1081" s="31">
        <f t="shared" si="552"/>
        <v>0</v>
      </c>
      <c r="G1081" s="27">
        <f t="shared" si="553"/>
        <v>0</v>
      </c>
      <c r="H1081" s="32">
        <f>L1086/0.967</f>
        <v>0</v>
      </c>
      <c r="I1081" s="33">
        <f t="shared" si="549"/>
        <v>0</v>
      </c>
      <c r="J1081" s="26"/>
      <c r="K1081" s="27">
        <f t="shared" si="550"/>
        <v>0</v>
      </c>
      <c r="L1081" s="27">
        <f>IF(D1081="no",F1081*H1069-J1081,0)</f>
        <v>0</v>
      </c>
      <c r="M1081" s="585"/>
      <c r="N1081" s="564"/>
      <c r="O1081" s="1"/>
      <c r="P1081" s="151"/>
      <c r="Q1081" s="1"/>
      <c r="R1081" s="73"/>
      <c r="S1081" s="1"/>
      <c r="T1081" s="1"/>
      <c r="U1081" s="4"/>
    </row>
    <row r="1082" spans="1:21" ht="18.75" hidden="1" customHeight="1">
      <c r="A1082" s="39" t="s">
        <v>32</v>
      </c>
      <c r="B1082" s="29" t="s">
        <v>37</v>
      </c>
      <c r="C1082" s="30"/>
      <c r="D1082" s="38"/>
      <c r="E1082" s="27"/>
      <c r="F1082" s="31">
        <f t="shared" si="552"/>
        <v>0</v>
      </c>
      <c r="G1082" s="27">
        <f t="shared" si="553"/>
        <v>0</v>
      </c>
      <c r="H1082" s="37">
        <f>(E1085+E1086+N1085)/0.967</f>
        <v>0</v>
      </c>
      <c r="I1082" s="33">
        <f t="shared" si="549"/>
        <v>0</v>
      </c>
      <c r="J1082" s="26"/>
      <c r="K1082" s="27">
        <f t="shared" si="550"/>
        <v>0</v>
      </c>
      <c r="L1082" s="27"/>
      <c r="M1082" s="572"/>
      <c r="N1082" s="564"/>
      <c r="O1082" s="1"/>
      <c r="P1082" s="151"/>
      <c r="Q1082" s="1"/>
      <c r="R1082" s="149"/>
      <c r="S1082" s="1"/>
      <c r="T1082" s="1"/>
      <c r="U1082" s="4"/>
    </row>
    <row r="1083" spans="1:21" ht="18.75" hidden="1" customHeight="1">
      <c r="A1083" s="39" t="s">
        <v>32</v>
      </c>
      <c r="B1083" s="29" t="s">
        <v>131</v>
      </c>
      <c r="C1083" s="30"/>
      <c r="D1083" s="38"/>
      <c r="E1083" s="27"/>
      <c r="F1083" s="31">
        <f t="shared" si="552"/>
        <v>0</v>
      </c>
      <c r="G1083" s="27">
        <f t="shared" si="553"/>
        <v>0</v>
      </c>
      <c r="H1083" s="37"/>
      <c r="I1083" s="33">
        <f t="shared" si="549"/>
        <v>0</v>
      </c>
      <c r="J1083" s="26"/>
      <c r="K1083" s="27">
        <f t="shared" si="550"/>
        <v>0</v>
      </c>
      <c r="L1083" s="27">
        <f>IF(D1083="no",F1083*H1068-J1083,0)</f>
        <v>0</v>
      </c>
      <c r="M1083" s="578"/>
      <c r="N1083" s="564"/>
      <c r="O1083" s="1"/>
      <c r="P1083" s="151"/>
      <c r="Q1083" s="1"/>
      <c r="R1083" s="73"/>
      <c r="S1083" s="1"/>
      <c r="T1083" s="1"/>
      <c r="U1083" s="4"/>
    </row>
    <row r="1084" spans="1:21" ht="18.75" hidden="1" customHeight="1">
      <c r="A1084" s="575" t="s">
        <v>42</v>
      </c>
      <c r="B1084" s="576"/>
      <c r="C1084" s="576"/>
      <c r="D1084" s="577"/>
      <c r="E1084" s="42">
        <f t="shared" ref="E1084:L1084" si="555">SUM(E1071:E1083)</f>
        <v>0</v>
      </c>
      <c r="F1084" s="17">
        <f t="shared" si="555"/>
        <v>0</v>
      </c>
      <c r="G1084" s="42">
        <f t="shared" si="555"/>
        <v>0</v>
      </c>
      <c r="H1084" s="43">
        <f t="shared" si="555"/>
        <v>0</v>
      </c>
      <c r="I1084" s="42">
        <f t="shared" si="555"/>
        <v>0</v>
      </c>
      <c r="J1084" s="43">
        <f t="shared" si="555"/>
        <v>0</v>
      </c>
      <c r="K1084" s="42">
        <f t="shared" si="555"/>
        <v>0</v>
      </c>
      <c r="L1084" s="42">
        <f t="shared" si="555"/>
        <v>0</v>
      </c>
      <c r="M1084" s="44"/>
      <c r="N1084" s="45"/>
      <c r="O1084" s="1"/>
      <c r="P1084" s="152"/>
      <c r="Q1084" s="153"/>
      <c r="R1084" s="149"/>
      <c r="S1084" s="1"/>
      <c r="T1084" s="1"/>
      <c r="U1084" s="4"/>
    </row>
    <row r="1085" spans="1:21" ht="18.75" hidden="1" customHeight="1">
      <c r="A1085" s="46" t="s">
        <v>37</v>
      </c>
      <c r="B1085" s="47" t="s">
        <v>132</v>
      </c>
      <c r="C1085" s="48">
        <f>D1069</f>
        <v>0</v>
      </c>
      <c r="D1085" s="47" t="s">
        <v>44</v>
      </c>
      <c r="E1085" s="49"/>
      <c r="F1085" s="50"/>
      <c r="G1085" s="51"/>
      <c r="H1085" s="154"/>
      <c r="I1085" s="53" t="s">
        <v>46</v>
      </c>
      <c r="J1085" s="54"/>
      <c r="K1085" s="50"/>
      <c r="L1085" s="55"/>
      <c r="M1085" s="63"/>
      <c r="N1085" s="64"/>
      <c r="O1085" s="1"/>
      <c r="P1085" s="150"/>
      <c r="Q1085" s="149"/>
      <c r="R1085" s="1"/>
      <c r="S1085" s="1"/>
      <c r="T1085" s="1"/>
      <c r="U1085" s="4"/>
    </row>
    <row r="1086" spans="1:21" ht="18.75" hidden="1" customHeight="1" thickBot="1">
      <c r="A1086" s="56" t="s">
        <v>48</v>
      </c>
      <c r="B1086" s="57" t="s">
        <v>133</v>
      </c>
      <c r="C1086" s="58">
        <f>ROUND(F1084/10000,0)</f>
        <v>0</v>
      </c>
      <c r="D1086" s="57" t="s">
        <v>50</v>
      </c>
      <c r="E1086" s="52">
        <f>IF(C1086&gt;=8000,5200000,IF(C1086&gt;=5000,2700000,IF(C1086&gt;=200,200000,0)))</f>
        <v>0</v>
      </c>
      <c r="F1086" s="59"/>
      <c r="G1086" s="60"/>
      <c r="H1086" s="61"/>
      <c r="I1086" s="59"/>
      <c r="J1086" s="61"/>
      <c r="K1086" s="59" t="s">
        <v>39</v>
      </c>
      <c r="L1086" s="62">
        <f>IF(C1086&gt;=1000,500000,0)</f>
        <v>0</v>
      </c>
      <c r="M1086" s="63"/>
      <c r="N1086" s="64"/>
      <c r="O1086" s="1"/>
      <c r="P1086" s="155"/>
      <c r="Q1086" s="146"/>
      <c r="R1086" s="1"/>
      <c r="S1086" s="1"/>
      <c r="T1086" s="1"/>
      <c r="U1086" s="4"/>
    </row>
    <row r="1087" spans="1:21" ht="18.75" hidden="1" customHeight="1" thickBot="1">
      <c r="A1087" s="566" t="s">
        <v>52</v>
      </c>
      <c r="B1087" s="567"/>
      <c r="C1087" s="567"/>
      <c r="D1087" s="568"/>
      <c r="E1087" s="65"/>
      <c r="F1087" s="569" t="s">
        <v>53</v>
      </c>
      <c r="G1087" s="568"/>
      <c r="H1087" s="66">
        <f>H1084-J1085</f>
        <v>0</v>
      </c>
      <c r="I1087" s="67">
        <f>H1087*3.3%</f>
        <v>0</v>
      </c>
      <c r="J1087" s="68">
        <f>SUM(J1084)</f>
        <v>0</v>
      </c>
      <c r="K1087" s="69">
        <f>H1087-I1087-J1087</f>
        <v>0</v>
      </c>
      <c r="L1087" s="70">
        <f>L1084+SUM(H1085:H1086)+J1086</f>
        <v>0</v>
      </c>
      <c r="M1087" s="570">
        <f>K1087+L1087</f>
        <v>0</v>
      </c>
      <c r="N1087" s="571"/>
      <c r="O1087" s="1"/>
      <c r="P1087" s="3"/>
      <c r="Q1087" s="1"/>
      <c r="R1087" s="1"/>
      <c r="S1087" s="1"/>
      <c r="T1087" s="1"/>
      <c r="U1087" s="4"/>
    </row>
    <row r="1088" spans="1:21" ht="18.75" hidden="1" customHeight="1">
      <c r="A1088" s="1"/>
      <c r="B1088" s="1"/>
      <c r="C1088" s="1"/>
      <c r="D1088" s="1"/>
      <c r="E1088" s="1"/>
      <c r="F1088" s="1"/>
      <c r="G1088" s="1"/>
      <c r="H1088" s="141">
        <v>1</v>
      </c>
      <c r="I1088" s="1"/>
      <c r="J1088" s="1"/>
      <c r="K1088" s="1"/>
      <c r="L1088" s="1"/>
      <c r="M1088" s="1"/>
      <c r="N1088" s="1"/>
      <c r="O1088" s="1"/>
      <c r="P1088" s="3"/>
      <c r="Q1088" s="1"/>
      <c r="R1088" s="1"/>
      <c r="S1088" s="1"/>
      <c r="T1088" s="1"/>
      <c r="U1088" s="4"/>
    </row>
    <row r="1089" spans="1:21" ht="18.75" hidden="1" customHeight="1">
      <c r="A1089" s="6"/>
      <c r="B1089" s="7" t="str">
        <f>$B$34</f>
        <v>1월</v>
      </c>
      <c r="C1089" s="8" t="s">
        <v>1</v>
      </c>
      <c r="D1089" s="9">
        <f>COUNTIF($C1091:$C1104,"계약")+(COUNTIF($C1091:$C1104,"계약2")*2)</f>
        <v>0</v>
      </c>
      <c r="E1089" s="3">
        <f>COUNTIF(C1091:C1104,"낙찰수수료")</f>
        <v>0</v>
      </c>
      <c r="F1089" s="3"/>
      <c r="G1089" s="1"/>
      <c r="H1089" s="11">
        <v>0.5</v>
      </c>
      <c r="I1089" s="12">
        <v>3.3000000000000002E-2</v>
      </c>
      <c r="J1089" s="1"/>
      <c r="K1089" s="1"/>
      <c r="L1089" s="1"/>
      <c r="M1089" s="1"/>
      <c r="N1089" s="1"/>
      <c r="O1089" s="1"/>
      <c r="P1089" s="3"/>
      <c r="Q1089" s="1"/>
      <c r="R1089" s="1"/>
      <c r="S1089" s="1"/>
      <c r="T1089" s="1"/>
      <c r="U1089" s="4"/>
    </row>
    <row r="1090" spans="1:21" ht="18.75" hidden="1" customHeight="1">
      <c r="A1090" s="13" t="s">
        <v>3</v>
      </c>
      <c r="B1090" s="14" t="s">
        <v>4</v>
      </c>
      <c r="C1090" s="14" t="s">
        <v>5</v>
      </c>
      <c r="D1090" s="101" t="s">
        <v>6</v>
      </c>
      <c r="E1090" s="16" t="s">
        <v>7</v>
      </c>
      <c r="F1090" s="17" t="s">
        <v>8</v>
      </c>
      <c r="G1090" s="14" t="s">
        <v>9</v>
      </c>
      <c r="H1090" s="15" t="s">
        <v>10</v>
      </c>
      <c r="I1090" s="14" t="s">
        <v>11</v>
      </c>
      <c r="J1090" s="15" t="s">
        <v>12</v>
      </c>
      <c r="K1090" s="14" t="s">
        <v>13</v>
      </c>
      <c r="L1090" s="14" t="s">
        <v>14</v>
      </c>
      <c r="M1090" s="579" t="s">
        <v>15</v>
      </c>
      <c r="N1090" s="577"/>
      <c r="O1090" s="1"/>
      <c r="P1090" s="3"/>
      <c r="Q1090" s="73"/>
      <c r="R1090" s="1"/>
      <c r="S1090" s="1"/>
      <c r="T1090" s="1"/>
      <c r="U1090" s="4"/>
    </row>
    <row r="1091" spans="1:21" ht="18.75" hidden="1" customHeight="1">
      <c r="A1091" s="28"/>
      <c r="B1091" s="29"/>
      <c r="C1091" s="30"/>
      <c r="D1091" s="38"/>
      <c r="E1091" s="27"/>
      <c r="F1091" s="31">
        <f t="shared" ref="F1091:F1102" si="556">IF(D1091="no",E1091,E1091/1.1)</f>
        <v>0</v>
      </c>
      <c r="G1091" s="27">
        <f t="shared" ref="G1091:G1102" si="557">IF(D1091="no",0,F1091*0.1)</f>
        <v>0</v>
      </c>
      <c r="H1091" s="32">
        <f>IF(D1091="no",0,F1091*H1089)</f>
        <v>0</v>
      </c>
      <c r="I1091" s="33">
        <f t="shared" ref="I1091:I1104" si="558">IF(D1091="no",0,H1091*3.3%)</f>
        <v>0</v>
      </c>
      <c r="J1091" s="26"/>
      <c r="K1091" s="27">
        <f t="shared" ref="K1091:K1104" si="559">IF(D1091="no",0,H1091-I1091-J1091)</f>
        <v>0</v>
      </c>
      <c r="L1091" s="27">
        <f>IF(D1091="no",F1091*H1089-J1091,0)</f>
        <v>0</v>
      </c>
      <c r="M1091" s="582"/>
      <c r="N1091" s="581"/>
      <c r="O1091" s="1"/>
      <c r="P1091" s="3"/>
      <c r="Q1091" s="1"/>
      <c r="R1091" s="1"/>
      <c r="S1091" s="1"/>
      <c r="T1091" s="1"/>
      <c r="U1091" s="4"/>
    </row>
    <row r="1092" spans="1:21" ht="18.75" hidden="1" customHeight="1">
      <c r="A1092" s="28"/>
      <c r="B1092" s="29"/>
      <c r="C1092" s="30"/>
      <c r="D1092" s="38"/>
      <c r="E1092" s="27"/>
      <c r="F1092" s="31">
        <f t="shared" si="556"/>
        <v>0</v>
      </c>
      <c r="G1092" s="27">
        <f t="shared" si="557"/>
        <v>0</v>
      </c>
      <c r="H1092" s="32">
        <f>IF(D1092="no",0,F1092*H1089)</f>
        <v>0</v>
      </c>
      <c r="I1092" s="33">
        <f t="shared" si="558"/>
        <v>0</v>
      </c>
      <c r="J1092" s="26"/>
      <c r="K1092" s="27">
        <f t="shared" si="559"/>
        <v>0</v>
      </c>
      <c r="L1092" s="27"/>
      <c r="M1092" s="572"/>
      <c r="N1092" s="564"/>
      <c r="O1092" s="1"/>
      <c r="P1092" s="3"/>
      <c r="Q1092" s="1"/>
      <c r="R1092" s="1"/>
      <c r="S1092" s="1"/>
      <c r="T1092" s="1"/>
      <c r="U1092" s="4"/>
    </row>
    <row r="1093" spans="1:21" ht="18.75" hidden="1" customHeight="1">
      <c r="A1093" s="28"/>
      <c r="B1093" s="29"/>
      <c r="C1093" s="30"/>
      <c r="D1093" s="38"/>
      <c r="E1093" s="27"/>
      <c r="F1093" s="31">
        <f t="shared" si="556"/>
        <v>0</v>
      </c>
      <c r="G1093" s="27">
        <f t="shared" si="557"/>
        <v>0</v>
      </c>
      <c r="H1093" s="32">
        <f>IF(D1093="no",0,F1093*H1089)</f>
        <v>0</v>
      </c>
      <c r="I1093" s="33">
        <f t="shared" si="558"/>
        <v>0</v>
      </c>
      <c r="J1093" s="26"/>
      <c r="K1093" s="27">
        <f t="shared" si="559"/>
        <v>0</v>
      </c>
      <c r="L1093" s="27"/>
      <c r="M1093" s="572"/>
      <c r="N1093" s="564"/>
      <c r="O1093" s="1"/>
      <c r="P1093" s="3"/>
      <c r="Q1093" s="1"/>
      <c r="R1093" s="1"/>
      <c r="S1093" s="1"/>
      <c r="T1093" s="1"/>
      <c r="U1093" s="4"/>
    </row>
    <row r="1094" spans="1:21" ht="18.75" hidden="1" customHeight="1">
      <c r="A1094" s="28"/>
      <c r="B1094" s="29"/>
      <c r="C1094" s="30"/>
      <c r="D1094" s="38"/>
      <c r="E1094" s="27"/>
      <c r="F1094" s="31">
        <f t="shared" si="556"/>
        <v>0</v>
      </c>
      <c r="G1094" s="27">
        <f t="shared" si="557"/>
        <v>0</v>
      </c>
      <c r="H1094" s="32">
        <f>IF(D1094="no",0,F1094*H1089)</f>
        <v>0</v>
      </c>
      <c r="I1094" s="33">
        <f t="shared" si="558"/>
        <v>0</v>
      </c>
      <c r="J1094" s="26"/>
      <c r="K1094" s="27">
        <f t="shared" si="559"/>
        <v>0</v>
      </c>
      <c r="L1094" s="27">
        <f>IF(D1094="no",F1094*H1089-J1094,0)</f>
        <v>0</v>
      </c>
      <c r="M1094" s="572"/>
      <c r="N1094" s="564"/>
      <c r="O1094" s="1"/>
      <c r="P1094" s="3"/>
      <c r="Q1094" s="1"/>
      <c r="R1094" s="1"/>
      <c r="S1094" s="1"/>
      <c r="T1094" s="1"/>
      <c r="U1094" s="4"/>
    </row>
    <row r="1095" spans="1:21" ht="18.75" hidden="1" customHeight="1">
      <c r="A1095" s="39"/>
      <c r="B1095" s="127"/>
      <c r="C1095" s="30"/>
      <c r="D1095" s="95"/>
      <c r="E1095" s="102"/>
      <c r="F1095" s="31">
        <f t="shared" si="556"/>
        <v>0</v>
      </c>
      <c r="G1095" s="27">
        <f t="shared" si="557"/>
        <v>0</v>
      </c>
      <c r="H1095" s="32">
        <f>IF(D1095="no",0,F1095*H1089)</f>
        <v>0</v>
      </c>
      <c r="I1095" s="33">
        <f t="shared" si="558"/>
        <v>0</v>
      </c>
      <c r="J1095" s="26"/>
      <c r="K1095" s="27">
        <f t="shared" si="559"/>
        <v>0</v>
      </c>
      <c r="L1095" s="27">
        <f>IF(D1095="no",F1095*H1089-J1095,0)</f>
        <v>0</v>
      </c>
      <c r="M1095" s="563"/>
      <c r="N1095" s="564"/>
      <c r="O1095" s="1"/>
      <c r="P1095" s="3"/>
      <c r="Q1095" s="1"/>
      <c r="R1095" s="1"/>
      <c r="S1095" s="1"/>
      <c r="T1095" s="1"/>
      <c r="U1095" s="4"/>
    </row>
    <row r="1096" spans="1:21" ht="18.75" hidden="1" customHeight="1">
      <c r="A1096" s="39"/>
      <c r="B1096" s="29"/>
      <c r="C1096" s="30"/>
      <c r="D1096" s="38"/>
      <c r="E1096" s="27"/>
      <c r="F1096" s="31">
        <f t="shared" si="556"/>
        <v>0</v>
      </c>
      <c r="G1096" s="27">
        <f t="shared" si="557"/>
        <v>0</v>
      </c>
      <c r="H1096" s="32">
        <f>IF(D1096="no",0,F1096*H1089)</f>
        <v>0</v>
      </c>
      <c r="I1096" s="33">
        <f t="shared" si="558"/>
        <v>0</v>
      </c>
      <c r="J1096" s="26"/>
      <c r="K1096" s="27">
        <f t="shared" si="559"/>
        <v>0</v>
      </c>
      <c r="L1096" s="27">
        <f>IF(D1096="no",F1096*H1089-J1096,0)</f>
        <v>0</v>
      </c>
      <c r="M1096" s="572"/>
      <c r="N1096" s="564"/>
      <c r="O1096" s="1"/>
      <c r="P1096" s="3"/>
      <c r="Q1096" s="1"/>
      <c r="R1096" s="1"/>
      <c r="S1096" s="1"/>
      <c r="T1096" s="1"/>
      <c r="U1096" s="4"/>
    </row>
    <row r="1097" spans="1:21" ht="18.75" hidden="1" customHeight="1">
      <c r="A1097" s="28"/>
      <c r="B1097" s="29"/>
      <c r="C1097" s="30"/>
      <c r="D1097" s="38"/>
      <c r="E1097" s="27"/>
      <c r="F1097" s="31">
        <f t="shared" si="556"/>
        <v>0</v>
      </c>
      <c r="G1097" s="27">
        <f t="shared" si="557"/>
        <v>0</v>
      </c>
      <c r="H1097" s="32">
        <f>IF(D1097="no",0,F1097*H1089)</f>
        <v>0</v>
      </c>
      <c r="I1097" s="33">
        <f t="shared" si="558"/>
        <v>0</v>
      </c>
      <c r="J1097" s="26"/>
      <c r="K1097" s="27">
        <f t="shared" si="559"/>
        <v>0</v>
      </c>
      <c r="L1097" s="27">
        <f t="shared" ref="L1097:L1098" si="560">IF(D1097="no",F1097*H1089-J1097,0)</f>
        <v>0</v>
      </c>
      <c r="M1097" s="563"/>
      <c r="N1097" s="564"/>
      <c r="O1097" s="1"/>
      <c r="P1097" s="3"/>
      <c r="Q1097" s="1"/>
      <c r="R1097" s="1"/>
      <c r="S1097" s="1"/>
      <c r="T1097" s="1"/>
      <c r="U1097" s="4"/>
    </row>
    <row r="1098" spans="1:21" ht="18.75" hidden="1" customHeight="1">
      <c r="A1098" s="28"/>
      <c r="B1098" s="29"/>
      <c r="C1098" s="30"/>
      <c r="D1098" s="21"/>
      <c r="E1098" s="27"/>
      <c r="F1098" s="31">
        <f t="shared" si="556"/>
        <v>0</v>
      </c>
      <c r="G1098" s="27">
        <f t="shared" si="557"/>
        <v>0</v>
      </c>
      <c r="H1098" s="32">
        <f>IF(D1098="no",0,F1098*H1089)</f>
        <v>0</v>
      </c>
      <c r="I1098" s="33">
        <f t="shared" si="558"/>
        <v>0</v>
      </c>
      <c r="J1098" s="26"/>
      <c r="K1098" s="27">
        <f t="shared" si="559"/>
        <v>0</v>
      </c>
      <c r="L1098" s="27">
        <f t="shared" si="560"/>
        <v>0</v>
      </c>
      <c r="M1098" s="572"/>
      <c r="N1098" s="564"/>
      <c r="O1098" s="1"/>
      <c r="P1098" s="3"/>
      <c r="Q1098" s="1"/>
      <c r="R1098" s="1"/>
      <c r="S1098" s="1"/>
      <c r="T1098" s="1"/>
      <c r="U1098" s="4"/>
    </row>
    <row r="1099" spans="1:21" ht="18.75" hidden="1" customHeight="1">
      <c r="A1099" s="28"/>
      <c r="B1099" s="29"/>
      <c r="C1099" s="30"/>
      <c r="D1099" s="38"/>
      <c r="E1099" s="27"/>
      <c r="F1099" s="31">
        <f t="shared" si="556"/>
        <v>0</v>
      </c>
      <c r="G1099" s="27">
        <f t="shared" si="557"/>
        <v>0</v>
      </c>
      <c r="H1099" s="32">
        <f>IF(D1099="no",0,F1099*H1089)</f>
        <v>0</v>
      </c>
      <c r="I1099" s="33">
        <f t="shared" si="558"/>
        <v>0</v>
      </c>
      <c r="J1099" s="26"/>
      <c r="K1099" s="27">
        <f t="shared" si="559"/>
        <v>0</v>
      </c>
      <c r="L1099" s="27">
        <f>IF(D1099="no",F1099*H1089-J1099,0)</f>
        <v>0</v>
      </c>
      <c r="M1099" s="563"/>
      <c r="N1099" s="564"/>
      <c r="O1099" s="1"/>
      <c r="P1099" s="3"/>
      <c r="Q1099" s="1"/>
      <c r="R1099" s="1"/>
      <c r="S1099" s="1"/>
      <c r="T1099" s="1"/>
      <c r="U1099" s="4"/>
    </row>
    <row r="1100" spans="1:21" ht="18.75" hidden="1" customHeight="1">
      <c r="A1100" s="28"/>
      <c r="B1100" s="29"/>
      <c r="C1100" s="30"/>
      <c r="D1100" s="38"/>
      <c r="E1100" s="27"/>
      <c r="F1100" s="31">
        <f t="shared" si="556"/>
        <v>0</v>
      </c>
      <c r="G1100" s="27">
        <f t="shared" si="557"/>
        <v>0</v>
      </c>
      <c r="H1100" s="32">
        <f>IF(D1100="no",0,F1100*H1089)</f>
        <v>0</v>
      </c>
      <c r="I1100" s="33">
        <f t="shared" si="558"/>
        <v>0</v>
      </c>
      <c r="J1100" s="26"/>
      <c r="K1100" s="27">
        <f t="shared" si="559"/>
        <v>0</v>
      </c>
      <c r="L1100" s="27">
        <f>IF(D1100="no",F1100*H1089-J1100,0)</f>
        <v>0</v>
      </c>
      <c r="M1100" s="572"/>
      <c r="N1100" s="564"/>
      <c r="O1100" s="1"/>
      <c r="P1100" s="3"/>
      <c r="Q1100" s="1"/>
      <c r="R1100" s="1"/>
      <c r="S1100" s="1"/>
      <c r="T1100" s="1"/>
      <c r="U1100" s="4"/>
    </row>
    <row r="1101" spans="1:21" ht="18.75" hidden="1" customHeight="1">
      <c r="A1101" s="39" t="s">
        <v>32</v>
      </c>
      <c r="B1101" s="29" t="s">
        <v>35</v>
      </c>
      <c r="C1101" s="30"/>
      <c r="D1101" s="21"/>
      <c r="E1101" s="27"/>
      <c r="F1101" s="31">
        <f t="shared" si="556"/>
        <v>0</v>
      </c>
      <c r="G1101" s="27">
        <f t="shared" si="557"/>
        <v>0</v>
      </c>
      <c r="H1101" s="32"/>
      <c r="I1101" s="33">
        <f t="shared" si="558"/>
        <v>0</v>
      </c>
      <c r="J1101" s="26"/>
      <c r="K1101" s="27">
        <f t="shared" si="559"/>
        <v>0</v>
      </c>
      <c r="L1101" s="27">
        <f>IF(D1101="no",F1101*H1089-J1101,0)</f>
        <v>0</v>
      </c>
      <c r="M1101" s="584"/>
      <c r="N1101" s="564"/>
      <c r="O1101" s="1"/>
      <c r="P1101" s="3"/>
      <c r="Q1101" s="1"/>
      <c r="R1101" s="1"/>
      <c r="S1101" s="1"/>
      <c r="T1101" s="1"/>
      <c r="U1101" s="4"/>
    </row>
    <row r="1102" spans="1:21" ht="18.75" hidden="1" customHeight="1">
      <c r="A1102" s="39" t="s">
        <v>32</v>
      </c>
      <c r="B1102" s="29" t="s">
        <v>37</v>
      </c>
      <c r="C1102" s="30"/>
      <c r="D1102" s="21"/>
      <c r="E1102" s="27"/>
      <c r="F1102" s="31">
        <f t="shared" si="556"/>
        <v>0</v>
      </c>
      <c r="G1102" s="27">
        <f t="shared" si="557"/>
        <v>0</v>
      </c>
      <c r="H1102" s="37">
        <f>(E1106+E1107+N1106)/0.967</f>
        <v>0</v>
      </c>
      <c r="I1102" s="33">
        <f t="shared" si="558"/>
        <v>0</v>
      </c>
      <c r="J1102" s="26"/>
      <c r="K1102" s="27">
        <f t="shared" si="559"/>
        <v>0</v>
      </c>
      <c r="L1102" s="27"/>
      <c r="M1102" s="572"/>
      <c r="N1102" s="564"/>
      <c r="O1102" s="1"/>
      <c r="P1102" s="3"/>
      <c r="Q1102" s="1"/>
      <c r="R1102" s="1"/>
      <c r="S1102" s="1"/>
      <c r="T1102" s="1"/>
      <c r="U1102" s="4"/>
    </row>
    <row r="1103" spans="1:21" ht="18.75" hidden="1" customHeight="1">
      <c r="A1103" s="39" t="s">
        <v>32</v>
      </c>
      <c r="B1103" s="29" t="s">
        <v>39</v>
      </c>
      <c r="C1103" s="30"/>
      <c r="D1103" s="38"/>
      <c r="E1103" s="27"/>
      <c r="F1103" s="31"/>
      <c r="G1103" s="27"/>
      <c r="H1103" s="37"/>
      <c r="I1103" s="33">
        <f t="shared" si="558"/>
        <v>0</v>
      </c>
      <c r="J1103" s="26"/>
      <c r="K1103" s="27">
        <f t="shared" si="559"/>
        <v>0</v>
      </c>
      <c r="L1103" s="27"/>
      <c r="M1103" s="572"/>
      <c r="N1103" s="564"/>
      <c r="O1103" s="1"/>
      <c r="P1103" s="3"/>
      <c r="Q1103" s="1"/>
      <c r="R1103" s="1"/>
      <c r="S1103" s="1"/>
      <c r="T1103" s="1"/>
      <c r="U1103" s="4"/>
    </row>
    <row r="1104" spans="1:21" ht="18.75" hidden="1" customHeight="1">
      <c r="A1104" s="39" t="s">
        <v>32</v>
      </c>
      <c r="B1104" s="29" t="s">
        <v>131</v>
      </c>
      <c r="C1104" s="30"/>
      <c r="D1104" s="38"/>
      <c r="E1104" s="27"/>
      <c r="F1104" s="31">
        <f>IF(D1104="no",E1104,E1104/1.1)</f>
        <v>0</v>
      </c>
      <c r="G1104" s="27">
        <f>IF(D1104="no",0,F1104*0.1)</f>
        <v>0</v>
      </c>
      <c r="H1104" s="37"/>
      <c r="I1104" s="33">
        <f t="shared" si="558"/>
        <v>0</v>
      </c>
      <c r="J1104" s="26"/>
      <c r="K1104" s="27">
        <f t="shared" si="559"/>
        <v>0</v>
      </c>
      <c r="L1104" s="27">
        <f>IF(D1104="no",F1104*H1089-J1104,0)</f>
        <v>0</v>
      </c>
      <c r="M1104" s="563"/>
      <c r="N1104" s="564"/>
      <c r="O1104" s="1"/>
      <c r="P1104" s="3"/>
      <c r="Q1104" s="1"/>
      <c r="R1104" s="1"/>
      <c r="S1104" s="1"/>
      <c r="T1104" s="1"/>
      <c r="U1104" s="4"/>
    </row>
    <row r="1105" spans="1:21" ht="18.75" hidden="1" customHeight="1">
      <c r="A1105" s="575" t="s">
        <v>42</v>
      </c>
      <c r="B1105" s="576"/>
      <c r="C1105" s="576"/>
      <c r="D1105" s="577"/>
      <c r="E1105" s="42">
        <f t="shared" ref="E1105:L1105" si="561">SUM(E1091:E1104)</f>
        <v>0</v>
      </c>
      <c r="F1105" s="17">
        <f t="shared" si="561"/>
        <v>0</v>
      </c>
      <c r="G1105" s="42">
        <f t="shared" si="561"/>
        <v>0</v>
      </c>
      <c r="H1105" s="43">
        <f t="shared" si="561"/>
        <v>0</v>
      </c>
      <c r="I1105" s="42">
        <f t="shared" si="561"/>
        <v>0</v>
      </c>
      <c r="J1105" s="43">
        <f t="shared" si="561"/>
        <v>0</v>
      </c>
      <c r="K1105" s="42">
        <f t="shared" si="561"/>
        <v>0</v>
      </c>
      <c r="L1105" s="42">
        <f t="shared" si="561"/>
        <v>0</v>
      </c>
      <c r="M1105" s="44"/>
      <c r="N1105" s="45"/>
      <c r="O1105" s="1"/>
      <c r="P1105" s="3"/>
      <c r="Q1105" s="1"/>
      <c r="R1105" s="1"/>
      <c r="S1105" s="1"/>
      <c r="T1105" s="1"/>
      <c r="U1105" s="4"/>
    </row>
    <row r="1106" spans="1:21" ht="18.75" hidden="1" customHeight="1">
      <c r="A1106" s="46" t="s">
        <v>37</v>
      </c>
      <c r="B1106" s="47" t="s">
        <v>132</v>
      </c>
      <c r="C1106" s="48">
        <f>D1089</f>
        <v>0</v>
      </c>
      <c r="D1106" s="47" t="s">
        <v>44</v>
      </c>
      <c r="E1106" s="49"/>
      <c r="F1106" s="50"/>
      <c r="G1106" s="156"/>
      <c r="H1106" s="49"/>
      <c r="I1106" s="53" t="s">
        <v>46</v>
      </c>
      <c r="J1106" s="54"/>
      <c r="K1106" s="50"/>
      <c r="L1106" s="55"/>
      <c r="M1106" s="63"/>
      <c r="N1106" s="64"/>
      <c r="O1106" s="1"/>
      <c r="P1106" s="3"/>
      <c r="Q1106" s="1"/>
      <c r="R1106" s="1"/>
      <c r="S1106" s="1"/>
      <c r="T1106" s="1"/>
      <c r="U1106" s="4"/>
    </row>
    <row r="1107" spans="1:21" ht="18.75" hidden="1" customHeight="1" thickBot="1">
      <c r="A1107" s="56" t="s">
        <v>48</v>
      </c>
      <c r="B1107" s="57" t="s">
        <v>133</v>
      </c>
      <c r="C1107" s="58">
        <f>ROUND(F1105/10000,0)</f>
        <v>0</v>
      </c>
      <c r="D1107" s="57" t="s">
        <v>50</v>
      </c>
      <c r="E1107" s="52">
        <f>IF(C1107&gt;=8000,5200000,IF(C1107&gt;=5000,2700000,IF(C1107&gt;=200,200000,0)))</f>
        <v>0</v>
      </c>
      <c r="F1107" s="59"/>
      <c r="G1107" s="58"/>
      <c r="H1107" s="52"/>
      <c r="I1107" s="59"/>
      <c r="J1107" s="61"/>
      <c r="K1107" s="59"/>
      <c r="L1107" s="62">
        <f>IF(G1107&gt;=2500,1500000,0)</f>
        <v>0</v>
      </c>
      <c r="M1107" s="59"/>
      <c r="N1107" s="64"/>
      <c r="O1107" s="1"/>
      <c r="P1107" s="3"/>
      <c r="Q1107" s="1"/>
      <c r="R1107" s="1"/>
      <c r="S1107" s="1"/>
      <c r="T1107" s="1"/>
      <c r="U1107" s="4"/>
    </row>
    <row r="1108" spans="1:21" ht="18.75" hidden="1" customHeight="1" thickBot="1">
      <c r="A1108" s="566" t="s">
        <v>52</v>
      </c>
      <c r="B1108" s="567"/>
      <c r="C1108" s="567"/>
      <c r="D1108" s="568"/>
      <c r="E1108" s="65"/>
      <c r="F1108" s="569" t="s">
        <v>53</v>
      </c>
      <c r="G1108" s="568"/>
      <c r="H1108" s="66">
        <f>H1105-J1106</f>
        <v>0</v>
      </c>
      <c r="I1108" s="67">
        <f>H1108*3.3%</f>
        <v>0</v>
      </c>
      <c r="J1108" s="68">
        <f>SUM(J1105)</f>
        <v>0</v>
      </c>
      <c r="K1108" s="69">
        <f>H1108-I1108</f>
        <v>0</v>
      </c>
      <c r="L1108" s="70">
        <f>L1105+SUM(H1106:H1107)+J1107</f>
        <v>0</v>
      </c>
      <c r="M1108" s="570">
        <f>K1108+L1108</f>
        <v>0</v>
      </c>
      <c r="N1108" s="571"/>
      <c r="O1108" s="1"/>
      <c r="P1108" s="3"/>
      <c r="Q1108" s="1"/>
      <c r="R1108" s="1"/>
      <c r="S1108" s="1"/>
      <c r="T1108" s="1"/>
      <c r="U1108" s="4"/>
    </row>
    <row r="1109" spans="1:21" ht="18.75" hidden="1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3"/>
      <c r="Q1109" s="1"/>
      <c r="R1109" s="1"/>
      <c r="S1109" s="1"/>
      <c r="T1109" s="1"/>
      <c r="U1109" s="4"/>
    </row>
    <row r="1110" spans="1:21" ht="18.75" hidden="1" customHeight="1">
      <c r="A1110" s="6"/>
      <c r="B1110" s="7" t="str">
        <f>$B$34</f>
        <v>1월</v>
      </c>
      <c r="C1110" s="8" t="s">
        <v>1</v>
      </c>
      <c r="D1110" s="9">
        <f>COUNTIF($C1112:$C1126,"계약")+(COUNTIF($C1112:$C1126,"계약2")*2)</f>
        <v>0</v>
      </c>
      <c r="E1110" s="3">
        <f>COUNTIF(C1112:C1126,"낙찰수수료")</f>
        <v>0</v>
      </c>
      <c r="F1110" s="3"/>
      <c r="G1110" s="1"/>
      <c r="H1110" s="11">
        <v>0.5</v>
      </c>
      <c r="I1110" s="12">
        <v>3.3000000000000002E-2</v>
      </c>
      <c r="J1110" s="1"/>
      <c r="K1110" s="1"/>
      <c r="L1110" s="1"/>
      <c r="M1110" s="1"/>
      <c r="N1110" s="1"/>
      <c r="O1110" s="1"/>
      <c r="P1110" s="3"/>
      <c r="Q1110" s="1"/>
      <c r="R1110" s="1"/>
      <c r="S1110" s="1"/>
      <c r="T1110" s="1"/>
      <c r="U1110" s="4"/>
    </row>
    <row r="1111" spans="1:21" ht="18.75" hidden="1" customHeight="1">
      <c r="A1111" s="13" t="s">
        <v>3</v>
      </c>
      <c r="B1111" s="14" t="s">
        <v>4</v>
      </c>
      <c r="C1111" s="14" t="s">
        <v>5</v>
      </c>
      <c r="D1111" s="101" t="s">
        <v>6</v>
      </c>
      <c r="E1111" s="16" t="s">
        <v>7</v>
      </c>
      <c r="F1111" s="17" t="s">
        <v>8</v>
      </c>
      <c r="G1111" s="14" t="s">
        <v>9</v>
      </c>
      <c r="H1111" s="15" t="s">
        <v>10</v>
      </c>
      <c r="I1111" s="14" t="s">
        <v>11</v>
      </c>
      <c r="J1111" s="15" t="s">
        <v>12</v>
      </c>
      <c r="K1111" s="14" t="s">
        <v>13</v>
      </c>
      <c r="L1111" s="14" t="s">
        <v>14</v>
      </c>
      <c r="M1111" s="579" t="s">
        <v>15</v>
      </c>
      <c r="N1111" s="577"/>
      <c r="O1111" s="1"/>
      <c r="P1111" s="3"/>
      <c r="Q1111" s="73"/>
      <c r="R1111" s="1"/>
      <c r="S1111" s="1"/>
      <c r="T1111" s="1"/>
      <c r="U1111" s="4"/>
    </row>
    <row r="1112" spans="1:21" ht="18.75" hidden="1" customHeight="1">
      <c r="A1112" s="28"/>
      <c r="B1112" s="29"/>
      <c r="C1112" s="30"/>
      <c r="D1112" s="38"/>
      <c r="E1112" s="27"/>
      <c r="F1112" s="31">
        <f t="shared" ref="F1112:F1126" si="562">IF(D1112="no",E1112,E1112/1.1)</f>
        <v>0</v>
      </c>
      <c r="G1112" s="27">
        <f t="shared" ref="G1112:G1126" si="563">IF(D1112="no",0,F1112*0.1)</f>
        <v>0</v>
      </c>
      <c r="H1112" s="32">
        <f>IF(D1112="no",0,F1112*H1110)</f>
        <v>0</v>
      </c>
      <c r="I1112" s="33">
        <f t="shared" ref="I1112:I1126" si="564">IF(D1112="no",0,H1112*3.3%)</f>
        <v>0</v>
      </c>
      <c r="J1112" s="26"/>
      <c r="K1112" s="27">
        <f t="shared" ref="K1112:K1126" si="565">IF(D1112="no",0,H1112-I1112-J1112)</f>
        <v>0</v>
      </c>
      <c r="L1112" s="27">
        <f t="shared" ref="L1112:L1114" si="566">IF(D1112="no",F1112*H1110-J1112,0)</f>
        <v>0</v>
      </c>
      <c r="M1112" s="582" t="s">
        <v>134</v>
      </c>
      <c r="N1112" s="581"/>
      <c r="O1112" s="1"/>
      <c r="P1112" s="3"/>
      <c r="Q1112" s="1"/>
      <c r="R1112" s="1"/>
      <c r="S1112" s="1"/>
      <c r="T1112" s="1"/>
      <c r="U1112" s="4"/>
    </row>
    <row r="1113" spans="1:21" ht="18.75" hidden="1" customHeight="1">
      <c r="A1113" s="28"/>
      <c r="B1113" s="29"/>
      <c r="C1113" s="30"/>
      <c r="D1113" s="38"/>
      <c r="E1113" s="27"/>
      <c r="F1113" s="31">
        <f t="shared" si="562"/>
        <v>0</v>
      </c>
      <c r="G1113" s="27">
        <f t="shared" si="563"/>
        <v>0</v>
      </c>
      <c r="H1113" s="32">
        <f>IF(D1113="no",0,F1113*H1110)</f>
        <v>0</v>
      </c>
      <c r="I1113" s="33">
        <f t="shared" si="564"/>
        <v>0</v>
      </c>
      <c r="J1113" s="26"/>
      <c r="K1113" s="27">
        <f t="shared" si="565"/>
        <v>0</v>
      </c>
      <c r="L1113" s="27">
        <f t="shared" si="566"/>
        <v>0</v>
      </c>
      <c r="M1113" s="565"/>
      <c r="N1113" s="564"/>
      <c r="O1113" s="1"/>
      <c r="P1113" s="3"/>
      <c r="Q1113" s="1"/>
      <c r="R1113" s="1"/>
      <c r="S1113" s="1"/>
      <c r="T1113" s="1"/>
      <c r="U1113" s="4"/>
    </row>
    <row r="1114" spans="1:21" ht="18.75" hidden="1" customHeight="1">
      <c r="A1114" s="28"/>
      <c r="B1114" s="29"/>
      <c r="C1114" s="30"/>
      <c r="D1114" s="38"/>
      <c r="E1114" s="27"/>
      <c r="F1114" s="31">
        <f t="shared" si="562"/>
        <v>0</v>
      </c>
      <c r="G1114" s="27">
        <f t="shared" si="563"/>
        <v>0</v>
      </c>
      <c r="H1114" s="32">
        <f>IF(D1114="no",0,F1114*H1110)</f>
        <v>0</v>
      </c>
      <c r="I1114" s="33">
        <f t="shared" si="564"/>
        <v>0</v>
      </c>
      <c r="J1114" s="26"/>
      <c r="K1114" s="27">
        <f t="shared" si="565"/>
        <v>0</v>
      </c>
      <c r="L1114" s="27">
        <f t="shared" si="566"/>
        <v>0</v>
      </c>
      <c r="M1114" s="572"/>
      <c r="N1114" s="564"/>
      <c r="O1114" s="1"/>
      <c r="P1114" s="3"/>
      <c r="Q1114" s="1"/>
      <c r="R1114" s="1"/>
      <c r="S1114" s="1"/>
      <c r="T1114" s="1"/>
      <c r="U1114" s="4"/>
    </row>
    <row r="1115" spans="1:21" ht="18.75" hidden="1" customHeight="1">
      <c r="A1115" s="28"/>
      <c r="B1115" s="29"/>
      <c r="C1115" s="30"/>
      <c r="D1115" s="38"/>
      <c r="E1115" s="27"/>
      <c r="F1115" s="31">
        <f t="shared" si="562"/>
        <v>0</v>
      </c>
      <c r="G1115" s="27">
        <f t="shared" si="563"/>
        <v>0</v>
      </c>
      <c r="H1115" s="32">
        <f>IF(D1115="no",0,F1115*H1110)</f>
        <v>0</v>
      </c>
      <c r="I1115" s="33">
        <f t="shared" si="564"/>
        <v>0</v>
      </c>
      <c r="J1115" s="26"/>
      <c r="K1115" s="27">
        <f t="shared" si="565"/>
        <v>0</v>
      </c>
      <c r="L1115" s="27">
        <f>IF(D1115="no",F1115*H1110-J1115,0)</f>
        <v>0</v>
      </c>
      <c r="M1115" s="572"/>
      <c r="N1115" s="564"/>
      <c r="O1115" s="1"/>
      <c r="P1115" s="3"/>
      <c r="Q1115" s="1"/>
      <c r="R1115" s="1"/>
      <c r="S1115" s="1"/>
      <c r="T1115" s="1"/>
      <c r="U1115" s="4"/>
    </row>
    <row r="1116" spans="1:21" ht="18.75" hidden="1" customHeight="1">
      <c r="A1116" s="28"/>
      <c r="B1116" s="29"/>
      <c r="C1116" s="30"/>
      <c r="D1116" s="95"/>
      <c r="E1116" s="27"/>
      <c r="F1116" s="31">
        <f t="shared" si="562"/>
        <v>0</v>
      </c>
      <c r="G1116" s="27">
        <f t="shared" si="563"/>
        <v>0</v>
      </c>
      <c r="H1116" s="32">
        <f>IF(D1116="no",0,F1116*H1110)</f>
        <v>0</v>
      </c>
      <c r="I1116" s="33">
        <f t="shared" si="564"/>
        <v>0</v>
      </c>
      <c r="J1116" s="26"/>
      <c r="K1116" s="27">
        <f t="shared" si="565"/>
        <v>0</v>
      </c>
      <c r="L1116" s="27">
        <f>IF(D1116="no",F1116*H1110-J1116,0)</f>
        <v>0</v>
      </c>
      <c r="M1116" s="563"/>
      <c r="N1116" s="564"/>
      <c r="O1116" s="1"/>
      <c r="P1116" s="3"/>
      <c r="Q1116" s="1"/>
      <c r="R1116" s="1"/>
      <c r="S1116" s="1"/>
      <c r="T1116" s="1"/>
      <c r="U1116" s="4"/>
    </row>
    <row r="1117" spans="1:21" ht="18.75" hidden="1" customHeight="1">
      <c r="A1117" s="39"/>
      <c r="B1117" s="29"/>
      <c r="C1117" s="30"/>
      <c r="D1117" s="38"/>
      <c r="E1117" s="27"/>
      <c r="F1117" s="31">
        <f t="shared" si="562"/>
        <v>0</v>
      </c>
      <c r="G1117" s="27">
        <f t="shared" si="563"/>
        <v>0</v>
      </c>
      <c r="H1117" s="32">
        <f>IF(D1117="no",0,F1117*H1110)</f>
        <v>0</v>
      </c>
      <c r="I1117" s="33">
        <f t="shared" si="564"/>
        <v>0</v>
      </c>
      <c r="J1117" s="26"/>
      <c r="K1117" s="27">
        <f t="shared" si="565"/>
        <v>0</v>
      </c>
      <c r="L1117" s="27">
        <f>IF(D1117="no",F1117*H1110-J1117,0)</f>
        <v>0</v>
      </c>
      <c r="M1117" s="572"/>
      <c r="N1117" s="564"/>
      <c r="O1117" s="1"/>
      <c r="P1117" s="3"/>
      <c r="Q1117" s="1"/>
      <c r="R1117" s="1"/>
      <c r="S1117" s="1"/>
      <c r="T1117" s="1"/>
      <c r="U1117" s="4"/>
    </row>
    <row r="1118" spans="1:21" ht="18.75" hidden="1" customHeight="1">
      <c r="A1118" s="28"/>
      <c r="B1118" s="29"/>
      <c r="C1118" s="30"/>
      <c r="D1118" s="38"/>
      <c r="E1118" s="27"/>
      <c r="F1118" s="31">
        <f t="shared" si="562"/>
        <v>0</v>
      </c>
      <c r="G1118" s="27">
        <f t="shared" si="563"/>
        <v>0</v>
      </c>
      <c r="H1118" s="32">
        <f>IF(D1118="no",0,F1118*H1110)</f>
        <v>0</v>
      </c>
      <c r="I1118" s="33">
        <f t="shared" si="564"/>
        <v>0</v>
      </c>
      <c r="J1118" s="26"/>
      <c r="K1118" s="27">
        <f t="shared" si="565"/>
        <v>0</v>
      </c>
      <c r="L1118" s="27">
        <f t="shared" ref="L1118:L1119" si="567">IF(D1118="no",F1118*H1110-J1118,0)</f>
        <v>0</v>
      </c>
      <c r="M1118" s="563"/>
      <c r="N1118" s="564"/>
      <c r="O1118" s="1"/>
      <c r="P1118" s="3"/>
      <c r="Q1118" s="1"/>
      <c r="R1118" s="1"/>
      <c r="S1118" s="1"/>
      <c r="T1118" s="1"/>
      <c r="U1118" s="4"/>
    </row>
    <row r="1119" spans="1:21" ht="18.75" hidden="1" customHeight="1">
      <c r="A1119" s="28"/>
      <c r="B1119" s="29"/>
      <c r="C1119" s="30"/>
      <c r="D1119" s="21"/>
      <c r="E1119" s="27"/>
      <c r="F1119" s="31">
        <f t="shared" si="562"/>
        <v>0</v>
      </c>
      <c r="G1119" s="27">
        <f t="shared" si="563"/>
        <v>0</v>
      </c>
      <c r="H1119" s="32">
        <f>IF(D1119="no",0,F1119*H1110)</f>
        <v>0</v>
      </c>
      <c r="I1119" s="33">
        <f t="shared" si="564"/>
        <v>0</v>
      </c>
      <c r="J1119" s="26"/>
      <c r="K1119" s="27">
        <f t="shared" si="565"/>
        <v>0</v>
      </c>
      <c r="L1119" s="27">
        <f t="shared" si="567"/>
        <v>0</v>
      </c>
      <c r="M1119" s="572"/>
      <c r="N1119" s="564"/>
      <c r="O1119" s="1"/>
      <c r="P1119" s="3"/>
      <c r="Q1119" s="1"/>
      <c r="R1119" s="1"/>
      <c r="S1119" s="1"/>
      <c r="T1119" s="1"/>
      <c r="U1119" s="4"/>
    </row>
    <row r="1120" spans="1:21" ht="18.75" hidden="1" customHeight="1">
      <c r="A1120" s="28"/>
      <c r="B1120" s="29"/>
      <c r="C1120" s="30"/>
      <c r="D1120" s="38"/>
      <c r="E1120" s="27"/>
      <c r="F1120" s="31">
        <f t="shared" si="562"/>
        <v>0</v>
      </c>
      <c r="G1120" s="27">
        <f t="shared" si="563"/>
        <v>0</v>
      </c>
      <c r="H1120" s="32">
        <f>IF(D1120="no",0,F1120*H1110)</f>
        <v>0</v>
      </c>
      <c r="I1120" s="33">
        <f t="shared" si="564"/>
        <v>0</v>
      </c>
      <c r="J1120" s="26"/>
      <c r="K1120" s="27">
        <f t="shared" si="565"/>
        <v>0</v>
      </c>
      <c r="L1120" s="27">
        <f>IF(D1120="no",F1120*H1110-J1120,0)</f>
        <v>0</v>
      </c>
      <c r="M1120" s="563"/>
      <c r="N1120" s="564"/>
      <c r="O1120" s="1"/>
      <c r="P1120" s="3"/>
      <c r="Q1120" s="1"/>
      <c r="R1120" s="1"/>
      <c r="S1120" s="1"/>
      <c r="T1120" s="1"/>
      <c r="U1120" s="4"/>
    </row>
    <row r="1121" spans="1:21" ht="18.75" hidden="1" customHeight="1">
      <c r="A1121" s="28"/>
      <c r="B1121" s="29"/>
      <c r="C1121" s="30"/>
      <c r="D1121" s="38"/>
      <c r="E1121" s="27"/>
      <c r="F1121" s="31">
        <f t="shared" si="562"/>
        <v>0</v>
      </c>
      <c r="G1121" s="27">
        <f t="shared" si="563"/>
        <v>0</v>
      </c>
      <c r="H1121" s="32">
        <f>IF(D1121="no",0,F1121*H1110)</f>
        <v>0</v>
      </c>
      <c r="I1121" s="33">
        <f t="shared" si="564"/>
        <v>0</v>
      </c>
      <c r="J1121" s="26"/>
      <c r="K1121" s="27">
        <f t="shared" si="565"/>
        <v>0</v>
      </c>
      <c r="L1121" s="27">
        <f>IF(D1121="no",F1121*H1110-J1121,0)</f>
        <v>0</v>
      </c>
      <c r="M1121" s="572"/>
      <c r="N1121" s="564"/>
      <c r="O1121" s="1"/>
      <c r="P1121" s="3"/>
      <c r="Q1121" s="1"/>
      <c r="R1121" s="1"/>
      <c r="S1121" s="1"/>
      <c r="T1121" s="1"/>
      <c r="U1121" s="4"/>
    </row>
    <row r="1122" spans="1:21" ht="18.75" hidden="1" customHeight="1">
      <c r="A1122" s="28"/>
      <c r="B1122" s="29"/>
      <c r="C1122" s="30"/>
      <c r="D1122" s="38"/>
      <c r="E1122" s="27"/>
      <c r="F1122" s="31">
        <f t="shared" si="562"/>
        <v>0</v>
      </c>
      <c r="G1122" s="27">
        <f t="shared" si="563"/>
        <v>0</v>
      </c>
      <c r="H1122" s="32">
        <f>IF(D1122="no",0,F1122*H1110)</f>
        <v>0</v>
      </c>
      <c r="I1122" s="33">
        <f t="shared" si="564"/>
        <v>0</v>
      </c>
      <c r="J1122" s="26"/>
      <c r="K1122" s="27">
        <f t="shared" si="565"/>
        <v>0</v>
      </c>
      <c r="L1122" s="27">
        <f>IF(D1122="no",F1122*H1110-J1122,0)</f>
        <v>0</v>
      </c>
      <c r="M1122" s="563"/>
      <c r="N1122" s="564"/>
      <c r="O1122" s="1"/>
      <c r="P1122" s="3"/>
      <c r="Q1122" s="1"/>
      <c r="R1122" s="1"/>
      <c r="S1122" s="1"/>
      <c r="T1122" s="1"/>
      <c r="U1122" s="4"/>
    </row>
    <row r="1123" spans="1:21" ht="18.75" hidden="1" customHeight="1">
      <c r="A1123" s="39" t="s">
        <v>32</v>
      </c>
      <c r="B1123" s="29" t="s">
        <v>35</v>
      </c>
      <c r="C1123" s="30"/>
      <c r="D1123" s="21"/>
      <c r="E1123" s="27"/>
      <c r="F1123" s="31">
        <f t="shared" si="562"/>
        <v>0</v>
      </c>
      <c r="G1123" s="27">
        <f t="shared" si="563"/>
        <v>0</v>
      </c>
      <c r="H1123" s="32"/>
      <c r="I1123" s="33">
        <f t="shared" si="564"/>
        <v>0</v>
      </c>
      <c r="J1123" s="93"/>
      <c r="K1123" s="27">
        <f t="shared" si="565"/>
        <v>0</v>
      </c>
      <c r="L1123" s="40">
        <f t="shared" ref="L1123:L1124" si="568">IF(D1123="no",F1123*H1113-J1123,0)</f>
        <v>0</v>
      </c>
      <c r="M1123" s="573"/>
      <c r="N1123" s="564"/>
      <c r="O1123" s="1"/>
      <c r="P1123" s="3"/>
      <c r="Q1123" s="1"/>
      <c r="R1123" s="1"/>
      <c r="S1123" s="1"/>
      <c r="T1123" s="1"/>
      <c r="U1123" s="4"/>
    </row>
    <row r="1124" spans="1:21" ht="18.75" hidden="1" customHeight="1">
      <c r="A1124" s="39" t="s">
        <v>32</v>
      </c>
      <c r="B1124" s="29" t="s">
        <v>61</v>
      </c>
      <c r="C1124" s="30"/>
      <c r="D1124" s="21"/>
      <c r="E1124" s="27"/>
      <c r="F1124" s="31">
        <f t="shared" si="562"/>
        <v>0</v>
      </c>
      <c r="G1124" s="27">
        <f t="shared" si="563"/>
        <v>0</v>
      </c>
      <c r="H1124" s="32"/>
      <c r="I1124" s="33">
        <f t="shared" si="564"/>
        <v>0</v>
      </c>
      <c r="J1124" s="93"/>
      <c r="K1124" s="27">
        <f t="shared" si="565"/>
        <v>0</v>
      </c>
      <c r="L1124" s="40">
        <f t="shared" si="568"/>
        <v>0</v>
      </c>
      <c r="M1124" s="573"/>
      <c r="N1124" s="564"/>
      <c r="O1124" s="1"/>
      <c r="P1124" s="3"/>
      <c r="Q1124" s="1"/>
      <c r="R1124" s="1"/>
      <c r="S1124" s="1"/>
      <c r="T1124" s="1"/>
      <c r="U1124" s="4"/>
    </row>
    <row r="1125" spans="1:21" ht="18.75" hidden="1" customHeight="1">
      <c r="A1125" s="39" t="s">
        <v>32</v>
      </c>
      <c r="B1125" s="29" t="s">
        <v>37</v>
      </c>
      <c r="C1125" s="30"/>
      <c r="D1125" s="21"/>
      <c r="E1125" s="27"/>
      <c r="F1125" s="31">
        <f t="shared" si="562"/>
        <v>0</v>
      </c>
      <c r="G1125" s="27">
        <f t="shared" si="563"/>
        <v>0</v>
      </c>
      <c r="H1125" s="37">
        <f>(E1128+E1129+N1128)/0.967</f>
        <v>0</v>
      </c>
      <c r="I1125" s="33">
        <f t="shared" si="564"/>
        <v>0</v>
      </c>
      <c r="J1125" s="26"/>
      <c r="K1125" s="27">
        <f t="shared" si="565"/>
        <v>0</v>
      </c>
      <c r="L1125" s="27">
        <f>IF(D1125="no",F1125*H1111-J1125,0)</f>
        <v>0</v>
      </c>
      <c r="M1125" s="572"/>
      <c r="N1125" s="564"/>
      <c r="O1125" s="1"/>
      <c r="P1125" s="3"/>
      <c r="Q1125" s="1"/>
      <c r="R1125" s="1"/>
      <c r="S1125" s="1"/>
      <c r="T1125" s="1"/>
      <c r="U1125" s="4"/>
    </row>
    <row r="1126" spans="1:21" ht="18.75" hidden="1" customHeight="1">
      <c r="A1126" s="39" t="s">
        <v>32</v>
      </c>
      <c r="B1126" s="29" t="s">
        <v>39</v>
      </c>
      <c r="C1126" s="30"/>
      <c r="D1126" s="38"/>
      <c r="E1126" s="27"/>
      <c r="F1126" s="31">
        <f t="shared" si="562"/>
        <v>0</v>
      </c>
      <c r="G1126" s="27">
        <f t="shared" si="563"/>
        <v>0</v>
      </c>
      <c r="H1126" s="37">
        <f>L1129/0.967</f>
        <v>0</v>
      </c>
      <c r="I1126" s="33">
        <f t="shared" si="564"/>
        <v>0</v>
      </c>
      <c r="J1126" s="26"/>
      <c r="K1126" s="27">
        <f t="shared" si="565"/>
        <v>0</v>
      </c>
      <c r="L1126" s="27">
        <f>IF(D1126="no",F1126*H1110-J1126,0)</f>
        <v>0</v>
      </c>
      <c r="M1126" s="563"/>
      <c r="N1126" s="564"/>
      <c r="O1126" s="1"/>
      <c r="P1126" s="3"/>
      <c r="Q1126" s="1"/>
      <c r="R1126" s="1"/>
      <c r="S1126" s="1"/>
      <c r="T1126" s="1"/>
      <c r="U1126" s="4"/>
    </row>
    <row r="1127" spans="1:21" ht="18.75" hidden="1" customHeight="1">
      <c r="A1127" s="575" t="s">
        <v>42</v>
      </c>
      <c r="B1127" s="576"/>
      <c r="C1127" s="576"/>
      <c r="D1127" s="577"/>
      <c r="E1127" s="42">
        <f t="shared" ref="E1127:L1127" si="569">SUM(E1112:E1126)</f>
        <v>0</v>
      </c>
      <c r="F1127" s="17">
        <f t="shared" si="569"/>
        <v>0</v>
      </c>
      <c r="G1127" s="42">
        <f t="shared" si="569"/>
        <v>0</v>
      </c>
      <c r="H1127" s="43">
        <f t="shared" si="569"/>
        <v>0</v>
      </c>
      <c r="I1127" s="42">
        <f t="shared" si="569"/>
        <v>0</v>
      </c>
      <c r="J1127" s="43">
        <f t="shared" si="569"/>
        <v>0</v>
      </c>
      <c r="K1127" s="42">
        <f t="shared" si="569"/>
        <v>0</v>
      </c>
      <c r="L1127" s="42">
        <f t="shared" si="569"/>
        <v>0</v>
      </c>
      <c r="M1127" s="44"/>
      <c r="N1127" s="45"/>
      <c r="O1127" s="1"/>
      <c r="P1127" s="3"/>
      <c r="Q1127" s="1"/>
      <c r="R1127" s="1"/>
      <c r="S1127" s="1"/>
      <c r="T1127" s="1"/>
      <c r="U1127" s="4"/>
    </row>
    <row r="1128" spans="1:21" ht="18.75" hidden="1" customHeight="1">
      <c r="A1128" s="46" t="s">
        <v>37</v>
      </c>
      <c r="B1128" s="47" t="s">
        <v>132</v>
      </c>
      <c r="C1128" s="48">
        <f>D1110</f>
        <v>0</v>
      </c>
      <c r="D1128" s="47" t="s">
        <v>44</v>
      </c>
      <c r="E1128" s="49"/>
      <c r="F1128" s="84"/>
      <c r="G1128" s="85"/>
      <c r="H1128" s="49"/>
      <c r="I1128" s="53" t="s">
        <v>46</v>
      </c>
      <c r="J1128" s="54"/>
      <c r="K1128" s="50"/>
      <c r="L1128" s="55"/>
      <c r="M1128" s="63"/>
      <c r="N1128" s="64"/>
      <c r="O1128" s="1"/>
      <c r="P1128" s="3"/>
      <c r="Q1128" s="1"/>
      <c r="R1128" s="1"/>
      <c r="S1128" s="1"/>
      <c r="T1128" s="1"/>
      <c r="U1128" s="4"/>
    </row>
    <row r="1129" spans="1:21" ht="18.75" hidden="1" customHeight="1" thickBot="1">
      <c r="A1129" s="56" t="s">
        <v>48</v>
      </c>
      <c r="B1129" s="57" t="s">
        <v>133</v>
      </c>
      <c r="C1129" s="58">
        <f>ROUND(F1127/10000,0)</f>
        <v>0</v>
      </c>
      <c r="D1129" s="57" t="s">
        <v>50</v>
      </c>
      <c r="E1129" s="52">
        <f>IF(C1129&gt;=8000,5200000,IF(C1129&gt;=5000,2700000,IF(C1129&gt;=200,200000,0)))</f>
        <v>0</v>
      </c>
      <c r="F1129" s="86"/>
      <c r="G1129" s="87"/>
      <c r="H1129" s="52"/>
      <c r="I1129" s="59"/>
      <c r="J1129" s="61"/>
      <c r="K1129" s="59" t="s">
        <v>39</v>
      </c>
      <c r="L1129" s="62">
        <f>IF(C1129&gt;=1000,500000,0)</f>
        <v>0</v>
      </c>
      <c r="M1129" s="63"/>
      <c r="N1129" s="64"/>
      <c r="O1129" s="1"/>
      <c r="P1129" s="3"/>
      <c r="Q1129" s="1"/>
      <c r="R1129" s="1"/>
      <c r="S1129" s="1"/>
      <c r="T1129" s="1"/>
      <c r="U1129" s="4"/>
    </row>
    <row r="1130" spans="1:21" ht="18.75" hidden="1" customHeight="1" thickBot="1">
      <c r="A1130" s="566" t="s">
        <v>52</v>
      </c>
      <c r="B1130" s="567"/>
      <c r="C1130" s="567"/>
      <c r="D1130" s="568"/>
      <c r="E1130" s="65"/>
      <c r="F1130" s="569" t="s">
        <v>53</v>
      </c>
      <c r="G1130" s="568"/>
      <c r="H1130" s="66">
        <f>H1127-J1128</f>
        <v>0</v>
      </c>
      <c r="I1130" s="67">
        <f>H1130*3.3%</f>
        <v>0</v>
      </c>
      <c r="J1130" s="68">
        <f>SUM(J1127)</f>
        <v>0</v>
      </c>
      <c r="K1130" s="69">
        <f>H1130-I1130</f>
        <v>0</v>
      </c>
      <c r="L1130" s="70">
        <f>L1127+SUM(H1128:H1129)+J1129</f>
        <v>0</v>
      </c>
      <c r="M1130" s="570">
        <f>K1130+L1130</f>
        <v>0</v>
      </c>
      <c r="N1130" s="571"/>
      <c r="O1130" s="1"/>
      <c r="P1130" s="3"/>
      <c r="Q1130" s="1"/>
      <c r="R1130" s="1"/>
      <c r="S1130" s="1"/>
      <c r="T1130" s="1"/>
      <c r="U1130" s="4"/>
    </row>
    <row r="1131" spans="1:21" ht="18.75" hidden="1" customHeight="1">
      <c r="A1131" s="1"/>
      <c r="B1131" s="1"/>
      <c r="C1131" s="1"/>
      <c r="D1131" s="1"/>
      <c r="E1131" s="1"/>
      <c r="F1131" s="1"/>
      <c r="G1131" s="1"/>
      <c r="H1131" s="141"/>
      <c r="I1131" s="1"/>
      <c r="J1131" s="1"/>
      <c r="K1131" s="3"/>
      <c r="L1131" s="1"/>
      <c r="M1131" s="1"/>
      <c r="N1131" s="1"/>
      <c r="O1131" s="1"/>
      <c r="P1131" s="3"/>
      <c r="Q1131" s="1"/>
      <c r="R1131" s="1"/>
      <c r="S1131" s="1"/>
      <c r="T1131" s="1"/>
      <c r="U1131" s="4"/>
    </row>
    <row r="1132" spans="1:21" ht="18.75" customHeight="1">
      <c r="A1132" s="6" t="s">
        <v>485</v>
      </c>
      <c r="B1132" s="7" t="str">
        <f>$B$34</f>
        <v>1월</v>
      </c>
      <c r="C1132" s="8" t="s">
        <v>1</v>
      </c>
      <c r="D1132" s="9">
        <f>COUNTIF($C1134:$C1157,"계약")+(COUNTIF($C1134:$C1157,"계약2")*2)</f>
        <v>5</v>
      </c>
      <c r="E1132" s="3">
        <f>COUNTIF(C1134:C1157,"낙찰수수료")</f>
        <v>3</v>
      </c>
      <c r="F1132" s="10" t="s">
        <v>583</v>
      </c>
      <c r="G1132" s="1" t="s">
        <v>136</v>
      </c>
      <c r="H1132" s="11">
        <v>0.5</v>
      </c>
      <c r="I1132" s="12">
        <v>3.3000000000000002E-2</v>
      </c>
      <c r="J1132" s="1"/>
      <c r="K1132" s="1"/>
      <c r="L1132" s="1"/>
      <c r="M1132" s="1"/>
      <c r="N1132" s="1"/>
      <c r="O1132" s="1"/>
      <c r="P1132" s="3"/>
      <c r="Q1132" s="1"/>
      <c r="R1132" s="1"/>
      <c r="S1132" s="1"/>
      <c r="T1132" s="1"/>
      <c r="U1132" s="4"/>
    </row>
    <row r="1133" spans="1:21" ht="18.75" customHeight="1">
      <c r="A1133" s="13" t="s">
        <v>3</v>
      </c>
      <c r="B1133" s="14" t="s">
        <v>4</v>
      </c>
      <c r="C1133" s="14" t="s">
        <v>5</v>
      </c>
      <c r="D1133" s="101" t="s">
        <v>6</v>
      </c>
      <c r="E1133" s="16" t="s">
        <v>7</v>
      </c>
      <c r="F1133" s="17" t="s">
        <v>8</v>
      </c>
      <c r="G1133" s="14" t="s">
        <v>9</v>
      </c>
      <c r="H1133" s="15" t="s">
        <v>10</v>
      </c>
      <c r="I1133" s="14" t="s">
        <v>11</v>
      </c>
      <c r="J1133" s="15" t="s">
        <v>12</v>
      </c>
      <c r="K1133" s="14" t="s">
        <v>13</v>
      </c>
      <c r="L1133" s="14" t="s">
        <v>14</v>
      </c>
      <c r="M1133" s="579" t="s">
        <v>15</v>
      </c>
      <c r="N1133" s="577"/>
      <c r="O1133" s="1"/>
      <c r="P1133" s="3"/>
      <c r="Q1133" s="73"/>
      <c r="R1133" s="1"/>
      <c r="S1133" s="1"/>
      <c r="T1133" s="1"/>
      <c r="U1133" s="4"/>
    </row>
    <row r="1134" spans="1:21" ht="18.75" customHeight="1">
      <c r="A1134" s="28">
        <v>46029</v>
      </c>
      <c r="B1134" s="29" t="s">
        <v>626</v>
      </c>
      <c r="C1134" s="30" t="s">
        <v>627</v>
      </c>
      <c r="D1134" s="38"/>
      <c r="E1134" s="27">
        <v>550000</v>
      </c>
      <c r="F1134" s="31">
        <f t="shared" ref="F1134:F1153" si="570">IF(D1134="no",E1134,E1134/1.1)</f>
        <v>499999.99999999994</v>
      </c>
      <c r="G1134" s="27">
        <f t="shared" ref="G1134:G1153" si="571">IF(D1134="no",0,F1134*0.1)</f>
        <v>50000</v>
      </c>
      <c r="H1134" s="32">
        <f t="shared" ref="H1134:H1150" si="572">IF(D1134="no",0,F1134*$H$1132)</f>
        <v>249999.99999999997</v>
      </c>
      <c r="I1134" s="33">
        <f t="shared" ref="I1134:I1153" si="573">IF(D1134="no",0,H1134*3.3%)</f>
        <v>8250</v>
      </c>
      <c r="J1134" s="26"/>
      <c r="K1134" s="27">
        <f t="shared" ref="K1134:K1153" si="574">IF(D1134="no",0,H1134-I1134-J1134)</f>
        <v>241749.99999999997</v>
      </c>
      <c r="L1134" s="40">
        <f>IF(D1134="no",F1134*H1132-J1134,0)</f>
        <v>0</v>
      </c>
      <c r="M1134" s="635"/>
      <c r="N1134" s="564"/>
      <c r="O1134" s="1"/>
      <c r="P1134" s="3"/>
      <c r="Q1134" s="1"/>
      <c r="R1134" s="1"/>
      <c r="S1134" s="1"/>
      <c r="T1134" s="1"/>
      <c r="U1134" s="4"/>
    </row>
    <row r="1135" spans="1:21" ht="18.75" customHeight="1">
      <c r="A1135" s="28">
        <v>46030</v>
      </c>
      <c r="B1135" s="29" t="s">
        <v>628</v>
      </c>
      <c r="C1135" s="30" t="s">
        <v>629</v>
      </c>
      <c r="D1135" s="38"/>
      <c r="E1135" s="27">
        <v>2574000</v>
      </c>
      <c r="F1135" s="31">
        <f t="shared" si="570"/>
        <v>2340000</v>
      </c>
      <c r="G1135" s="27">
        <f t="shared" si="571"/>
        <v>234000</v>
      </c>
      <c r="H1135" s="32">
        <f t="shared" si="572"/>
        <v>1170000</v>
      </c>
      <c r="I1135" s="33">
        <f t="shared" si="573"/>
        <v>38610</v>
      </c>
      <c r="J1135" s="26"/>
      <c r="K1135" s="27">
        <f t="shared" si="574"/>
        <v>1131390</v>
      </c>
      <c r="L1135" s="40">
        <f>IF(D1135="no",F1135*H1132-J1135,0)</f>
        <v>0</v>
      </c>
      <c r="M1135" s="636"/>
      <c r="N1135" s="564"/>
      <c r="O1135" s="1"/>
      <c r="P1135" s="3"/>
      <c r="Q1135" s="1"/>
      <c r="R1135" s="1"/>
      <c r="S1135" s="1"/>
      <c r="T1135" s="1"/>
      <c r="U1135" s="4"/>
    </row>
    <row r="1136" spans="1:21" ht="18.75" customHeight="1">
      <c r="A1136" s="39">
        <v>46031</v>
      </c>
      <c r="B1136" s="29" t="s">
        <v>630</v>
      </c>
      <c r="C1136" s="30" t="s">
        <v>618</v>
      </c>
      <c r="D1136" s="38"/>
      <c r="E1136" s="27">
        <v>550000</v>
      </c>
      <c r="F1136" s="31">
        <f t="shared" si="570"/>
        <v>499999.99999999994</v>
      </c>
      <c r="G1136" s="27">
        <f t="shared" si="571"/>
        <v>50000</v>
      </c>
      <c r="H1136" s="32">
        <f t="shared" si="572"/>
        <v>249999.99999999997</v>
      </c>
      <c r="I1136" s="33">
        <f t="shared" si="573"/>
        <v>8250</v>
      </c>
      <c r="J1136" s="26"/>
      <c r="K1136" s="27">
        <f t="shared" si="574"/>
        <v>241749.99999999997</v>
      </c>
      <c r="L1136" s="40">
        <f>IF(D1136="no",F1136*H1132-J1136,0)</f>
        <v>0</v>
      </c>
      <c r="M1136" s="565"/>
      <c r="N1136" s="564"/>
      <c r="O1136" s="1"/>
      <c r="P1136" s="3"/>
      <c r="Q1136" s="1"/>
      <c r="R1136" s="1"/>
      <c r="S1136" s="1"/>
      <c r="T1136" s="1"/>
      <c r="U1136" s="4"/>
    </row>
    <row r="1137" spans="1:21" ht="18.75" customHeight="1">
      <c r="A1137" s="39">
        <v>46031</v>
      </c>
      <c r="B1137" s="29" t="s">
        <v>631</v>
      </c>
      <c r="C1137" s="29" t="s">
        <v>632</v>
      </c>
      <c r="D1137" s="38"/>
      <c r="E1137" s="553">
        <v>30000</v>
      </c>
      <c r="F1137" s="31">
        <f t="shared" si="570"/>
        <v>27272.727272727272</v>
      </c>
      <c r="G1137" s="27">
        <f t="shared" si="571"/>
        <v>2727.2727272727275</v>
      </c>
      <c r="H1137" s="495">
        <f>IF(D1137="no",0,F1137*$H$1068)</f>
        <v>27272.727272727272</v>
      </c>
      <c r="I1137" s="33">
        <f t="shared" si="573"/>
        <v>900</v>
      </c>
      <c r="J1137" s="26"/>
      <c r="K1137" s="27">
        <f t="shared" si="574"/>
        <v>26372.727272727272</v>
      </c>
      <c r="L1137" s="40">
        <f>IF(D1137="no",F1137*H1132-J1137,0)</f>
        <v>0</v>
      </c>
      <c r="M1137" s="563"/>
      <c r="N1137" s="564"/>
      <c r="O1137" s="1"/>
      <c r="P1137" s="3"/>
      <c r="Q1137" s="1"/>
      <c r="R1137" s="1"/>
      <c r="S1137" s="1"/>
      <c r="T1137" s="1"/>
      <c r="U1137" s="4"/>
    </row>
    <row r="1138" spans="1:21" ht="18.75" customHeight="1">
      <c r="A1138" s="28">
        <v>46032</v>
      </c>
      <c r="B1138" s="29" t="s">
        <v>633</v>
      </c>
      <c r="C1138" s="30" t="s">
        <v>634</v>
      </c>
      <c r="D1138" s="38"/>
      <c r="E1138" s="27">
        <v>550000</v>
      </c>
      <c r="F1138" s="31">
        <f t="shared" si="570"/>
        <v>499999.99999999994</v>
      </c>
      <c r="G1138" s="27">
        <f t="shared" si="571"/>
        <v>50000</v>
      </c>
      <c r="H1138" s="32">
        <f t="shared" si="572"/>
        <v>249999.99999999997</v>
      </c>
      <c r="I1138" s="33">
        <f t="shared" si="573"/>
        <v>8250</v>
      </c>
      <c r="J1138" s="26"/>
      <c r="K1138" s="27">
        <f t="shared" si="574"/>
        <v>241749.99999999997</v>
      </c>
      <c r="L1138" s="40">
        <f>IF(D1138="no",F1138*H1133-J1138,0)</f>
        <v>0</v>
      </c>
      <c r="M1138" s="608"/>
      <c r="N1138" s="564"/>
      <c r="O1138" s="1"/>
      <c r="P1138" s="3"/>
      <c r="Q1138" s="1"/>
      <c r="R1138" s="1"/>
      <c r="S1138" s="1"/>
      <c r="T1138" s="1"/>
      <c r="U1138" s="4"/>
    </row>
    <row r="1139" spans="1:21" ht="18.75" customHeight="1">
      <c r="A1139" s="28">
        <v>46036</v>
      </c>
      <c r="B1139" s="29" t="s">
        <v>635</v>
      </c>
      <c r="C1139" s="30" t="s">
        <v>636</v>
      </c>
      <c r="D1139" s="95"/>
      <c r="E1139" s="27">
        <v>2200000</v>
      </c>
      <c r="F1139" s="31">
        <f t="shared" si="570"/>
        <v>1999999.9999999998</v>
      </c>
      <c r="G1139" s="27">
        <f t="shared" si="571"/>
        <v>200000</v>
      </c>
      <c r="H1139" s="32">
        <f t="shared" si="572"/>
        <v>999999.99999999988</v>
      </c>
      <c r="I1139" s="33">
        <f t="shared" si="573"/>
        <v>33000</v>
      </c>
      <c r="J1139" s="97"/>
      <c r="K1139" s="27">
        <f t="shared" si="574"/>
        <v>966999.99999999988</v>
      </c>
      <c r="L1139" s="157">
        <f>IF(D1139="no",F1139*H1132-J1139,0)</f>
        <v>0</v>
      </c>
      <c r="M1139" s="563"/>
      <c r="N1139" s="564"/>
      <c r="O1139" s="73"/>
      <c r="P1139" s="24"/>
      <c r="Q1139" s="73"/>
      <c r="R1139" s="73"/>
      <c r="S1139" s="73"/>
      <c r="T1139" s="73"/>
      <c r="U1139" s="4"/>
    </row>
    <row r="1140" spans="1:21" ht="18.75" customHeight="1">
      <c r="A1140" s="28">
        <v>46043</v>
      </c>
      <c r="B1140" s="29" t="s">
        <v>637</v>
      </c>
      <c r="C1140" s="30" t="s">
        <v>618</v>
      </c>
      <c r="D1140" s="95"/>
      <c r="E1140" s="27">
        <v>550000</v>
      </c>
      <c r="F1140" s="31">
        <f t="shared" si="570"/>
        <v>499999.99999999994</v>
      </c>
      <c r="G1140" s="27">
        <f t="shared" si="571"/>
        <v>50000</v>
      </c>
      <c r="H1140" s="32">
        <f>IF(D1140="no",0,F1140*$H$1132)</f>
        <v>249999.99999999997</v>
      </c>
      <c r="I1140" s="33">
        <f t="shared" si="573"/>
        <v>8250</v>
      </c>
      <c r="J1140" s="97"/>
      <c r="K1140" s="27">
        <f t="shared" si="574"/>
        <v>241749.99999999997</v>
      </c>
      <c r="L1140" s="157"/>
      <c r="M1140" s="608"/>
      <c r="N1140" s="564"/>
      <c r="O1140" s="73"/>
      <c r="P1140" s="24"/>
      <c r="Q1140" s="73"/>
      <c r="R1140" s="73"/>
      <c r="S1140" s="73"/>
      <c r="T1140" s="73"/>
      <c r="U1140" s="4"/>
    </row>
    <row r="1141" spans="1:21" ht="18.75" customHeight="1">
      <c r="A1141" s="28">
        <v>46044</v>
      </c>
      <c r="B1141" s="29" t="s">
        <v>638</v>
      </c>
      <c r="C1141" s="30" t="s">
        <v>639</v>
      </c>
      <c r="D1141" s="95"/>
      <c r="E1141" s="27">
        <v>2431000</v>
      </c>
      <c r="F1141" s="31">
        <f t="shared" si="570"/>
        <v>2210000</v>
      </c>
      <c r="G1141" s="27">
        <f t="shared" si="571"/>
        <v>221000</v>
      </c>
      <c r="H1141" s="32">
        <f t="shared" si="572"/>
        <v>1105000</v>
      </c>
      <c r="I1141" s="33">
        <f t="shared" si="573"/>
        <v>36465</v>
      </c>
      <c r="J1141" s="26"/>
      <c r="K1141" s="27">
        <f t="shared" si="574"/>
        <v>1068535</v>
      </c>
      <c r="L1141" s="40">
        <f>IF(D1141="no",F1141*H1132-J1141,0)</f>
        <v>0</v>
      </c>
      <c r="M1141" s="608"/>
      <c r="N1141" s="564"/>
      <c r="O1141" s="1"/>
      <c r="P1141" s="3"/>
      <c r="Q1141" s="1"/>
      <c r="R1141" s="1"/>
      <c r="S1141" s="1"/>
      <c r="T1141" s="1"/>
      <c r="U1141" s="4"/>
    </row>
    <row r="1142" spans="1:21" s="279" customFormat="1" ht="18.75" customHeight="1">
      <c r="A1142" s="276">
        <v>46045</v>
      </c>
      <c r="B1142" s="277" t="s">
        <v>640</v>
      </c>
      <c r="C1142" s="398" t="s">
        <v>623</v>
      </c>
      <c r="D1142" s="131"/>
      <c r="E1142" s="132">
        <v>220000</v>
      </c>
      <c r="F1142" s="133">
        <f t="shared" si="570"/>
        <v>199999.99999999997</v>
      </c>
      <c r="G1142" s="132">
        <f t="shared" si="571"/>
        <v>20000</v>
      </c>
      <c r="H1142" s="112">
        <f>IF(D1142="no",0,F1142*$H$1132)</f>
        <v>99999.999999999985</v>
      </c>
      <c r="I1142" s="134">
        <f t="shared" si="573"/>
        <v>3299.9999999999995</v>
      </c>
      <c r="J1142" s="26"/>
      <c r="K1142" s="27">
        <f t="shared" si="574"/>
        <v>96699.999999999985</v>
      </c>
      <c r="L1142" s="157">
        <f t="shared" ref="L1142:L1143" si="575">IF(D1142="no",F1142*H1136-J1142,0)</f>
        <v>0</v>
      </c>
      <c r="M1142" s="563"/>
      <c r="N1142" s="627"/>
      <c r="O1142" s="73"/>
      <c r="P1142" s="24"/>
      <c r="Q1142" s="73"/>
      <c r="R1142" s="73"/>
      <c r="S1142" s="73"/>
      <c r="T1142" s="73"/>
      <c r="U1142" s="92"/>
    </row>
    <row r="1143" spans="1:21" ht="18.75" customHeight="1">
      <c r="A1143" s="276">
        <v>46052</v>
      </c>
      <c r="B1143" s="277" t="s">
        <v>641</v>
      </c>
      <c r="C1143" s="398" t="s">
        <v>623</v>
      </c>
      <c r="D1143" s="131"/>
      <c r="E1143" s="132">
        <v>110000</v>
      </c>
      <c r="F1143" s="133">
        <f t="shared" si="570"/>
        <v>99999.999999999985</v>
      </c>
      <c r="G1143" s="132">
        <f t="shared" si="571"/>
        <v>10000</v>
      </c>
      <c r="H1143" s="112">
        <f>IF(D1143="no",0,F1143*$H$1132)</f>
        <v>49999.999999999993</v>
      </c>
      <c r="I1143" s="134">
        <f t="shared" si="573"/>
        <v>1649.9999999999998</v>
      </c>
      <c r="J1143" s="97"/>
      <c r="K1143" s="27">
        <f t="shared" si="574"/>
        <v>48349.999999999993</v>
      </c>
      <c r="L1143" s="157">
        <f t="shared" si="575"/>
        <v>0</v>
      </c>
      <c r="M1143" s="563"/>
      <c r="N1143" s="627"/>
      <c r="O1143" s="73"/>
      <c r="P1143" s="24"/>
      <c r="Q1143" s="73"/>
      <c r="R1143" s="73"/>
      <c r="S1143" s="73"/>
      <c r="T1143" s="73"/>
      <c r="U1143" s="4"/>
    </row>
    <row r="1144" spans="1:21" ht="18.75" customHeight="1">
      <c r="A1144" s="28">
        <v>46053</v>
      </c>
      <c r="B1144" s="29" t="s">
        <v>832</v>
      </c>
      <c r="C1144" s="30" t="s">
        <v>833</v>
      </c>
      <c r="D1144" s="95"/>
      <c r="E1144" s="27">
        <v>1100000</v>
      </c>
      <c r="F1144" s="31">
        <f t="shared" si="570"/>
        <v>999999.99999999988</v>
      </c>
      <c r="G1144" s="27">
        <f t="shared" si="571"/>
        <v>100000</v>
      </c>
      <c r="H1144" s="32">
        <f t="shared" si="572"/>
        <v>499999.99999999994</v>
      </c>
      <c r="I1144" s="33">
        <f t="shared" si="573"/>
        <v>16500</v>
      </c>
      <c r="J1144" s="97"/>
      <c r="K1144" s="27">
        <f t="shared" si="574"/>
        <v>483499.99999999994</v>
      </c>
      <c r="L1144" s="157"/>
      <c r="M1144" s="94"/>
      <c r="N1144" s="95"/>
      <c r="O1144" s="73"/>
      <c r="P1144" s="24"/>
      <c r="Q1144" s="73"/>
      <c r="R1144" s="73"/>
      <c r="S1144" s="73"/>
      <c r="T1144" s="73"/>
      <c r="U1144" s="4"/>
    </row>
    <row r="1145" spans="1:21" ht="18.75" customHeight="1">
      <c r="A1145" s="28"/>
      <c r="B1145" s="29"/>
      <c r="C1145" s="30"/>
      <c r="D1145" s="38"/>
      <c r="E1145" s="27"/>
      <c r="F1145" s="31">
        <f t="shared" si="570"/>
        <v>0</v>
      </c>
      <c r="G1145" s="27">
        <f t="shared" si="571"/>
        <v>0</v>
      </c>
      <c r="H1145" s="32">
        <f t="shared" si="572"/>
        <v>0</v>
      </c>
      <c r="I1145" s="33">
        <f t="shared" si="573"/>
        <v>0</v>
      </c>
      <c r="J1145" s="26"/>
      <c r="K1145" s="27">
        <f t="shared" si="574"/>
        <v>0</v>
      </c>
      <c r="L1145" s="40">
        <f>IF(D1145="no",F1145*H1137-J1145,0)</f>
        <v>0</v>
      </c>
      <c r="M1145" s="572"/>
      <c r="N1145" s="564"/>
      <c r="O1145" s="1"/>
      <c r="P1145" s="3"/>
      <c r="Q1145" s="1"/>
      <c r="R1145" s="1"/>
      <c r="S1145" s="1"/>
      <c r="T1145" s="1"/>
      <c r="U1145" s="4"/>
    </row>
    <row r="1146" spans="1:21" ht="18.75" hidden="1" customHeight="1">
      <c r="A1146" s="18"/>
      <c r="B1146" s="19"/>
      <c r="C1146" s="20"/>
      <c r="D1146" s="437"/>
      <c r="E1146" s="22"/>
      <c r="F1146" s="133">
        <f t="shared" si="570"/>
        <v>0</v>
      </c>
      <c r="G1146" s="132">
        <f t="shared" si="571"/>
        <v>0</v>
      </c>
      <c r="H1146" s="462">
        <f>IF(D1146="no",0,F1146*$H$1131)</f>
        <v>0</v>
      </c>
      <c r="I1146" s="134">
        <f t="shared" si="573"/>
        <v>0</v>
      </c>
      <c r="J1146" s="135"/>
      <c r="K1146" s="132">
        <f t="shared" si="574"/>
        <v>0</v>
      </c>
      <c r="L1146" s="40">
        <f>IF(D1146="no",F1146*H1142-J1146,0)</f>
        <v>0</v>
      </c>
      <c r="M1146" s="563"/>
      <c r="N1146" s="627"/>
      <c r="O1146" s="1"/>
      <c r="P1146" s="3"/>
      <c r="Q1146" s="1"/>
      <c r="R1146" s="1"/>
      <c r="S1146" s="1"/>
      <c r="T1146" s="1"/>
      <c r="U1146" s="4"/>
    </row>
    <row r="1147" spans="1:21" s="259" customFormat="1" ht="18.75" hidden="1" customHeight="1">
      <c r="A1147" s="28"/>
      <c r="B1147" s="29"/>
      <c r="C1147" s="30"/>
      <c r="D1147" s="258"/>
      <c r="E1147" s="27"/>
      <c r="F1147" s="31">
        <f t="shared" si="570"/>
        <v>0</v>
      </c>
      <c r="G1147" s="27">
        <f t="shared" si="571"/>
        <v>0</v>
      </c>
      <c r="H1147" s="32">
        <f t="shared" si="572"/>
        <v>0</v>
      </c>
      <c r="I1147" s="33">
        <f t="shared" si="573"/>
        <v>0</v>
      </c>
      <c r="J1147" s="26"/>
      <c r="K1147" s="27">
        <f t="shared" si="574"/>
        <v>0</v>
      </c>
      <c r="L1147" s="40"/>
      <c r="M1147" s="572"/>
      <c r="N1147" s="634"/>
      <c r="O1147" s="1"/>
      <c r="P1147" s="3"/>
      <c r="Q1147" s="1"/>
      <c r="R1147" s="1"/>
      <c r="S1147" s="1"/>
      <c r="T1147" s="1"/>
      <c r="U1147" s="4"/>
    </row>
    <row r="1148" spans="1:21" ht="18.75" hidden="1" customHeight="1">
      <c r="A1148" s="28"/>
      <c r="B1148" s="250"/>
      <c r="C1148" s="251"/>
      <c r="D1148" s="264"/>
      <c r="E1148" s="253"/>
      <c r="F1148" s="31">
        <f t="shared" si="570"/>
        <v>0</v>
      </c>
      <c r="G1148" s="27">
        <f t="shared" si="571"/>
        <v>0</v>
      </c>
      <c r="H1148" s="32">
        <f t="shared" si="572"/>
        <v>0</v>
      </c>
      <c r="I1148" s="33">
        <f t="shared" si="573"/>
        <v>0</v>
      </c>
      <c r="J1148" s="97"/>
      <c r="K1148" s="27">
        <f t="shared" si="574"/>
        <v>0</v>
      </c>
      <c r="L1148" s="157">
        <f>IF(D1148="no",F1148*H1141-J1148,0)</f>
        <v>0</v>
      </c>
      <c r="M1148" s="94"/>
      <c r="N1148" s="95"/>
      <c r="O1148" s="73"/>
      <c r="P1148" s="24"/>
      <c r="Q1148" s="73"/>
      <c r="R1148" s="73"/>
      <c r="S1148" s="73"/>
      <c r="T1148" s="73"/>
      <c r="U1148" s="4"/>
    </row>
    <row r="1149" spans="1:21" ht="18.75" hidden="1" customHeight="1">
      <c r="A1149" s="28"/>
      <c r="B1149" s="29"/>
      <c r="C1149" s="30"/>
      <c r="D1149" s="95"/>
      <c r="E1149" s="27"/>
      <c r="F1149" s="31">
        <f t="shared" si="570"/>
        <v>0</v>
      </c>
      <c r="G1149" s="27">
        <f t="shared" si="571"/>
        <v>0</v>
      </c>
      <c r="H1149" s="32">
        <f t="shared" si="572"/>
        <v>0</v>
      </c>
      <c r="I1149" s="33">
        <f t="shared" si="573"/>
        <v>0</v>
      </c>
      <c r="J1149" s="97"/>
      <c r="K1149" s="27">
        <f t="shared" si="574"/>
        <v>0</v>
      </c>
      <c r="L1149" s="157"/>
      <c r="M1149" s="94"/>
      <c r="N1149" s="95"/>
      <c r="O1149" s="73"/>
      <c r="P1149" s="24"/>
      <c r="Q1149" s="73"/>
      <c r="R1149" s="73"/>
      <c r="S1149" s="73"/>
      <c r="T1149" s="73"/>
      <c r="U1149" s="4"/>
    </row>
    <row r="1150" spans="1:21" ht="18.75" customHeight="1">
      <c r="A1150" s="39" t="s">
        <v>616</v>
      </c>
      <c r="B1150" s="29" t="s">
        <v>417</v>
      </c>
      <c r="C1150" s="30"/>
      <c r="D1150" s="38"/>
      <c r="E1150" s="27"/>
      <c r="F1150" s="31">
        <f t="shared" si="570"/>
        <v>0</v>
      </c>
      <c r="G1150" s="27">
        <f t="shared" si="571"/>
        <v>0</v>
      </c>
      <c r="H1150" s="32">
        <f t="shared" si="572"/>
        <v>0</v>
      </c>
      <c r="I1150" s="33">
        <f t="shared" si="573"/>
        <v>0</v>
      </c>
      <c r="J1150" s="26"/>
      <c r="K1150" s="27">
        <f t="shared" si="574"/>
        <v>0</v>
      </c>
      <c r="L1150" s="40">
        <f>IF(D1150="no",F1150*#REF!-J1150,0)</f>
        <v>0</v>
      </c>
      <c r="M1150" s="572"/>
      <c r="N1150" s="564"/>
      <c r="O1150" s="1"/>
      <c r="P1150" s="3"/>
      <c r="Q1150" s="1"/>
      <c r="R1150" s="73"/>
      <c r="S1150" s="1"/>
      <c r="T1150" s="1"/>
      <c r="U1150" s="4"/>
    </row>
    <row r="1151" spans="1:21" ht="18.75" customHeight="1">
      <c r="A1151" s="39" t="s">
        <v>616</v>
      </c>
      <c r="B1151" s="29" t="s">
        <v>35</v>
      </c>
      <c r="C1151" s="30"/>
      <c r="D1151" s="38"/>
      <c r="E1151" s="27"/>
      <c r="F1151" s="31">
        <f t="shared" si="570"/>
        <v>0</v>
      </c>
      <c r="G1151" s="27">
        <f t="shared" si="571"/>
        <v>0</v>
      </c>
      <c r="H1151" s="32"/>
      <c r="I1151" s="33">
        <f t="shared" si="573"/>
        <v>0</v>
      </c>
      <c r="J1151" s="26"/>
      <c r="K1151" s="27">
        <f t="shared" si="574"/>
        <v>0</v>
      </c>
      <c r="L1151" s="40">
        <f>IF(D1151="no",F1151*H1132-J1151,0)</f>
        <v>0</v>
      </c>
      <c r="M1151" s="563"/>
      <c r="N1151" s="564"/>
      <c r="O1151" s="1"/>
      <c r="P1151" s="3"/>
      <c r="Q1151" s="1"/>
      <c r="R1151" s="1"/>
      <c r="S1151" s="1"/>
      <c r="T1151" s="1"/>
      <c r="U1151" s="4"/>
    </row>
    <row r="1152" spans="1:21" ht="18.75" customHeight="1">
      <c r="A1152" s="39" t="s">
        <v>616</v>
      </c>
      <c r="B1152" s="29" t="s">
        <v>61</v>
      </c>
      <c r="C1152" s="30"/>
      <c r="D1152" s="38"/>
      <c r="E1152" s="27"/>
      <c r="F1152" s="31">
        <f t="shared" si="570"/>
        <v>0</v>
      </c>
      <c r="G1152" s="27">
        <f t="shared" si="571"/>
        <v>0</v>
      </c>
      <c r="H1152" s="32"/>
      <c r="I1152" s="33">
        <f t="shared" si="573"/>
        <v>0</v>
      </c>
      <c r="J1152" s="26"/>
      <c r="K1152" s="27">
        <f t="shared" si="574"/>
        <v>0</v>
      </c>
      <c r="L1152" s="40">
        <f>IF(D1152="no",F1152*H1131-J1152,0)</f>
        <v>0</v>
      </c>
      <c r="M1152" s="578"/>
      <c r="N1152" s="564"/>
      <c r="O1152" s="1"/>
      <c r="P1152" s="3"/>
      <c r="Q1152" s="1"/>
      <c r="R1152" s="1"/>
      <c r="S1152" s="1"/>
      <c r="T1152" s="1"/>
      <c r="U1152" s="4"/>
    </row>
    <row r="1153" spans="1:21" ht="18.75" customHeight="1">
      <c r="A1153" s="39" t="s">
        <v>616</v>
      </c>
      <c r="B1153" s="29" t="s">
        <v>37</v>
      </c>
      <c r="C1153" s="30"/>
      <c r="D1153" s="21"/>
      <c r="E1153" s="27"/>
      <c r="F1153" s="31">
        <f t="shared" si="570"/>
        <v>0</v>
      </c>
      <c r="G1153" s="27">
        <f t="shared" si="571"/>
        <v>0</v>
      </c>
      <c r="H1153" s="37"/>
      <c r="I1153" s="33">
        <f t="shared" si="573"/>
        <v>0</v>
      </c>
      <c r="J1153" s="26"/>
      <c r="K1153" s="27">
        <f t="shared" si="574"/>
        <v>0</v>
      </c>
      <c r="L1153" s="40"/>
      <c r="M1153" s="572"/>
      <c r="N1153" s="564"/>
      <c r="O1153" s="1"/>
      <c r="P1153" s="3"/>
      <c r="Q1153" s="1"/>
      <c r="R1153" s="1"/>
      <c r="S1153" s="1"/>
      <c r="T1153" s="1"/>
      <c r="U1153" s="4"/>
    </row>
    <row r="1154" spans="1:21" s="380" customFormat="1" ht="18.75" customHeight="1">
      <c r="A1154" s="39" t="s">
        <v>616</v>
      </c>
      <c r="B1154" s="29" t="s">
        <v>410</v>
      </c>
      <c r="C1154" s="30"/>
      <c r="D1154" s="381"/>
      <c r="E1154" s="27"/>
      <c r="F1154" s="31"/>
      <c r="G1154" s="27"/>
      <c r="H1154" s="37"/>
      <c r="I1154" s="33"/>
      <c r="J1154" s="26"/>
      <c r="K1154" s="27"/>
      <c r="L1154" s="40"/>
      <c r="M1154" s="586"/>
      <c r="N1154" s="624"/>
      <c r="O1154" s="1"/>
      <c r="P1154" s="3"/>
      <c r="Q1154" s="1"/>
      <c r="R1154" s="1"/>
      <c r="S1154" s="1"/>
      <c r="T1154" s="1"/>
      <c r="U1154" s="4"/>
    </row>
    <row r="1155" spans="1:21" s="414" customFormat="1" ht="18.75" customHeight="1">
      <c r="A1155" s="39" t="s">
        <v>616</v>
      </c>
      <c r="B1155" s="29" t="s">
        <v>434</v>
      </c>
      <c r="C1155" s="30"/>
      <c r="D1155" s="415"/>
      <c r="E1155" s="27"/>
      <c r="F1155" s="31"/>
      <c r="G1155" s="27"/>
      <c r="H1155" s="37"/>
      <c r="I1155" s="33"/>
      <c r="J1155" s="26"/>
      <c r="K1155" s="27">
        <f>IF(D1155="no",0,H1155-I1155-J1155)</f>
        <v>0</v>
      </c>
      <c r="L1155" s="40"/>
      <c r="M1155" s="586"/>
      <c r="N1155" s="624"/>
      <c r="O1155" s="1"/>
      <c r="P1155" s="3"/>
      <c r="Q1155" s="1"/>
      <c r="R1155" s="1"/>
      <c r="S1155" s="1"/>
      <c r="T1155" s="1"/>
      <c r="U1155" s="4"/>
    </row>
    <row r="1156" spans="1:21" ht="18.75" customHeight="1">
      <c r="A1156" s="39" t="s">
        <v>616</v>
      </c>
      <c r="B1156" s="29" t="s">
        <v>39</v>
      </c>
      <c r="C1156" s="30"/>
      <c r="D1156" s="21"/>
      <c r="E1156" s="27"/>
      <c r="F1156" s="31"/>
      <c r="G1156" s="27"/>
      <c r="H1156" s="37"/>
      <c r="I1156" s="33">
        <f>IF(D1156="no",0,H1156*3.3%)</f>
        <v>0</v>
      </c>
      <c r="J1156" s="26"/>
      <c r="K1156" s="27">
        <f>IF(D1156="no",0,H1156-I1156-J1156)</f>
        <v>0</v>
      </c>
      <c r="L1156" s="40"/>
      <c r="M1156" s="586"/>
      <c r="N1156" s="624"/>
      <c r="O1156" s="1"/>
      <c r="P1156" s="3"/>
      <c r="Q1156" s="1"/>
      <c r="R1156" s="1"/>
      <c r="S1156" s="1"/>
      <c r="T1156" s="1"/>
      <c r="U1156" s="4"/>
    </row>
    <row r="1157" spans="1:21" ht="18.75" customHeight="1">
      <c r="A1157" s="39" t="s">
        <v>616</v>
      </c>
      <c r="B1157" s="29" t="s">
        <v>41</v>
      </c>
      <c r="C1157" s="30"/>
      <c r="D1157" s="38"/>
      <c r="E1157" s="27"/>
      <c r="F1157" s="31">
        <f>IF(D1157="no",E1157,E1157/1.1)</f>
        <v>0</v>
      </c>
      <c r="G1157" s="27">
        <f>IF(D1157="no",0,F1157*0.1)</f>
        <v>0</v>
      </c>
      <c r="H1157" s="37"/>
      <c r="I1157" s="33">
        <f>IF(D1157="no",0,H1157*3.3%)</f>
        <v>0</v>
      </c>
      <c r="J1157" s="26"/>
      <c r="K1157" s="27">
        <f>IF(D1157="no",0,H1157-I1157-J1157)</f>
        <v>0</v>
      </c>
      <c r="L1157" s="40">
        <f>IF(D1157="no",F1157*H1132-J1157,0)</f>
        <v>0</v>
      </c>
      <c r="M1157" s="632"/>
      <c r="N1157" s="633"/>
      <c r="O1157" s="1"/>
      <c r="P1157" s="3"/>
      <c r="Q1157" s="1"/>
      <c r="R1157" s="1"/>
      <c r="S1157" s="1"/>
      <c r="T1157" s="1"/>
      <c r="U1157" s="4"/>
    </row>
    <row r="1158" spans="1:21" ht="18.75" customHeight="1">
      <c r="A1158" s="575" t="s">
        <v>42</v>
      </c>
      <c r="B1158" s="576"/>
      <c r="C1158" s="576"/>
      <c r="D1158" s="577"/>
      <c r="E1158" s="42">
        <f t="shared" ref="E1158:L1158" si="576">SUM(E1134:E1157)</f>
        <v>10865000</v>
      </c>
      <c r="F1158" s="17">
        <f t="shared" si="576"/>
        <v>9877272.7272727266</v>
      </c>
      <c r="G1158" s="42">
        <f t="shared" si="576"/>
        <v>987727.27272727271</v>
      </c>
      <c r="H1158" s="43">
        <f>SUM(H1134:H1157)</f>
        <v>4952272.7272727266</v>
      </c>
      <c r="I1158" s="42">
        <f t="shared" si="576"/>
        <v>163425</v>
      </c>
      <c r="J1158" s="43">
        <f t="shared" si="576"/>
        <v>0</v>
      </c>
      <c r="K1158" s="42">
        <f t="shared" si="576"/>
        <v>4788847.7272727266</v>
      </c>
      <c r="L1158" s="42">
        <f t="shared" si="576"/>
        <v>0</v>
      </c>
      <c r="M1158" s="44"/>
      <c r="N1158" s="45"/>
      <c r="O1158" s="1"/>
      <c r="P1158" s="3"/>
      <c r="Q1158" s="1"/>
      <c r="R1158" s="1"/>
      <c r="S1158" s="1"/>
      <c r="T1158" s="1"/>
      <c r="U1158" s="4"/>
    </row>
    <row r="1159" spans="1:21" ht="18.75" customHeight="1">
      <c r="A1159" s="46" t="s">
        <v>37</v>
      </c>
      <c r="B1159" s="47" t="s">
        <v>43</v>
      </c>
      <c r="C1159" s="48">
        <f>D1132</f>
        <v>5</v>
      </c>
      <c r="D1159" s="47" t="s">
        <v>44</v>
      </c>
      <c r="E1159" s="49"/>
      <c r="F1159" s="59" t="s">
        <v>66</v>
      </c>
      <c r="G1159" s="60">
        <f>C1159+C1461</f>
        <v>5</v>
      </c>
      <c r="H1159" s="49"/>
      <c r="I1159" s="53" t="s">
        <v>137</v>
      </c>
      <c r="J1159" s="54">
        <v>121450</v>
      </c>
      <c r="K1159" s="50"/>
      <c r="L1159" s="55"/>
      <c r="M1159" s="63"/>
      <c r="N1159" s="64"/>
      <c r="O1159" s="1"/>
      <c r="P1159" s="3"/>
      <c r="Q1159" s="1"/>
      <c r="R1159" s="1"/>
      <c r="S1159" s="1"/>
      <c r="T1159" s="1"/>
      <c r="U1159" s="4"/>
    </row>
    <row r="1160" spans="1:21" ht="18.75" customHeight="1" thickBot="1">
      <c r="A1160" s="56" t="s">
        <v>48</v>
      </c>
      <c r="B1160" s="57" t="s">
        <v>49</v>
      </c>
      <c r="C1160" s="58">
        <f>ROUND(F1158/10000,0)</f>
        <v>988</v>
      </c>
      <c r="D1160" s="57" t="s">
        <v>50</v>
      </c>
      <c r="E1160" s="52"/>
      <c r="F1160" s="59" t="s">
        <v>67</v>
      </c>
      <c r="G1160" s="60">
        <f>C1160+C1462</f>
        <v>996</v>
      </c>
      <c r="H1160" s="52"/>
      <c r="I1160" s="59"/>
      <c r="J1160" s="61"/>
      <c r="K1160" s="59"/>
      <c r="L1160" s="62"/>
      <c r="M1160" s="63"/>
      <c r="N1160" s="64"/>
      <c r="O1160" s="1"/>
      <c r="P1160" s="3"/>
      <c r="Q1160" s="1"/>
      <c r="R1160" s="1"/>
      <c r="S1160" s="1"/>
      <c r="T1160" s="1"/>
      <c r="U1160" s="4"/>
    </row>
    <row r="1161" spans="1:21" ht="18.75" customHeight="1" thickBot="1">
      <c r="A1161" s="566" t="s">
        <v>52</v>
      </c>
      <c r="B1161" s="567"/>
      <c r="C1161" s="567"/>
      <c r="D1161" s="568"/>
      <c r="E1161" s="65"/>
      <c r="F1161" s="569" t="s">
        <v>53</v>
      </c>
      <c r="G1161" s="568"/>
      <c r="H1161" s="66">
        <f>H1158-J1159</f>
        <v>4830822.7272727266</v>
      </c>
      <c r="I1161" s="67">
        <f>H1161*3.3%</f>
        <v>159417.15</v>
      </c>
      <c r="J1161" s="68">
        <f>SUM(J1158)</f>
        <v>0</v>
      </c>
      <c r="K1161" s="69">
        <f>H1161-I1161-J1161</f>
        <v>4671405.5772727262</v>
      </c>
      <c r="L1161" s="70">
        <f>L1158+SUM(H1159:H1160)+J1160</f>
        <v>0</v>
      </c>
      <c r="M1161" s="570">
        <f>K1161+L1161</f>
        <v>4671405.5772727262</v>
      </c>
      <c r="N1161" s="571"/>
      <c r="O1161" s="1"/>
      <c r="P1161" s="3"/>
      <c r="Q1161" s="1"/>
      <c r="R1161" s="1"/>
      <c r="S1161" s="1"/>
      <c r="T1161" s="1"/>
      <c r="U1161" s="4"/>
    </row>
    <row r="1162" spans="1:21" ht="18.75" customHeight="1">
      <c r="A1162" s="158"/>
      <c r="B1162" s="158"/>
      <c r="C1162" s="158"/>
      <c r="D1162" s="158"/>
      <c r="E1162" s="97"/>
      <c r="F1162" s="97"/>
      <c r="G1162" s="97"/>
      <c r="H1162" s="93"/>
      <c r="I1162" s="97"/>
      <c r="J1162" s="97"/>
      <c r="K1162" s="159"/>
      <c r="L1162" s="159"/>
      <c r="M1162" s="160"/>
      <c r="N1162" s="160"/>
      <c r="O1162" s="1"/>
      <c r="P1162" s="3"/>
      <c r="Q1162" s="1"/>
      <c r="R1162" s="1"/>
      <c r="S1162" s="1"/>
      <c r="T1162" s="1"/>
      <c r="U1162" s="4"/>
    </row>
    <row r="1163" spans="1:21" ht="18.75" hidden="1" customHeight="1">
      <c r="A1163" s="6"/>
      <c r="B1163" s="7" t="str">
        <f>$B$34</f>
        <v>1월</v>
      </c>
      <c r="C1163" s="8" t="s">
        <v>1</v>
      </c>
      <c r="D1163" s="9">
        <f>COUNTIF($C1165:$C1179,"계약")+(COUNTIF($C1165:$C1179,"계약2")*2)</f>
        <v>0</v>
      </c>
      <c r="E1163" s="3">
        <f>COUNTIF(C1165:C1179,"낙찰수수료")</f>
        <v>0</v>
      </c>
      <c r="F1163" s="3"/>
      <c r="G1163" s="89"/>
      <c r="H1163" s="11">
        <v>0.5</v>
      </c>
      <c r="I1163" s="12">
        <v>3.3000000000000002E-2</v>
      </c>
      <c r="J1163" s="1"/>
      <c r="K1163" s="1"/>
      <c r="L1163" s="1"/>
      <c r="M1163" s="1"/>
      <c r="N1163" s="1"/>
      <c r="O1163" s="1"/>
      <c r="P1163" s="3"/>
      <c r="Q1163" s="1"/>
      <c r="R1163" s="1"/>
      <c r="S1163" s="1"/>
      <c r="T1163" s="1"/>
      <c r="U1163" s="4"/>
    </row>
    <row r="1164" spans="1:21" ht="18.75" hidden="1" customHeight="1">
      <c r="A1164" s="13" t="s">
        <v>3</v>
      </c>
      <c r="B1164" s="14" t="s">
        <v>4</v>
      </c>
      <c r="C1164" s="14" t="s">
        <v>5</v>
      </c>
      <c r="D1164" s="101" t="s">
        <v>6</v>
      </c>
      <c r="E1164" s="16" t="s">
        <v>7</v>
      </c>
      <c r="F1164" s="17" t="s">
        <v>8</v>
      </c>
      <c r="G1164" s="14" t="s">
        <v>9</v>
      </c>
      <c r="H1164" s="15" t="s">
        <v>10</v>
      </c>
      <c r="I1164" s="14" t="s">
        <v>11</v>
      </c>
      <c r="J1164" s="15" t="s">
        <v>12</v>
      </c>
      <c r="K1164" s="14" t="s">
        <v>13</v>
      </c>
      <c r="L1164" s="14" t="s">
        <v>14</v>
      </c>
      <c r="M1164" s="579" t="s">
        <v>15</v>
      </c>
      <c r="N1164" s="577"/>
      <c r="O1164" s="1"/>
      <c r="P1164" s="3"/>
      <c r="Q1164" s="1"/>
      <c r="R1164" s="1"/>
      <c r="S1164" s="1"/>
      <c r="T1164" s="1"/>
      <c r="U1164" s="4"/>
    </row>
    <row r="1165" spans="1:21" ht="18.75" hidden="1" customHeight="1">
      <c r="A1165" s="28"/>
      <c r="B1165" s="29"/>
      <c r="C1165" s="30"/>
      <c r="D1165" s="38"/>
      <c r="E1165" s="27"/>
      <c r="F1165" s="31">
        <f t="shared" ref="F1165:F1167" si="577">IF(D1165="no",E1165,E1165/1.1)</f>
        <v>0</v>
      </c>
      <c r="G1165" s="27">
        <f t="shared" ref="G1165:G1167" si="578">IF(D1165="no",0,F1165*0.1)</f>
        <v>0</v>
      </c>
      <c r="H1165" s="32">
        <f>IF(D1165="no",0,F1165*H1163)</f>
        <v>0</v>
      </c>
      <c r="I1165" s="33">
        <f t="shared" ref="I1165:I1167" si="579">IF(D1165="no",0,H1165*3.3%)</f>
        <v>0</v>
      </c>
      <c r="J1165" s="26"/>
      <c r="K1165" s="27">
        <f t="shared" ref="K1165:K1167" si="580">IF(D1165="no",0,H1165-I1165-J1165)</f>
        <v>0</v>
      </c>
      <c r="L1165" s="27">
        <f>IF(D1165="no",F1165*H1163-J1165,0)</f>
        <v>0</v>
      </c>
      <c r="M1165" s="582"/>
      <c r="N1165" s="581"/>
      <c r="O1165" s="1"/>
      <c r="P1165" s="3"/>
      <c r="Q1165" s="1"/>
      <c r="R1165" s="1"/>
      <c r="S1165" s="1"/>
      <c r="T1165" s="1"/>
      <c r="U1165" s="4"/>
    </row>
    <row r="1166" spans="1:21" ht="18.75" hidden="1" customHeight="1">
      <c r="A1166" s="28"/>
      <c r="B1166" s="29"/>
      <c r="C1166" s="30"/>
      <c r="D1166" s="38"/>
      <c r="E1166" s="27"/>
      <c r="F1166" s="31">
        <f t="shared" si="577"/>
        <v>0</v>
      </c>
      <c r="G1166" s="27">
        <f t="shared" si="578"/>
        <v>0</v>
      </c>
      <c r="H1166" s="32">
        <f>IF(D1166="no",0,F1166*H1163)</f>
        <v>0</v>
      </c>
      <c r="I1166" s="33">
        <f t="shared" si="579"/>
        <v>0</v>
      </c>
      <c r="J1166" s="26"/>
      <c r="K1166" s="27">
        <f t="shared" si="580"/>
        <v>0</v>
      </c>
      <c r="L1166" s="27">
        <f>IF(D1166="no",F1166*H1163-J1166,0)</f>
        <v>0</v>
      </c>
      <c r="M1166" s="572"/>
      <c r="N1166" s="564"/>
      <c r="O1166" s="1"/>
      <c r="P1166" s="3"/>
      <c r="Q1166" s="1"/>
      <c r="R1166" s="1"/>
      <c r="S1166" s="1"/>
      <c r="T1166" s="1"/>
      <c r="U1166" s="4"/>
    </row>
    <row r="1167" spans="1:21" ht="18.75" hidden="1" customHeight="1">
      <c r="A1167" s="39"/>
      <c r="B1167" s="127"/>
      <c r="C1167" s="30"/>
      <c r="D1167" s="95"/>
      <c r="E1167" s="102"/>
      <c r="F1167" s="31">
        <f t="shared" si="577"/>
        <v>0</v>
      </c>
      <c r="G1167" s="27">
        <f t="shared" si="578"/>
        <v>0</v>
      </c>
      <c r="H1167" s="32">
        <f>IF(D1167="no",0,F1167*H1163)</f>
        <v>0</v>
      </c>
      <c r="I1167" s="33">
        <f t="shared" si="579"/>
        <v>0</v>
      </c>
      <c r="J1167" s="26"/>
      <c r="K1167" s="27">
        <f t="shared" si="580"/>
        <v>0</v>
      </c>
      <c r="L1167" s="27">
        <f>IF(D1167="no",F1167*H1163-J1167,0)</f>
        <v>0</v>
      </c>
      <c r="M1167" s="563"/>
      <c r="N1167" s="564"/>
      <c r="O1167" s="1"/>
      <c r="P1167" s="3"/>
      <c r="Q1167" s="1"/>
      <c r="R1167" s="1"/>
      <c r="S1167" s="1"/>
      <c r="T1167" s="1"/>
      <c r="U1167" s="4"/>
    </row>
    <row r="1168" spans="1:21" ht="18.75" hidden="1" customHeight="1">
      <c r="A1168" s="39"/>
      <c r="B1168" s="127"/>
      <c r="C1168" s="30"/>
      <c r="D1168" s="95"/>
      <c r="E1168" s="102"/>
      <c r="F1168" s="31"/>
      <c r="G1168" s="27"/>
      <c r="H1168" s="32"/>
      <c r="I1168" s="33"/>
      <c r="J1168" s="26"/>
      <c r="K1168" s="27"/>
      <c r="L1168" s="27"/>
      <c r="M1168" s="563"/>
      <c r="N1168" s="564"/>
      <c r="O1168" s="1"/>
      <c r="P1168" s="3"/>
      <c r="Q1168" s="1"/>
      <c r="R1168" s="1"/>
      <c r="S1168" s="1"/>
      <c r="T1168" s="1"/>
      <c r="U1168" s="4"/>
    </row>
    <row r="1169" spans="1:21" ht="18.75" hidden="1" customHeight="1">
      <c r="A1169" s="39"/>
      <c r="B1169" s="29"/>
      <c r="C1169" s="30"/>
      <c r="D1169" s="38"/>
      <c r="E1169" s="27"/>
      <c r="F1169" s="31">
        <f t="shared" ref="F1169:F1174" si="581">IF(D1169="no",E1169,E1169/1.1)</f>
        <v>0</v>
      </c>
      <c r="G1169" s="27">
        <f t="shared" ref="G1169:G1174" si="582">IF(D1169="no",0,F1169*0.1)</f>
        <v>0</v>
      </c>
      <c r="H1169" s="32">
        <f>IF(D1169="no",0,F1169*H1163)</f>
        <v>0</v>
      </c>
      <c r="I1169" s="33">
        <f t="shared" ref="I1169:I1174" si="583">IF(D1169="no",0,H1169*3.3%)</f>
        <v>0</v>
      </c>
      <c r="J1169" s="26"/>
      <c r="K1169" s="27">
        <f t="shared" ref="K1169:K1174" si="584">IF(D1169="no",0,H1169-I1169-J1169)</f>
        <v>0</v>
      </c>
      <c r="L1169" s="27">
        <f>IF(D1169="no",F1169*H1163-J1169,0)</f>
        <v>0</v>
      </c>
      <c r="M1169" s="572"/>
      <c r="N1169" s="564"/>
      <c r="O1169" s="1"/>
      <c r="P1169" s="3"/>
      <c r="Q1169" s="1"/>
      <c r="R1169" s="1"/>
      <c r="S1169" s="1"/>
      <c r="T1169" s="1"/>
      <c r="U1169" s="4"/>
    </row>
    <row r="1170" spans="1:21" ht="18.75" hidden="1" customHeight="1">
      <c r="A1170" s="28"/>
      <c r="B1170" s="29"/>
      <c r="C1170" s="30"/>
      <c r="D1170" s="38"/>
      <c r="E1170" s="27"/>
      <c r="F1170" s="31">
        <f t="shared" si="581"/>
        <v>0</v>
      </c>
      <c r="G1170" s="27">
        <f t="shared" si="582"/>
        <v>0</v>
      </c>
      <c r="H1170" s="32">
        <f>IF(D1170="no",0,F1170*H1163)</f>
        <v>0</v>
      </c>
      <c r="I1170" s="33">
        <f t="shared" si="583"/>
        <v>0</v>
      </c>
      <c r="J1170" s="26"/>
      <c r="K1170" s="27">
        <f t="shared" si="584"/>
        <v>0</v>
      </c>
      <c r="L1170" s="27">
        <f t="shared" ref="L1170:L1171" si="585">IF(D1170="no",F1170*H1163-J1170,0)</f>
        <v>0</v>
      </c>
      <c r="M1170" s="563"/>
      <c r="N1170" s="564"/>
      <c r="O1170" s="1"/>
      <c r="P1170" s="3"/>
      <c r="Q1170" s="1"/>
      <c r="R1170" s="1"/>
      <c r="S1170" s="1"/>
      <c r="T1170" s="1"/>
      <c r="U1170" s="4"/>
    </row>
    <row r="1171" spans="1:21" ht="18.75" hidden="1" customHeight="1">
      <c r="A1171" s="28"/>
      <c r="B1171" s="29" t="s">
        <v>590</v>
      </c>
      <c r="C1171" s="30"/>
      <c r="D1171" s="38"/>
      <c r="E1171" s="27"/>
      <c r="F1171" s="31">
        <f t="shared" si="581"/>
        <v>0</v>
      </c>
      <c r="G1171" s="27">
        <f t="shared" si="582"/>
        <v>0</v>
      </c>
      <c r="H1171" s="32">
        <f>IF(D1171="no",0,F1171*H1163)</f>
        <v>0</v>
      </c>
      <c r="I1171" s="33">
        <f t="shared" si="583"/>
        <v>0</v>
      </c>
      <c r="J1171" s="26"/>
      <c r="K1171" s="27">
        <f t="shared" si="584"/>
        <v>0</v>
      </c>
      <c r="L1171" s="27">
        <f t="shared" si="585"/>
        <v>0</v>
      </c>
      <c r="M1171" s="572"/>
      <c r="N1171" s="564"/>
      <c r="O1171" s="1"/>
      <c r="P1171" s="3"/>
      <c r="Q1171" s="1"/>
      <c r="R1171" s="1"/>
      <c r="S1171" s="1"/>
      <c r="T1171" s="1"/>
      <c r="U1171" s="4"/>
    </row>
    <row r="1172" spans="1:21" ht="18.75" hidden="1" customHeight="1">
      <c r="A1172" s="28"/>
      <c r="B1172" s="29"/>
      <c r="C1172" s="30"/>
      <c r="D1172" s="38"/>
      <c r="E1172" s="27"/>
      <c r="F1172" s="31">
        <f t="shared" si="581"/>
        <v>0</v>
      </c>
      <c r="G1172" s="27">
        <f t="shared" si="582"/>
        <v>0</v>
      </c>
      <c r="H1172" s="32">
        <f>IF(D1172="no",0,F1172*H1163)</f>
        <v>0</v>
      </c>
      <c r="I1172" s="33">
        <f t="shared" si="583"/>
        <v>0</v>
      </c>
      <c r="J1172" s="26"/>
      <c r="K1172" s="27">
        <f t="shared" si="584"/>
        <v>0</v>
      </c>
      <c r="L1172" s="27">
        <f>IF(D1172="no",F1172*H1163-J1172,0)</f>
        <v>0</v>
      </c>
      <c r="M1172" s="563"/>
      <c r="N1172" s="564"/>
      <c r="O1172" s="1"/>
      <c r="P1172" s="3"/>
      <c r="Q1172" s="1"/>
      <c r="R1172" s="1"/>
      <c r="S1172" s="1"/>
      <c r="T1172" s="1"/>
      <c r="U1172" s="4"/>
    </row>
    <row r="1173" spans="1:21" ht="18.75" hidden="1" customHeight="1">
      <c r="A1173" s="28"/>
      <c r="B1173" s="29"/>
      <c r="C1173" s="30"/>
      <c r="D1173" s="38"/>
      <c r="E1173" s="27"/>
      <c r="F1173" s="31">
        <f t="shared" si="581"/>
        <v>0</v>
      </c>
      <c r="G1173" s="27">
        <f t="shared" si="582"/>
        <v>0</v>
      </c>
      <c r="H1173" s="32">
        <f>IF(D1173="no",0,F1173*H1163)</f>
        <v>0</v>
      </c>
      <c r="I1173" s="33">
        <f t="shared" si="583"/>
        <v>0</v>
      </c>
      <c r="J1173" s="26"/>
      <c r="K1173" s="27">
        <f t="shared" si="584"/>
        <v>0</v>
      </c>
      <c r="L1173" s="27">
        <f>IF(D1173="no",F1173*H1163-J1173,0)</f>
        <v>0</v>
      </c>
      <c r="M1173" s="572"/>
      <c r="N1173" s="564"/>
      <c r="O1173" s="1"/>
      <c r="P1173" s="3"/>
      <c r="Q1173" s="1"/>
      <c r="R1173" s="1"/>
      <c r="S1173" s="1"/>
      <c r="T1173" s="1"/>
      <c r="U1173" s="4"/>
    </row>
    <row r="1174" spans="1:21" ht="18.75" hidden="1" customHeight="1">
      <c r="A1174" s="28"/>
      <c r="B1174" s="29"/>
      <c r="C1174" s="30"/>
      <c r="D1174" s="38"/>
      <c r="E1174" s="27"/>
      <c r="F1174" s="31">
        <f t="shared" si="581"/>
        <v>0</v>
      </c>
      <c r="G1174" s="27">
        <f t="shared" si="582"/>
        <v>0</v>
      </c>
      <c r="H1174" s="32">
        <f>IF(D1174="no",0,F1174*H1163)</f>
        <v>0</v>
      </c>
      <c r="I1174" s="33">
        <f t="shared" si="583"/>
        <v>0</v>
      </c>
      <c r="J1174" s="26"/>
      <c r="K1174" s="27">
        <f t="shared" si="584"/>
        <v>0</v>
      </c>
      <c r="L1174" s="27">
        <f>IF(D1174="no",F1174*H1163-J1174,0)</f>
        <v>0</v>
      </c>
      <c r="M1174" s="573"/>
      <c r="N1174" s="564"/>
      <c r="O1174" s="1"/>
      <c r="P1174" s="3"/>
      <c r="Q1174" s="1"/>
      <c r="R1174" s="1"/>
      <c r="S1174" s="1"/>
      <c r="T1174" s="1"/>
      <c r="U1174" s="4"/>
    </row>
    <row r="1175" spans="1:21" ht="18.75" hidden="1" customHeight="1">
      <c r="A1175" s="28"/>
      <c r="B1175" s="29"/>
      <c r="C1175" s="30"/>
      <c r="D1175" s="38"/>
      <c r="E1175" s="27"/>
      <c r="F1175" s="31"/>
      <c r="G1175" s="27"/>
      <c r="H1175" s="32"/>
      <c r="I1175" s="33"/>
      <c r="J1175" s="26"/>
      <c r="K1175" s="27"/>
      <c r="L1175" s="27"/>
      <c r="M1175" s="574"/>
      <c r="N1175" s="564"/>
      <c r="O1175" s="1"/>
      <c r="P1175" s="3"/>
      <c r="Q1175" s="1"/>
      <c r="R1175" s="1"/>
      <c r="S1175" s="1"/>
      <c r="T1175" s="1"/>
      <c r="U1175" s="4"/>
    </row>
    <row r="1176" spans="1:21" ht="18.75" hidden="1" customHeight="1">
      <c r="A1176" s="28"/>
      <c r="B1176" s="29"/>
      <c r="C1176" s="30"/>
      <c r="D1176" s="38"/>
      <c r="E1176" s="27"/>
      <c r="F1176" s="31">
        <f>IF(D1176="no",E1176,E1176/1.1)</f>
        <v>0</v>
      </c>
      <c r="G1176" s="27">
        <f>IF(D1176="no",0,F1176*0.1)</f>
        <v>0</v>
      </c>
      <c r="H1176" s="32"/>
      <c r="I1176" s="33">
        <f t="shared" ref="I1176:I1179" si="586">IF(D1176="no",0,H1176*3.3%)</f>
        <v>0</v>
      </c>
      <c r="J1176" s="26"/>
      <c r="K1176" s="27">
        <f t="shared" ref="K1176:K1179" si="587">IF(D1176="no",0,H1176-I1176-J1176)</f>
        <v>0</v>
      </c>
      <c r="L1176" s="27">
        <f t="shared" ref="L1176:L1178" si="588">IF(D1176="no",F1176*H1162-J1176,0)</f>
        <v>0</v>
      </c>
      <c r="M1176" s="572"/>
      <c r="N1176" s="564"/>
      <c r="O1176" s="1"/>
      <c r="P1176" s="3"/>
      <c r="Q1176" s="1"/>
      <c r="R1176" s="1"/>
      <c r="S1176" s="1"/>
      <c r="T1176" s="1"/>
      <c r="U1176" s="4"/>
    </row>
    <row r="1177" spans="1:21" ht="18.75" hidden="1" customHeight="1">
      <c r="A1177" s="39" t="s">
        <v>32</v>
      </c>
      <c r="B1177" s="29" t="s">
        <v>61</v>
      </c>
      <c r="C1177" s="30"/>
      <c r="D1177" s="21"/>
      <c r="E1177" s="27"/>
      <c r="F1177" s="31"/>
      <c r="G1177" s="27"/>
      <c r="H1177" s="32"/>
      <c r="I1177" s="33">
        <f t="shared" si="586"/>
        <v>0</v>
      </c>
      <c r="J1177" s="26"/>
      <c r="K1177" s="27">
        <f t="shared" si="587"/>
        <v>0</v>
      </c>
      <c r="L1177" s="27">
        <f t="shared" si="588"/>
        <v>0</v>
      </c>
      <c r="M1177" s="572"/>
      <c r="N1177" s="564"/>
      <c r="O1177" s="1"/>
      <c r="P1177" s="3"/>
      <c r="Q1177" s="1"/>
      <c r="R1177" s="1"/>
      <c r="S1177" s="1"/>
      <c r="T1177" s="1"/>
      <c r="U1177" s="4"/>
    </row>
    <row r="1178" spans="1:21" ht="18.75" hidden="1" customHeight="1">
      <c r="A1178" s="39" t="s">
        <v>32</v>
      </c>
      <c r="B1178" s="29" t="s">
        <v>35</v>
      </c>
      <c r="C1178" s="30"/>
      <c r="D1178" s="21"/>
      <c r="E1178" s="27"/>
      <c r="F1178" s="31">
        <f t="shared" ref="F1178:F1179" si="589">IF(D1178="no",E1178,E1178/1.1)</f>
        <v>0</v>
      </c>
      <c r="G1178" s="27">
        <f t="shared" ref="G1178:G1179" si="590">IF(D1178="no",0,F1178*0.1)</f>
        <v>0</v>
      </c>
      <c r="H1178" s="37"/>
      <c r="I1178" s="33">
        <f t="shared" si="586"/>
        <v>0</v>
      </c>
      <c r="J1178" s="26"/>
      <c r="K1178" s="27">
        <f t="shared" si="587"/>
        <v>0</v>
      </c>
      <c r="L1178" s="27">
        <f t="shared" si="588"/>
        <v>0</v>
      </c>
      <c r="M1178" s="584"/>
      <c r="N1178" s="564"/>
      <c r="O1178" s="1"/>
      <c r="P1178" s="3"/>
      <c r="Q1178" s="1"/>
      <c r="R1178" s="1"/>
      <c r="S1178" s="1"/>
      <c r="T1178" s="1"/>
      <c r="U1178" s="4"/>
    </row>
    <row r="1179" spans="1:21" ht="18.75" hidden="1" customHeight="1">
      <c r="A1179" s="39" t="s">
        <v>32</v>
      </c>
      <c r="B1179" s="29" t="s">
        <v>37</v>
      </c>
      <c r="C1179" s="30"/>
      <c r="D1179" s="38"/>
      <c r="E1179" s="27"/>
      <c r="F1179" s="31">
        <f t="shared" si="589"/>
        <v>0</v>
      </c>
      <c r="G1179" s="27">
        <f t="shared" si="590"/>
        <v>0</v>
      </c>
      <c r="H1179" s="37">
        <f>L1182/0.967</f>
        <v>0</v>
      </c>
      <c r="I1179" s="33">
        <f t="shared" si="586"/>
        <v>0</v>
      </c>
      <c r="J1179" s="26"/>
      <c r="K1179" s="27">
        <f t="shared" si="587"/>
        <v>0</v>
      </c>
      <c r="L1179" s="27">
        <f>IF(D1179="no",F1179*H1163-J1179,0)</f>
        <v>0</v>
      </c>
      <c r="M1179" s="563"/>
      <c r="N1179" s="564"/>
      <c r="O1179" s="1"/>
      <c r="P1179" s="3"/>
      <c r="Q1179" s="1"/>
      <c r="R1179" s="1"/>
      <c r="S1179" s="1"/>
      <c r="T1179" s="1"/>
      <c r="U1179" s="4"/>
    </row>
    <row r="1180" spans="1:21" ht="18.75" hidden="1" customHeight="1">
      <c r="A1180" s="575" t="s">
        <v>42</v>
      </c>
      <c r="B1180" s="576"/>
      <c r="C1180" s="576"/>
      <c r="D1180" s="577"/>
      <c r="E1180" s="42">
        <f t="shared" ref="E1180:L1180" si="591">SUM(E1165:E1179)</f>
        <v>0</v>
      </c>
      <c r="F1180" s="17">
        <f t="shared" si="591"/>
        <v>0</v>
      </c>
      <c r="G1180" s="42">
        <f t="shared" si="591"/>
        <v>0</v>
      </c>
      <c r="H1180" s="43">
        <f t="shared" si="591"/>
        <v>0</v>
      </c>
      <c r="I1180" s="42">
        <f t="shared" si="591"/>
        <v>0</v>
      </c>
      <c r="J1180" s="43">
        <f t="shared" si="591"/>
        <v>0</v>
      </c>
      <c r="K1180" s="42">
        <f t="shared" si="591"/>
        <v>0</v>
      </c>
      <c r="L1180" s="42">
        <f t="shared" si="591"/>
        <v>0</v>
      </c>
      <c r="M1180" s="44"/>
      <c r="N1180" s="45"/>
      <c r="O1180" s="1"/>
      <c r="P1180" s="3"/>
      <c r="Q1180" s="1"/>
      <c r="R1180" s="1"/>
      <c r="S1180" s="1"/>
      <c r="T1180" s="1"/>
      <c r="U1180" s="4"/>
    </row>
    <row r="1181" spans="1:21" ht="18.75" hidden="1" customHeight="1">
      <c r="A1181" s="46" t="s">
        <v>37</v>
      </c>
      <c r="B1181" s="47" t="s">
        <v>43</v>
      </c>
      <c r="C1181" s="48">
        <f>D1163</f>
        <v>0</v>
      </c>
      <c r="D1181" s="47" t="s">
        <v>44</v>
      </c>
      <c r="E1181" s="49"/>
      <c r="F1181" s="84"/>
      <c r="G1181" s="85"/>
      <c r="H1181" s="49"/>
      <c r="I1181" s="53" t="s">
        <v>46</v>
      </c>
      <c r="J1181" s="54"/>
      <c r="K1181" s="50"/>
      <c r="L1181" s="55"/>
      <c r="M1181" s="63"/>
      <c r="N1181" s="64"/>
      <c r="O1181" s="1"/>
      <c r="P1181" s="3"/>
      <c r="Q1181" s="1"/>
      <c r="R1181" s="1"/>
      <c r="S1181" s="1"/>
      <c r="T1181" s="1"/>
      <c r="U1181" s="4"/>
    </row>
    <row r="1182" spans="1:21" ht="18.75" hidden="1" customHeight="1" thickBot="1">
      <c r="A1182" s="56" t="s">
        <v>48</v>
      </c>
      <c r="B1182" s="57" t="s">
        <v>49</v>
      </c>
      <c r="C1182" s="58">
        <f>ROUND(F1180/10000,0)</f>
        <v>0</v>
      </c>
      <c r="D1182" s="57" t="s">
        <v>50</v>
      </c>
      <c r="E1182" s="52"/>
      <c r="F1182" s="86"/>
      <c r="G1182" s="87"/>
      <c r="H1182" s="52"/>
      <c r="I1182" s="59"/>
      <c r="J1182" s="61"/>
      <c r="K1182" s="59"/>
      <c r="L1182" s="62">
        <f>IF(C1182&gt;=1000,500000,0)</f>
        <v>0</v>
      </c>
      <c r="M1182" s="63"/>
      <c r="N1182" s="64"/>
      <c r="O1182" s="1"/>
      <c r="P1182" s="3"/>
      <c r="Q1182" s="1"/>
      <c r="R1182" s="1"/>
      <c r="S1182" s="1"/>
      <c r="T1182" s="1"/>
      <c r="U1182" s="4"/>
    </row>
    <row r="1183" spans="1:21" ht="18.75" hidden="1" customHeight="1" thickBot="1">
      <c r="A1183" s="566" t="s">
        <v>52</v>
      </c>
      <c r="B1183" s="567"/>
      <c r="C1183" s="567"/>
      <c r="D1183" s="568"/>
      <c r="E1183" s="65"/>
      <c r="F1183" s="569" t="s">
        <v>53</v>
      </c>
      <c r="G1183" s="568"/>
      <c r="H1183" s="66">
        <f>H1180-J1181</f>
        <v>0</v>
      </c>
      <c r="I1183" s="67">
        <f>H1183*3.3%</f>
        <v>0</v>
      </c>
      <c r="J1183" s="68">
        <f>SUM(J1180)</f>
        <v>0</v>
      </c>
      <c r="K1183" s="69">
        <f>H1183-I1183-J1183</f>
        <v>0</v>
      </c>
      <c r="L1183" s="70">
        <f>L1180+SUM(H1181:H1182)+J1182</f>
        <v>0</v>
      </c>
      <c r="M1183" s="570">
        <f>K1183+L1183</f>
        <v>0</v>
      </c>
      <c r="N1183" s="571"/>
      <c r="O1183" s="1"/>
      <c r="P1183" s="3"/>
      <c r="Q1183" s="1"/>
      <c r="R1183" s="1"/>
      <c r="S1183" s="1"/>
      <c r="T1183" s="1"/>
      <c r="U1183" s="4"/>
    </row>
    <row r="1184" spans="1:21" ht="18.75" hidden="1" customHeight="1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3"/>
      <c r="Q1184" s="1"/>
      <c r="R1184" s="1"/>
      <c r="S1184" s="1"/>
      <c r="T1184" s="1"/>
      <c r="U1184" s="4"/>
    </row>
    <row r="1185" spans="1:21" ht="18.75" customHeight="1">
      <c r="A1185" s="6" t="s">
        <v>138</v>
      </c>
      <c r="B1185" s="7" t="str">
        <f>$B$34</f>
        <v>1월</v>
      </c>
      <c r="C1185" s="8" t="s">
        <v>1</v>
      </c>
      <c r="D1185" s="9">
        <f>COUNTIF($C1187:$C1200,"계약")+(COUNTIF($C1187:$C1200,"계약2")*2)</f>
        <v>3</v>
      </c>
      <c r="E1185" s="3">
        <f>COUNTIF(C1187:C1200,"낙찰수수료")</f>
        <v>1</v>
      </c>
      <c r="F1185" s="3"/>
      <c r="G1185" s="89" t="s">
        <v>139</v>
      </c>
      <c r="H1185" s="11">
        <v>0.5</v>
      </c>
      <c r="I1185" s="12">
        <v>3.3000000000000002E-2</v>
      </c>
      <c r="J1185" s="1"/>
      <c r="K1185" s="1"/>
      <c r="L1185" s="1"/>
      <c r="M1185" s="1"/>
      <c r="N1185" s="1"/>
      <c r="O1185" s="1"/>
      <c r="P1185" s="3"/>
      <c r="Q1185" s="1"/>
      <c r="R1185" s="1"/>
      <c r="S1185" s="1"/>
      <c r="T1185" s="1"/>
      <c r="U1185" s="4"/>
    </row>
    <row r="1186" spans="1:21" ht="18.75" customHeight="1">
      <c r="A1186" s="13" t="s">
        <v>3</v>
      </c>
      <c r="B1186" s="14" t="s">
        <v>4</v>
      </c>
      <c r="C1186" s="14" t="s">
        <v>5</v>
      </c>
      <c r="D1186" s="101" t="s">
        <v>6</v>
      </c>
      <c r="E1186" s="16" t="s">
        <v>7</v>
      </c>
      <c r="F1186" s="17" t="s">
        <v>8</v>
      </c>
      <c r="G1186" s="14" t="s">
        <v>9</v>
      </c>
      <c r="H1186" s="15" t="s">
        <v>10</v>
      </c>
      <c r="I1186" s="14" t="s">
        <v>11</v>
      </c>
      <c r="J1186" s="15" t="s">
        <v>12</v>
      </c>
      <c r="K1186" s="14" t="s">
        <v>13</v>
      </c>
      <c r="L1186" s="14" t="s">
        <v>14</v>
      </c>
      <c r="M1186" s="579" t="s">
        <v>15</v>
      </c>
      <c r="N1186" s="577"/>
      <c r="O1186" s="1"/>
      <c r="P1186" s="3"/>
      <c r="Q1186" s="1"/>
      <c r="R1186" s="1"/>
      <c r="S1186" s="1"/>
      <c r="T1186" s="1"/>
      <c r="U1186" s="4"/>
    </row>
    <row r="1187" spans="1:21" ht="18.75" customHeight="1">
      <c r="A1187" s="28">
        <v>46028</v>
      </c>
      <c r="B1187" s="29" t="s">
        <v>642</v>
      </c>
      <c r="C1187" s="30" t="s">
        <v>827</v>
      </c>
      <c r="D1187" s="38"/>
      <c r="E1187" s="27">
        <v>220000</v>
      </c>
      <c r="F1187" s="31">
        <f t="shared" ref="F1187:F1198" si="592">IF(D1187="no",E1187,E1187/1.1)</f>
        <v>199999.99999999997</v>
      </c>
      <c r="G1187" s="27">
        <f t="shared" ref="G1187:G1197" si="593">IF(D1187="no",0,F1187*0.1)</f>
        <v>20000</v>
      </c>
      <c r="H1187" s="32">
        <f>IF(D1187="no",0,F1187*H1185)</f>
        <v>99999.999999999985</v>
      </c>
      <c r="I1187" s="33">
        <f t="shared" ref="I1187:I1200" si="594">IF(D1187="no",0,H1187*3.3%)</f>
        <v>3299.9999999999995</v>
      </c>
      <c r="J1187" s="26"/>
      <c r="K1187" s="27">
        <f t="shared" ref="K1187:K1200" si="595">IF(D1187="no",0,H1187-I1187-J1187)</f>
        <v>96699.999999999985</v>
      </c>
      <c r="L1187" s="27">
        <f>IF(D1187="no",F1187*H1185-J1187,0)</f>
        <v>0</v>
      </c>
      <c r="M1187" s="580" t="s">
        <v>828</v>
      </c>
      <c r="N1187" s="581"/>
      <c r="O1187" s="1"/>
      <c r="P1187" s="3"/>
      <c r="Q1187" s="1"/>
      <c r="R1187" s="1"/>
      <c r="S1187" s="1"/>
      <c r="T1187" s="1"/>
      <c r="U1187" s="4"/>
    </row>
    <row r="1188" spans="1:21" ht="18.75" customHeight="1">
      <c r="A1188" s="28">
        <v>46034</v>
      </c>
      <c r="B1188" s="29" t="s">
        <v>643</v>
      </c>
      <c r="C1188" s="30" t="s">
        <v>629</v>
      </c>
      <c r="D1188" s="38"/>
      <c r="E1188" s="27">
        <v>1650000</v>
      </c>
      <c r="F1188" s="31">
        <f t="shared" si="592"/>
        <v>1499999.9999999998</v>
      </c>
      <c r="G1188" s="27">
        <f t="shared" si="593"/>
        <v>149999.99999999997</v>
      </c>
      <c r="H1188" s="32">
        <f>IF(D1188="no",0,F1188*H1185)</f>
        <v>749999.99999999988</v>
      </c>
      <c r="I1188" s="33">
        <f t="shared" si="594"/>
        <v>24749.999999999996</v>
      </c>
      <c r="J1188" s="26"/>
      <c r="K1188" s="27">
        <f t="shared" si="595"/>
        <v>725249.99999999988</v>
      </c>
      <c r="L1188" s="27">
        <f>IF(D1188="no",F1188*H1185-J1188,0)</f>
        <v>0</v>
      </c>
      <c r="M1188" s="572"/>
      <c r="N1188" s="564"/>
      <c r="O1188" s="1"/>
      <c r="P1188" s="3"/>
      <c r="Q1188" s="1"/>
      <c r="R1188" s="1"/>
      <c r="S1188" s="1"/>
      <c r="T1188" s="1"/>
      <c r="U1188" s="4"/>
    </row>
    <row r="1189" spans="1:21" ht="18.75" customHeight="1">
      <c r="A1189" s="39">
        <v>46035</v>
      </c>
      <c r="B1189" s="29" t="s">
        <v>644</v>
      </c>
      <c r="C1189" s="30" t="s">
        <v>645</v>
      </c>
      <c r="D1189" s="38"/>
      <c r="E1189" s="27">
        <v>550000</v>
      </c>
      <c r="F1189" s="31">
        <f t="shared" si="592"/>
        <v>499999.99999999994</v>
      </c>
      <c r="G1189" s="27">
        <f t="shared" si="593"/>
        <v>50000</v>
      </c>
      <c r="H1189" s="32">
        <f>IF(D1189="no",0,F1189*H1185)</f>
        <v>249999.99999999997</v>
      </c>
      <c r="I1189" s="33">
        <f t="shared" si="594"/>
        <v>8250</v>
      </c>
      <c r="J1189" s="26"/>
      <c r="K1189" s="27">
        <f t="shared" si="595"/>
        <v>241749.99999999997</v>
      </c>
      <c r="L1189" s="27">
        <f>IF(D1189="no",F1189*H1185-J1189,0)</f>
        <v>0</v>
      </c>
      <c r="M1189" s="572"/>
      <c r="N1189" s="564"/>
      <c r="O1189" s="1"/>
      <c r="P1189" s="3"/>
      <c r="Q1189" s="1"/>
      <c r="R1189" s="1"/>
      <c r="S1189" s="1"/>
      <c r="T1189" s="1"/>
      <c r="U1189" s="4"/>
    </row>
    <row r="1190" spans="1:21" ht="18.75" customHeight="1">
      <c r="A1190" s="39">
        <v>46042</v>
      </c>
      <c r="B1190" s="29" t="s">
        <v>646</v>
      </c>
      <c r="C1190" s="30" t="s">
        <v>647</v>
      </c>
      <c r="D1190" s="38"/>
      <c r="E1190" s="27">
        <v>550000</v>
      </c>
      <c r="F1190" s="31">
        <f t="shared" si="592"/>
        <v>499999.99999999994</v>
      </c>
      <c r="G1190" s="27">
        <f t="shared" si="593"/>
        <v>50000</v>
      </c>
      <c r="H1190" s="32">
        <f>IF(D1190="no",0,F1190*H1185)</f>
        <v>249999.99999999997</v>
      </c>
      <c r="I1190" s="33">
        <f t="shared" si="594"/>
        <v>8250</v>
      </c>
      <c r="J1190" s="26"/>
      <c r="K1190" s="27">
        <f t="shared" si="595"/>
        <v>241749.99999999997</v>
      </c>
      <c r="L1190" s="27">
        <f t="shared" ref="L1190:L1191" si="596">IF(D1190="no",F1190*H1185-J1190,0)</f>
        <v>0</v>
      </c>
      <c r="M1190" s="563"/>
      <c r="N1190" s="564"/>
      <c r="O1190" s="1"/>
      <c r="P1190" s="3"/>
      <c r="Q1190" s="1"/>
      <c r="R1190" s="1"/>
      <c r="S1190" s="1"/>
      <c r="T1190" s="1"/>
      <c r="U1190" s="4"/>
    </row>
    <row r="1191" spans="1:21" ht="18.75" customHeight="1">
      <c r="A1191" s="28">
        <v>46045</v>
      </c>
      <c r="B1191" s="29" t="s">
        <v>648</v>
      </c>
      <c r="C1191" s="30" t="s">
        <v>618</v>
      </c>
      <c r="D1191" s="38"/>
      <c r="E1191" s="27">
        <v>500000</v>
      </c>
      <c r="F1191" s="31">
        <f t="shared" si="592"/>
        <v>454545.45454545453</v>
      </c>
      <c r="G1191" s="27">
        <f t="shared" si="593"/>
        <v>45454.545454545456</v>
      </c>
      <c r="H1191" s="32">
        <f>IF(D1191="no",0,F1191*H1185)</f>
        <v>227272.72727272726</v>
      </c>
      <c r="I1191" s="33">
        <f t="shared" si="594"/>
        <v>7500</v>
      </c>
      <c r="J1191" s="26"/>
      <c r="K1191" s="27">
        <f t="shared" si="595"/>
        <v>219772.72727272726</v>
      </c>
      <c r="L1191" s="27">
        <f t="shared" si="596"/>
        <v>0</v>
      </c>
      <c r="M1191" s="572"/>
      <c r="N1191" s="564"/>
      <c r="O1191" s="1"/>
      <c r="P1191" s="3"/>
      <c r="Q1191" s="1"/>
      <c r="R1191" s="1"/>
      <c r="S1191" s="1"/>
      <c r="T1191" s="1"/>
      <c r="U1191" s="4"/>
    </row>
    <row r="1192" spans="1:21" ht="18.75" customHeight="1">
      <c r="A1192" s="121"/>
      <c r="B1192" s="29"/>
      <c r="C1192" s="30"/>
      <c r="D1192" s="38"/>
      <c r="E1192" s="27"/>
      <c r="F1192" s="31">
        <f t="shared" si="592"/>
        <v>0</v>
      </c>
      <c r="G1192" s="27">
        <f t="shared" si="593"/>
        <v>0</v>
      </c>
      <c r="H1192" s="32">
        <f>IF(D1192="no",0,F1192*H1185)</f>
        <v>0</v>
      </c>
      <c r="I1192" s="33">
        <f t="shared" si="594"/>
        <v>0</v>
      </c>
      <c r="J1192" s="26"/>
      <c r="K1192" s="27">
        <f t="shared" si="595"/>
        <v>0</v>
      </c>
      <c r="L1192" s="27">
        <f t="shared" ref="L1192:L1193" si="597">IF(D1192="no",F1192*H1185-J1192,0)</f>
        <v>0</v>
      </c>
      <c r="M1192" s="563"/>
      <c r="N1192" s="564"/>
      <c r="O1192" s="1"/>
      <c r="P1192" s="3"/>
      <c r="Q1192" s="1"/>
      <c r="R1192" s="1"/>
      <c r="S1192" s="1"/>
      <c r="T1192" s="1"/>
      <c r="U1192" s="4"/>
    </row>
    <row r="1193" spans="1:21" ht="18.75" hidden="1" customHeight="1">
      <c r="A1193" s="28"/>
      <c r="B1193" s="29"/>
      <c r="C1193" s="30"/>
      <c r="D1193" s="38"/>
      <c r="E1193" s="27"/>
      <c r="F1193" s="31">
        <f t="shared" si="592"/>
        <v>0</v>
      </c>
      <c r="G1193" s="27">
        <f t="shared" si="593"/>
        <v>0</v>
      </c>
      <c r="H1193" s="32">
        <f>IF(D1193="no",0,F1193*H1185)</f>
        <v>0</v>
      </c>
      <c r="I1193" s="33">
        <f t="shared" si="594"/>
        <v>0</v>
      </c>
      <c r="J1193" s="26"/>
      <c r="K1193" s="27">
        <f t="shared" si="595"/>
        <v>0</v>
      </c>
      <c r="L1193" s="27">
        <f t="shared" si="597"/>
        <v>0</v>
      </c>
      <c r="M1193" s="572"/>
      <c r="N1193" s="564"/>
      <c r="O1193" s="1"/>
      <c r="P1193" s="3"/>
      <c r="Q1193" s="1"/>
      <c r="R1193" s="1"/>
      <c r="S1193" s="1"/>
      <c r="T1193" s="1"/>
      <c r="U1193" s="4"/>
    </row>
    <row r="1194" spans="1:21" ht="18.75" hidden="1" customHeight="1">
      <c r="A1194" s="28"/>
      <c r="B1194" s="29"/>
      <c r="C1194" s="30"/>
      <c r="D1194" s="38"/>
      <c r="E1194" s="27"/>
      <c r="F1194" s="31">
        <f t="shared" si="592"/>
        <v>0</v>
      </c>
      <c r="G1194" s="27">
        <f t="shared" si="593"/>
        <v>0</v>
      </c>
      <c r="H1194" s="32">
        <f>IF(D1194="no",0,F1194*H1185)</f>
        <v>0</v>
      </c>
      <c r="I1194" s="33">
        <f t="shared" si="594"/>
        <v>0</v>
      </c>
      <c r="J1194" s="26"/>
      <c r="K1194" s="27">
        <f t="shared" si="595"/>
        <v>0</v>
      </c>
      <c r="L1194" s="27">
        <f t="shared" ref="L1194:L1195" si="598">IF(D1194="no",F1194*H1184-J1194,0)</f>
        <v>0</v>
      </c>
      <c r="M1194" s="572"/>
      <c r="N1194" s="564"/>
      <c r="O1194" s="1"/>
      <c r="P1194" s="3"/>
      <c r="Q1194" s="1"/>
      <c r="R1194" s="1"/>
      <c r="S1194" s="1"/>
      <c r="T1194" s="1"/>
      <c r="U1194" s="4"/>
    </row>
    <row r="1195" spans="1:21" ht="18.75" hidden="1" customHeight="1">
      <c r="A1195" s="28"/>
      <c r="B1195" s="29"/>
      <c r="C1195" s="30"/>
      <c r="D1195" s="38"/>
      <c r="E1195" s="27"/>
      <c r="F1195" s="31">
        <f t="shared" si="592"/>
        <v>0</v>
      </c>
      <c r="G1195" s="27">
        <f t="shared" si="593"/>
        <v>0</v>
      </c>
      <c r="H1195" s="32">
        <f>IF(D1195="no",0,F1195*H1185)</f>
        <v>0</v>
      </c>
      <c r="I1195" s="33">
        <f t="shared" si="594"/>
        <v>0</v>
      </c>
      <c r="J1195" s="26"/>
      <c r="K1195" s="27">
        <f t="shared" si="595"/>
        <v>0</v>
      </c>
      <c r="L1195" s="27">
        <f t="shared" si="598"/>
        <v>0</v>
      </c>
      <c r="M1195" s="572"/>
      <c r="N1195" s="564"/>
      <c r="O1195" s="1"/>
      <c r="P1195" s="3"/>
      <c r="Q1195" s="1"/>
      <c r="R1195" s="1"/>
      <c r="S1195" s="1"/>
      <c r="T1195" s="1"/>
      <c r="U1195" s="4"/>
    </row>
    <row r="1196" spans="1:21" ht="18.75" hidden="1" customHeight="1">
      <c r="A1196" s="28"/>
      <c r="B1196" s="29"/>
      <c r="C1196" s="30"/>
      <c r="D1196" s="38"/>
      <c r="E1196" s="27"/>
      <c r="F1196" s="31">
        <f t="shared" si="592"/>
        <v>0</v>
      </c>
      <c r="G1196" s="27">
        <f t="shared" si="593"/>
        <v>0</v>
      </c>
      <c r="H1196" s="32">
        <f>IF(D1196="no",0,F1196*H1185)</f>
        <v>0</v>
      </c>
      <c r="I1196" s="33">
        <f t="shared" si="594"/>
        <v>0</v>
      </c>
      <c r="J1196" s="26"/>
      <c r="K1196" s="27">
        <f t="shared" si="595"/>
        <v>0</v>
      </c>
      <c r="L1196" s="27">
        <f>IF(D1196="no",F1196*H1185-J1196,0)</f>
        <v>0</v>
      </c>
      <c r="M1196" s="578"/>
      <c r="N1196" s="564"/>
      <c r="O1196" s="1"/>
      <c r="P1196" s="3"/>
      <c r="Q1196" s="1"/>
      <c r="R1196" s="1"/>
      <c r="S1196" s="1"/>
      <c r="T1196" s="1"/>
      <c r="U1196" s="4"/>
    </row>
    <row r="1197" spans="1:21" ht="18.75" customHeight="1">
      <c r="A1197" s="39" t="s">
        <v>616</v>
      </c>
      <c r="B1197" s="29" t="s">
        <v>362</v>
      </c>
      <c r="C1197" s="30"/>
      <c r="D1197" s="38"/>
      <c r="E1197" s="27"/>
      <c r="F1197" s="31">
        <f t="shared" si="592"/>
        <v>0</v>
      </c>
      <c r="G1197" s="27">
        <f t="shared" si="593"/>
        <v>0</v>
      </c>
      <c r="H1197" s="32"/>
      <c r="I1197" s="33">
        <f t="shared" si="594"/>
        <v>0</v>
      </c>
      <c r="J1197" s="26">
        <v>45000</v>
      </c>
      <c r="K1197" s="27">
        <f t="shared" si="595"/>
        <v>-45000</v>
      </c>
      <c r="L1197" s="27">
        <f t="shared" ref="L1197:L1198" si="599">IF(D1197="no",F1197*H1184-J1197,0)</f>
        <v>0</v>
      </c>
      <c r="M1197" s="572" t="s">
        <v>844</v>
      </c>
      <c r="N1197" s="564"/>
      <c r="O1197" s="1"/>
      <c r="P1197" s="3"/>
      <c r="Q1197" s="1"/>
      <c r="R1197" s="1"/>
      <c r="S1197" s="1"/>
      <c r="T1197" s="1"/>
      <c r="U1197" s="4"/>
    </row>
    <row r="1198" spans="1:21" ht="18.75" customHeight="1">
      <c r="A1198" s="39" t="s">
        <v>616</v>
      </c>
      <c r="B1198" s="29" t="s">
        <v>481</v>
      </c>
      <c r="C1198" s="30"/>
      <c r="D1198" s="21"/>
      <c r="E1198" s="27"/>
      <c r="F1198" s="31">
        <f t="shared" si="592"/>
        <v>0</v>
      </c>
      <c r="G1198" s="27"/>
      <c r="H1198" s="32"/>
      <c r="I1198" s="33">
        <f t="shared" si="594"/>
        <v>0</v>
      </c>
      <c r="J1198" s="26"/>
      <c r="K1198" s="27">
        <f t="shared" si="595"/>
        <v>0</v>
      </c>
      <c r="L1198" s="27">
        <f t="shared" si="599"/>
        <v>0</v>
      </c>
      <c r="M1198" s="630"/>
      <c r="N1198" s="631"/>
      <c r="O1198" s="1"/>
      <c r="P1198" s="3"/>
      <c r="Q1198" s="1"/>
      <c r="R1198" s="1"/>
      <c r="S1198" s="1"/>
      <c r="T1198" s="1"/>
      <c r="U1198" s="4"/>
    </row>
    <row r="1199" spans="1:21" ht="18.75" customHeight="1">
      <c r="A1199" s="39" t="s">
        <v>616</v>
      </c>
      <c r="B1199" s="1" t="s">
        <v>405</v>
      </c>
      <c r="C1199" s="30"/>
      <c r="D1199" s="21"/>
      <c r="E1199" s="27"/>
      <c r="F1199" s="31"/>
      <c r="G1199" s="27"/>
      <c r="H1199" s="32"/>
      <c r="I1199" s="33">
        <f t="shared" si="594"/>
        <v>0</v>
      </c>
      <c r="J1199" s="26"/>
      <c r="K1199" s="27">
        <f t="shared" si="595"/>
        <v>0</v>
      </c>
      <c r="L1199" s="40">
        <f t="shared" ref="L1199:L1200" si="600">IF(D1199="no",F1199*H1187-J1199,0)</f>
        <v>0</v>
      </c>
      <c r="M1199" s="621"/>
      <c r="N1199" s="622"/>
      <c r="O1199" s="1"/>
      <c r="P1199" s="3"/>
      <c r="Q1199" s="1"/>
      <c r="R1199" s="1"/>
      <c r="S1199" s="1"/>
      <c r="T1199" s="1"/>
      <c r="U1199" s="4"/>
    </row>
    <row r="1200" spans="1:21" ht="18.75" customHeight="1">
      <c r="A1200" s="39" t="s">
        <v>616</v>
      </c>
      <c r="B1200" s="29" t="s">
        <v>61</v>
      </c>
      <c r="C1200" s="30"/>
      <c r="D1200" s="21"/>
      <c r="E1200" s="27"/>
      <c r="F1200" s="31">
        <f>IF(D1200="no",E1200,E1200/1.1)</f>
        <v>0</v>
      </c>
      <c r="G1200" s="27">
        <f>IF(D1200="no",0,F1200*0.1)</f>
        <v>0</v>
      </c>
      <c r="H1200" s="37"/>
      <c r="I1200" s="33">
        <f t="shared" si="594"/>
        <v>0</v>
      </c>
      <c r="J1200" s="26"/>
      <c r="K1200" s="27">
        <f t="shared" si="595"/>
        <v>0</v>
      </c>
      <c r="L1200" s="27">
        <f t="shared" si="600"/>
        <v>0</v>
      </c>
      <c r="M1200" s="584"/>
      <c r="N1200" s="564"/>
      <c r="O1200" s="1"/>
      <c r="P1200" s="3"/>
      <c r="Q1200" s="1"/>
      <c r="R1200" s="1"/>
      <c r="S1200" s="1"/>
      <c r="T1200" s="1"/>
      <c r="U1200" s="4"/>
    </row>
    <row r="1201" spans="1:21" ht="18.75" customHeight="1">
      <c r="A1201" s="575" t="s">
        <v>42</v>
      </c>
      <c r="B1201" s="576"/>
      <c r="C1201" s="576"/>
      <c r="D1201" s="577"/>
      <c r="E1201" s="42">
        <f t="shared" ref="E1201:L1201" si="601">SUM(E1187:E1200)</f>
        <v>3470000</v>
      </c>
      <c r="F1201" s="17">
        <f t="shared" si="601"/>
        <v>3154545.4545454541</v>
      </c>
      <c r="G1201" s="42">
        <f t="shared" si="601"/>
        <v>315454.54545454547</v>
      </c>
      <c r="H1201" s="43">
        <f t="shared" si="601"/>
        <v>1577272.7272727271</v>
      </c>
      <c r="I1201" s="42">
        <f t="shared" si="601"/>
        <v>52050</v>
      </c>
      <c r="J1201" s="43">
        <f t="shared" si="601"/>
        <v>45000</v>
      </c>
      <c r="K1201" s="42">
        <f t="shared" si="601"/>
        <v>1480222.7272727271</v>
      </c>
      <c r="L1201" s="42">
        <f t="shared" si="601"/>
        <v>0</v>
      </c>
      <c r="M1201" s="44"/>
      <c r="N1201" s="45"/>
      <c r="O1201" s="1"/>
      <c r="P1201" s="3"/>
      <c r="Q1201" s="1"/>
      <c r="R1201" s="1"/>
      <c r="S1201" s="1"/>
      <c r="T1201" s="1"/>
      <c r="U1201" s="4"/>
    </row>
    <row r="1202" spans="1:21" ht="18.75" customHeight="1">
      <c r="A1202" s="46" t="s">
        <v>37</v>
      </c>
      <c r="B1202" s="47" t="s">
        <v>132</v>
      </c>
      <c r="C1202" s="48">
        <f>D1185</f>
        <v>3</v>
      </c>
      <c r="D1202" s="47" t="s">
        <v>44</v>
      </c>
      <c r="E1202" s="49"/>
      <c r="F1202" s="84"/>
      <c r="G1202" s="85"/>
      <c r="H1202" s="49"/>
      <c r="I1202" s="53" t="s">
        <v>46</v>
      </c>
      <c r="J1202" s="54"/>
      <c r="K1202" s="50"/>
      <c r="L1202" s="55"/>
      <c r="M1202" s="63"/>
      <c r="N1202" s="64"/>
      <c r="O1202" s="1"/>
      <c r="P1202" s="3"/>
      <c r="Q1202" s="1"/>
      <c r="R1202" s="1"/>
      <c r="S1202" s="1"/>
      <c r="T1202" s="1"/>
      <c r="U1202" s="4"/>
    </row>
    <row r="1203" spans="1:21" ht="18.75" customHeight="1" thickBot="1">
      <c r="A1203" s="56" t="s">
        <v>48</v>
      </c>
      <c r="B1203" s="57" t="s">
        <v>133</v>
      </c>
      <c r="C1203" s="58">
        <f>ROUND(F1201/10000,0)</f>
        <v>315</v>
      </c>
      <c r="D1203" s="57" t="s">
        <v>50</v>
      </c>
      <c r="E1203" s="52"/>
      <c r="F1203" s="86"/>
      <c r="G1203" s="87"/>
      <c r="H1203" s="52"/>
      <c r="I1203" s="59"/>
      <c r="J1203" s="61"/>
      <c r="K1203" s="59"/>
      <c r="L1203" s="62"/>
      <c r="M1203" s="63"/>
      <c r="N1203" s="64"/>
      <c r="O1203" s="1"/>
      <c r="P1203" s="3"/>
      <c r="Q1203" s="1"/>
      <c r="R1203" s="1"/>
      <c r="S1203" s="1"/>
      <c r="T1203" s="1"/>
      <c r="U1203" s="4"/>
    </row>
    <row r="1204" spans="1:21" ht="18.75" customHeight="1" thickBot="1">
      <c r="A1204" s="566" t="s">
        <v>52</v>
      </c>
      <c r="B1204" s="567"/>
      <c r="C1204" s="567"/>
      <c r="D1204" s="568"/>
      <c r="E1204" s="65"/>
      <c r="F1204" s="569" t="s">
        <v>53</v>
      </c>
      <c r="G1204" s="568"/>
      <c r="H1204" s="66">
        <f>H1201-J1202</f>
        <v>1577272.7272727271</v>
      </c>
      <c r="I1204" s="67">
        <f>H1204*3.3%</f>
        <v>52049.999999999993</v>
      </c>
      <c r="J1204" s="68">
        <f>SUM(J1201)</f>
        <v>45000</v>
      </c>
      <c r="K1204" s="69">
        <f>H1204-I1204-J1204</f>
        <v>1480222.7272727271</v>
      </c>
      <c r="L1204" s="70">
        <f>L1201+SUM(H1202:H1203)+J1203</f>
        <v>0</v>
      </c>
      <c r="M1204" s="570">
        <f>K1204+L1204</f>
        <v>1480222.7272727271</v>
      </c>
      <c r="N1204" s="571"/>
      <c r="O1204" s="1"/>
      <c r="P1204" s="3"/>
      <c r="Q1204" s="1"/>
      <c r="R1204" s="1"/>
      <c r="S1204" s="1"/>
      <c r="T1204" s="1"/>
      <c r="U1204" s="4"/>
    </row>
    <row r="1205" spans="1:21" ht="18.75" customHeight="1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3"/>
      <c r="Q1205" s="1"/>
      <c r="R1205" s="1"/>
      <c r="S1205" s="1"/>
      <c r="T1205" s="1"/>
      <c r="U1205" s="4"/>
    </row>
    <row r="1206" spans="1:21" ht="18.75" hidden="1" customHeight="1">
      <c r="A1206" s="6"/>
      <c r="B1206" s="7" t="str">
        <f>$B$34</f>
        <v>1월</v>
      </c>
      <c r="C1206" s="8" t="s">
        <v>1</v>
      </c>
      <c r="D1206" s="9">
        <f>COUNTIF($C1208:$C1223,"계약")+(COUNTIF($C1208:$C1223,"계약2")*2)</f>
        <v>0</v>
      </c>
      <c r="E1206" s="3">
        <f>COUNTIF(C1208:C1223,"낙찰수수료")</f>
        <v>0</v>
      </c>
      <c r="F1206" s="3"/>
      <c r="G1206" s="89"/>
      <c r="H1206" s="11">
        <v>0.5</v>
      </c>
      <c r="I1206" s="12">
        <v>3.3000000000000002E-2</v>
      </c>
      <c r="J1206" s="1"/>
      <c r="K1206" s="1"/>
      <c r="L1206" s="1"/>
      <c r="M1206" s="1"/>
      <c r="N1206" s="1"/>
      <c r="O1206" s="1"/>
      <c r="P1206" s="3"/>
      <c r="Q1206" s="1"/>
      <c r="R1206" s="1"/>
      <c r="S1206" s="1"/>
      <c r="T1206" s="1"/>
      <c r="U1206" s="4"/>
    </row>
    <row r="1207" spans="1:21" ht="18.75" hidden="1" customHeight="1">
      <c r="A1207" s="13" t="s">
        <v>3</v>
      </c>
      <c r="B1207" s="14" t="s">
        <v>4</v>
      </c>
      <c r="C1207" s="14" t="s">
        <v>5</v>
      </c>
      <c r="D1207" s="101" t="s">
        <v>6</v>
      </c>
      <c r="E1207" s="16" t="s">
        <v>7</v>
      </c>
      <c r="F1207" s="17" t="s">
        <v>8</v>
      </c>
      <c r="G1207" s="14" t="s">
        <v>9</v>
      </c>
      <c r="H1207" s="15" t="s">
        <v>10</v>
      </c>
      <c r="I1207" s="14" t="s">
        <v>11</v>
      </c>
      <c r="J1207" s="15" t="s">
        <v>12</v>
      </c>
      <c r="K1207" s="14" t="s">
        <v>13</v>
      </c>
      <c r="L1207" s="14" t="s">
        <v>14</v>
      </c>
      <c r="M1207" s="579" t="s">
        <v>15</v>
      </c>
      <c r="N1207" s="577"/>
      <c r="O1207" s="1"/>
      <c r="P1207" s="3"/>
      <c r="Q1207" s="1"/>
      <c r="R1207" s="1"/>
      <c r="S1207" s="1"/>
      <c r="T1207" s="1"/>
      <c r="U1207" s="4"/>
    </row>
    <row r="1208" spans="1:21" ht="18.75" hidden="1" customHeight="1">
      <c r="A1208" s="28"/>
      <c r="B1208" s="29"/>
      <c r="C1208" s="29"/>
      <c r="D1208" s="161"/>
      <c r="E1208" s="27"/>
      <c r="F1208" s="31">
        <f t="shared" ref="F1208:F1221" si="602">IF(D1208="no",E1208,E1208/1.1)</f>
        <v>0</v>
      </c>
      <c r="G1208" s="27">
        <f t="shared" ref="G1208:G1221" si="603">IF(D1208="no",0,F1208*0.1)</f>
        <v>0</v>
      </c>
      <c r="H1208" s="32">
        <f>IF(D1208="no",0,F1208*H1206)</f>
        <v>0</v>
      </c>
      <c r="I1208" s="33">
        <f t="shared" ref="I1208:I1223" si="604">IF(D1208="no",0,H1208*3.3%)</f>
        <v>0</v>
      </c>
      <c r="J1208" s="26"/>
      <c r="K1208" s="27">
        <f t="shared" ref="K1208:K1223" si="605">IF(D1208="no",0,H1208-I1208-J1208)</f>
        <v>0</v>
      </c>
      <c r="L1208" s="27">
        <f>IF(D1208="no",F1208*H1206-J1208,0)</f>
        <v>0</v>
      </c>
      <c r="M1208" s="582"/>
      <c r="N1208" s="581"/>
      <c r="O1208" s="1"/>
      <c r="P1208" s="3"/>
      <c r="Q1208" s="1"/>
      <c r="R1208" s="1"/>
      <c r="S1208" s="1"/>
      <c r="T1208" s="1"/>
      <c r="U1208" s="4"/>
    </row>
    <row r="1209" spans="1:21" ht="18.75" hidden="1" customHeight="1">
      <c r="A1209" s="28"/>
      <c r="B1209" s="29"/>
      <c r="C1209" s="30"/>
      <c r="D1209" s="38"/>
      <c r="E1209" s="27"/>
      <c r="F1209" s="31">
        <f t="shared" si="602"/>
        <v>0</v>
      </c>
      <c r="G1209" s="27">
        <f t="shared" si="603"/>
        <v>0</v>
      </c>
      <c r="H1209" s="32">
        <f>IF(D1209="no",0,F1209*H1206)</f>
        <v>0</v>
      </c>
      <c r="I1209" s="33">
        <f t="shared" si="604"/>
        <v>0</v>
      </c>
      <c r="J1209" s="26"/>
      <c r="K1209" s="27">
        <f t="shared" si="605"/>
        <v>0</v>
      </c>
      <c r="L1209" s="27">
        <f>IF(D1209="no",F1209*H1206-J1209,0)</f>
        <v>0</v>
      </c>
      <c r="M1209" s="572"/>
      <c r="N1209" s="564"/>
      <c r="O1209" s="1"/>
      <c r="P1209" s="3"/>
      <c r="Q1209" s="1"/>
      <c r="R1209" s="1"/>
      <c r="S1209" s="1"/>
      <c r="T1209" s="1"/>
      <c r="U1209" s="4"/>
    </row>
    <row r="1210" spans="1:21" ht="18.75" hidden="1" customHeight="1">
      <c r="A1210" s="39"/>
      <c r="B1210" s="127"/>
      <c r="C1210" s="30"/>
      <c r="D1210" s="95"/>
      <c r="E1210" s="102"/>
      <c r="F1210" s="31">
        <f t="shared" si="602"/>
        <v>0</v>
      </c>
      <c r="G1210" s="27">
        <f t="shared" si="603"/>
        <v>0</v>
      </c>
      <c r="H1210" s="32">
        <f>IF(D1210="no",0,F1210*H1206)</f>
        <v>0</v>
      </c>
      <c r="I1210" s="33">
        <f t="shared" si="604"/>
        <v>0</v>
      </c>
      <c r="J1210" s="26"/>
      <c r="K1210" s="27">
        <f t="shared" si="605"/>
        <v>0</v>
      </c>
      <c r="L1210" s="27">
        <f>IF(D1210="no",F1210*H1206-J1210,0)</f>
        <v>0</v>
      </c>
      <c r="M1210" s="563"/>
      <c r="N1210" s="564"/>
      <c r="O1210" s="1"/>
      <c r="P1210" s="3"/>
      <c r="Q1210" s="1"/>
      <c r="R1210" s="1"/>
      <c r="S1210" s="1"/>
      <c r="T1210" s="1"/>
      <c r="U1210" s="4"/>
    </row>
    <row r="1211" spans="1:21" ht="18.75" hidden="1" customHeight="1">
      <c r="A1211" s="39"/>
      <c r="B1211" s="29"/>
      <c r="C1211" s="30"/>
      <c r="D1211" s="38"/>
      <c r="E1211" s="27"/>
      <c r="F1211" s="31">
        <f t="shared" si="602"/>
        <v>0</v>
      </c>
      <c r="G1211" s="27">
        <f t="shared" si="603"/>
        <v>0</v>
      </c>
      <c r="H1211" s="32">
        <f>IF(D1211="no",0,F1211*H1206)</f>
        <v>0</v>
      </c>
      <c r="I1211" s="33">
        <f t="shared" si="604"/>
        <v>0</v>
      </c>
      <c r="J1211" s="26"/>
      <c r="K1211" s="27">
        <f t="shared" si="605"/>
        <v>0</v>
      </c>
      <c r="L1211" s="27">
        <f>IF(D1211="no",F1211*H1206-J1211,0)</f>
        <v>0</v>
      </c>
      <c r="M1211" s="572"/>
      <c r="N1211" s="564"/>
      <c r="O1211" s="1"/>
      <c r="P1211" s="3"/>
      <c r="Q1211" s="1"/>
      <c r="R1211" s="1"/>
      <c r="S1211" s="1"/>
      <c r="T1211" s="1"/>
      <c r="U1211" s="4"/>
    </row>
    <row r="1212" spans="1:21" ht="18.75" hidden="1" customHeight="1">
      <c r="A1212" s="39"/>
      <c r="B1212" s="29"/>
      <c r="C1212" s="30"/>
      <c r="D1212" s="38"/>
      <c r="E1212" s="27"/>
      <c r="F1212" s="31">
        <f t="shared" si="602"/>
        <v>0</v>
      </c>
      <c r="G1212" s="27">
        <f t="shared" si="603"/>
        <v>0</v>
      </c>
      <c r="H1212" s="32">
        <f>IF(D1212="no",0,F1212*H1206)</f>
        <v>0</v>
      </c>
      <c r="I1212" s="33">
        <f t="shared" si="604"/>
        <v>0</v>
      </c>
      <c r="J1212" s="26"/>
      <c r="K1212" s="27">
        <f t="shared" si="605"/>
        <v>0</v>
      </c>
      <c r="L1212" s="27">
        <f t="shared" ref="L1212:L1213" si="606">IF(D1212="no",F1212*H1206-J1212,0)</f>
        <v>0</v>
      </c>
      <c r="M1212" s="563"/>
      <c r="N1212" s="564"/>
      <c r="O1212" s="1"/>
      <c r="P1212" s="3"/>
      <c r="Q1212" s="1"/>
      <c r="R1212" s="1"/>
      <c r="S1212" s="1"/>
      <c r="T1212" s="1"/>
      <c r="U1212" s="4"/>
    </row>
    <row r="1213" spans="1:21" ht="18.75" hidden="1" customHeight="1">
      <c r="A1213" s="28"/>
      <c r="B1213" s="29"/>
      <c r="C1213" s="30"/>
      <c r="D1213" s="38"/>
      <c r="E1213" s="27"/>
      <c r="F1213" s="31">
        <f t="shared" si="602"/>
        <v>0</v>
      </c>
      <c r="G1213" s="27">
        <f t="shared" si="603"/>
        <v>0</v>
      </c>
      <c r="H1213" s="32">
        <f>IF(D1213="no",0,F1213*H1206)</f>
        <v>0</v>
      </c>
      <c r="I1213" s="33">
        <f t="shared" si="604"/>
        <v>0</v>
      </c>
      <c r="J1213" s="26"/>
      <c r="K1213" s="27">
        <f t="shared" si="605"/>
        <v>0</v>
      </c>
      <c r="L1213" s="27">
        <f t="shared" si="606"/>
        <v>0</v>
      </c>
      <c r="M1213" s="572"/>
      <c r="N1213" s="564"/>
      <c r="O1213" s="1"/>
      <c r="P1213" s="3"/>
      <c r="Q1213" s="1"/>
      <c r="R1213" s="1"/>
      <c r="S1213" s="1"/>
      <c r="T1213" s="1"/>
      <c r="U1213" s="4"/>
    </row>
    <row r="1214" spans="1:21" ht="18.75" hidden="1" customHeight="1">
      <c r="A1214" s="28"/>
      <c r="B1214" s="29"/>
      <c r="C1214" s="30"/>
      <c r="D1214" s="38"/>
      <c r="E1214" s="27"/>
      <c r="F1214" s="31">
        <f t="shared" si="602"/>
        <v>0</v>
      </c>
      <c r="G1214" s="27">
        <f t="shared" si="603"/>
        <v>0</v>
      </c>
      <c r="H1214" s="32">
        <f>IF(D1214="no",0,F1214*H1206)</f>
        <v>0</v>
      </c>
      <c r="I1214" s="33">
        <f t="shared" si="604"/>
        <v>0</v>
      </c>
      <c r="J1214" s="26"/>
      <c r="K1214" s="27">
        <f t="shared" si="605"/>
        <v>0</v>
      </c>
      <c r="L1214" s="27">
        <f>IF(D1214="no",F1214*H1206-J1214,0)</f>
        <v>0</v>
      </c>
      <c r="M1214" s="563"/>
      <c r="N1214" s="564"/>
      <c r="O1214" s="1"/>
      <c r="P1214" s="3"/>
      <c r="Q1214" s="1"/>
      <c r="R1214" s="1"/>
      <c r="S1214" s="1"/>
      <c r="T1214" s="1"/>
      <c r="U1214" s="4"/>
    </row>
    <row r="1215" spans="1:21" ht="18.75" hidden="1" customHeight="1">
      <c r="A1215" s="28"/>
      <c r="B1215" s="29"/>
      <c r="C1215" s="30"/>
      <c r="D1215" s="38"/>
      <c r="E1215" s="27"/>
      <c r="F1215" s="31">
        <f t="shared" si="602"/>
        <v>0</v>
      </c>
      <c r="G1215" s="27">
        <f t="shared" si="603"/>
        <v>0</v>
      </c>
      <c r="H1215" s="32">
        <f>IF(D1215="no",0,F1215*H1206)</f>
        <v>0</v>
      </c>
      <c r="I1215" s="33">
        <f t="shared" si="604"/>
        <v>0</v>
      </c>
      <c r="J1215" s="26"/>
      <c r="K1215" s="27">
        <f t="shared" si="605"/>
        <v>0</v>
      </c>
      <c r="L1215" s="27">
        <f t="shared" ref="L1215:L1216" si="607">IF(D1215="no",F1215*H1206-J1215,0)</f>
        <v>0</v>
      </c>
      <c r="M1215" s="572"/>
      <c r="N1215" s="564"/>
      <c r="O1215" s="1"/>
      <c r="P1215" s="3"/>
      <c r="Q1215" s="1"/>
      <c r="R1215" s="1"/>
      <c r="S1215" s="1"/>
      <c r="T1215" s="1"/>
      <c r="U1215" s="4"/>
    </row>
    <row r="1216" spans="1:21" ht="18.75" hidden="1" customHeight="1">
      <c r="A1216" s="28"/>
      <c r="B1216" s="29"/>
      <c r="C1216" s="30"/>
      <c r="D1216" s="38"/>
      <c r="E1216" s="27"/>
      <c r="F1216" s="31">
        <f t="shared" si="602"/>
        <v>0</v>
      </c>
      <c r="G1216" s="27">
        <f t="shared" si="603"/>
        <v>0</v>
      </c>
      <c r="H1216" s="32">
        <f>IF(D1216="no",0,F1216*H1206)</f>
        <v>0</v>
      </c>
      <c r="I1216" s="33">
        <f t="shared" si="604"/>
        <v>0</v>
      </c>
      <c r="J1216" s="26"/>
      <c r="K1216" s="27">
        <f t="shared" si="605"/>
        <v>0</v>
      </c>
      <c r="L1216" s="27">
        <f t="shared" si="607"/>
        <v>0</v>
      </c>
      <c r="M1216" s="572"/>
      <c r="N1216" s="564"/>
      <c r="O1216" s="1"/>
      <c r="P1216" s="3"/>
      <c r="Q1216" s="1"/>
      <c r="R1216" s="1"/>
      <c r="S1216" s="1"/>
      <c r="T1216" s="1"/>
      <c r="U1216" s="4"/>
    </row>
    <row r="1217" spans="1:21" ht="18.75" hidden="1" customHeight="1">
      <c r="A1217" s="28"/>
      <c r="B1217" s="29"/>
      <c r="C1217" s="30"/>
      <c r="D1217" s="38"/>
      <c r="E1217" s="27"/>
      <c r="F1217" s="31">
        <f t="shared" si="602"/>
        <v>0</v>
      </c>
      <c r="G1217" s="27">
        <f t="shared" si="603"/>
        <v>0</v>
      </c>
      <c r="H1217" s="32">
        <f>IF(D1217="no",0,F1217*H1206)</f>
        <v>0</v>
      </c>
      <c r="I1217" s="33">
        <f t="shared" si="604"/>
        <v>0</v>
      </c>
      <c r="J1217" s="26"/>
      <c r="K1217" s="27">
        <f t="shared" si="605"/>
        <v>0</v>
      </c>
      <c r="L1217" s="27">
        <f>IF(D1217="no",F1217*#REF!-J1217,0)</f>
        <v>0</v>
      </c>
      <c r="M1217" s="572"/>
      <c r="N1217" s="564"/>
      <c r="O1217" s="1"/>
      <c r="P1217" s="3"/>
      <c r="Q1217" s="1"/>
      <c r="R1217" s="1"/>
      <c r="S1217" s="1"/>
      <c r="T1217" s="1"/>
      <c r="U1217" s="4"/>
    </row>
    <row r="1218" spans="1:21" ht="18.75" hidden="1" customHeight="1">
      <c r="A1218" s="28"/>
      <c r="B1218" s="29"/>
      <c r="C1218" s="30"/>
      <c r="D1218" s="38"/>
      <c r="E1218" s="27"/>
      <c r="F1218" s="31">
        <f t="shared" si="602"/>
        <v>0</v>
      </c>
      <c r="G1218" s="27">
        <f t="shared" si="603"/>
        <v>0</v>
      </c>
      <c r="H1218" s="32">
        <f>IF(D1218="no",0,F1218*H1206)</f>
        <v>0</v>
      </c>
      <c r="I1218" s="33">
        <f t="shared" si="604"/>
        <v>0</v>
      </c>
      <c r="J1218" s="26"/>
      <c r="K1218" s="27">
        <f t="shared" si="605"/>
        <v>0</v>
      </c>
      <c r="L1218" s="27">
        <f t="shared" ref="L1218" si="608">IF(D1218="no",F1218*H1206-J1218,0)</f>
        <v>0</v>
      </c>
      <c r="M1218" s="572"/>
      <c r="N1218" s="564"/>
      <c r="O1218" s="1"/>
      <c r="P1218" s="3"/>
      <c r="Q1218" s="1"/>
      <c r="R1218" s="1"/>
      <c r="S1218" s="1"/>
      <c r="T1218" s="1"/>
      <c r="U1218" s="4"/>
    </row>
    <row r="1219" spans="1:21" ht="18.75" hidden="1" customHeight="1">
      <c r="A1219" s="28"/>
      <c r="B1219" s="29"/>
      <c r="C1219" s="30"/>
      <c r="D1219" s="38"/>
      <c r="E1219" s="27"/>
      <c r="F1219" s="31">
        <f t="shared" si="602"/>
        <v>0</v>
      </c>
      <c r="G1219" s="27">
        <f t="shared" si="603"/>
        <v>0</v>
      </c>
      <c r="H1219" s="32">
        <f>IF(D1219="no",0,F1219*H1206)</f>
        <v>0</v>
      </c>
      <c r="I1219" s="33">
        <f t="shared" si="604"/>
        <v>0</v>
      </c>
      <c r="J1219" s="26"/>
      <c r="K1219" s="27">
        <f t="shared" si="605"/>
        <v>0</v>
      </c>
      <c r="L1219" s="27">
        <f>IF(D1219="no",F1219*H1206-J1219,0)</f>
        <v>0</v>
      </c>
      <c r="M1219" s="578"/>
      <c r="N1219" s="564"/>
      <c r="O1219" s="1"/>
      <c r="P1219" s="3"/>
      <c r="Q1219" s="1"/>
      <c r="R1219" s="1"/>
      <c r="S1219" s="1"/>
      <c r="T1219" s="1"/>
      <c r="U1219" s="4"/>
    </row>
    <row r="1220" spans="1:21" ht="18.75" hidden="1" customHeight="1">
      <c r="A1220" s="39" t="s">
        <v>435</v>
      </c>
      <c r="B1220" s="29" t="s">
        <v>341</v>
      </c>
      <c r="C1220" s="30"/>
      <c r="D1220" s="38"/>
      <c r="E1220" s="27"/>
      <c r="F1220" s="31">
        <f t="shared" si="602"/>
        <v>0</v>
      </c>
      <c r="G1220" s="27">
        <f t="shared" si="603"/>
        <v>0</v>
      </c>
      <c r="H1220" s="32"/>
      <c r="I1220" s="33">
        <f t="shared" si="604"/>
        <v>0</v>
      </c>
      <c r="J1220" s="26"/>
      <c r="K1220" s="27">
        <f t="shared" si="605"/>
        <v>0</v>
      </c>
      <c r="L1220" s="27">
        <f>IF(D1220="no",F1220*#REF!-J1220,0)</f>
        <v>0</v>
      </c>
      <c r="M1220" s="572"/>
      <c r="N1220" s="564"/>
      <c r="O1220" s="1"/>
      <c r="P1220" s="3"/>
      <c r="Q1220" s="1"/>
      <c r="R1220" s="1"/>
      <c r="S1220" s="1"/>
      <c r="T1220" s="1"/>
      <c r="U1220" s="4"/>
    </row>
    <row r="1221" spans="1:21" ht="18.75" hidden="1" customHeight="1">
      <c r="A1221" s="39" t="s">
        <v>435</v>
      </c>
      <c r="B1221" s="29" t="s">
        <v>342</v>
      </c>
      <c r="C1221" s="30"/>
      <c r="D1221" s="21"/>
      <c r="E1221" s="27"/>
      <c r="F1221" s="31">
        <f t="shared" si="602"/>
        <v>0</v>
      </c>
      <c r="G1221" s="27">
        <f t="shared" si="603"/>
        <v>0</v>
      </c>
      <c r="H1221" s="32"/>
      <c r="I1221" s="33">
        <f t="shared" si="604"/>
        <v>0</v>
      </c>
      <c r="J1221" s="26"/>
      <c r="K1221" s="27">
        <f t="shared" si="605"/>
        <v>0</v>
      </c>
      <c r="L1221" s="27">
        <f t="shared" ref="L1221" si="609">IF(D1221="no",F1221*H1206-J1221,0)</f>
        <v>0</v>
      </c>
      <c r="M1221" s="572"/>
      <c r="N1221" s="564"/>
      <c r="O1221" s="1"/>
      <c r="P1221" s="3"/>
      <c r="Q1221" s="1"/>
      <c r="R1221" s="1"/>
      <c r="S1221" s="1"/>
      <c r="T1221" s="1"/>
      <c r="U1221" s="4"/>
    </row>
    <row r="1222" spans="1:21" ht="18.75" hidden="1" customHeight="1">
      <c r="A1222" s="39" t="s">
        <v>435</v>
      </c>
      <c r="B1222" s="29" t="s">
        <v>61</v>
      </c>
      <c r="C1222" s="30"/>
      <c r="D1222" s="21"/>
      <c r="E1222" s="27"/>
      <c r="F1222" s="31"/>
      <c r="G1222" s="27"/>
      <c r="H1222" s="32"/>
      <c r="I1222" s="33">
        <f t="shared" si="604"/>
        <v>0</v>
      </c>
      <c r="J1222" s="26"/>
      <c r="K1222" s="27">
        <f t="shared" si="605"/>
        <v>0</v>
      </c>
      <c r="L1222" s="27">
        <f t="shared" ref="L1222:L1223" si="610">IF(D1222="no",F1222*H1208-J1222,0)</f>
        <v>0</v>
      </c>
      <c r="M1222" s="572"/>
      <c r="N1222" s="564"/>
      <c r="O1222" s="1"/>
      <c r="P1222" s="3"/>
      <c r="Q1222" s="1"/>
      <c r="R1222" s="1"/>
      <c r="S1222" s="1"/>
      <c r="T1222" s="1"/>
      <c r="U1222" s="4"/>
    </row>
    <row r="1223" spans="1:21" ht="18.75" hidden="1" customHeight="1">
      <c r="A1223" s="39" t="s">
        <v>435</v>
      </c>
      <c r="B1223" s="29" t="s">
        <v>35</v>
      </c>
      <c r="C1223" s="30"/>
      <c r="D1223" s="21"/>
      <c r="E1223" s="27"/>
      <c r="F1223" s="31">
        <f>IF(D1223="no",E1223,E1223/1.1)</f>
        <v>0</v>
      </c>
      <c r="G1223" s="27">
        <f>IF(D1223="no",0,F1223*0.1)</f>
        <v>0</v>
      </c>
      <c r="H1223" s="37"/>
      <c r="I1223" s="33">
        <f t="shared" si="604"/>
        <v>0</v>
      </c>
      <c r="J1223" s="26"/>
      <c r="K1223" s="27">
        <f t="shared" si="605"/>
        <v>0</v>
      </c>
      <c r="L1223" s="27">
        <f t="shared" si="610"/>
        <v>0</v>
      </c>
      <c r="M1223" s="572"/>
      <c r="N1223" s="564"/>
      <c r="O1223" s="1"/>
      <c r="P1223" s="3"/>
      <c r="Q1223" s="1"/>
      <c r="R1223" s="1"/>
      <c r="S1223" s="1"/>
      <c r="T1223" s="1"/>
      <c r="U1223" s="4"/>
    </row>
    <row r="1224" spans="1:21" ht="18.75" hidden="1" customHeight="1">
      <c r="A1224" s="575" t="s">
        <v>42</v>
      </c>
      <c r="B1224" s="576"/>
      <c r="C1224" s="576"/>
      <c r="D1224" s="577"/>
      <c r="E1224" s="42">
        <f t="shared" ref="E1224:L1224" si="611">SUM(E1208:E1223)</f>
        <v>0</v>
      </c>
      <c r="F1224" s="17">
        <f t="shared" si="611"/>
        <v>0</v>
      </c>
      <c r="G1224" s="42">
        <f t="shared" si="611"/>
        <v>0</v>
      </c>
      <c r="H1224" s="43">
        <f>SUM(H1208:H1223)</f>
        <v>0</v>
      </c>
      <c r="I1224" s="42">
        <f t="shared" si="611"/>
        <v>0</v>
      </c>
      <c r="J1224" s="43">
        <f t="shared" si="611"/>
        <v>0</v>
      </c>
      <c r="K1224" s="42">
        <f t="shared" si="611"/>
        <v>0</v>
      </c>
      <c r="L1224" s="42">
        <f t="shared" si="611"/>
        <v>0</v>
      </c>
      <c r="M1224" s="44"/>
      <c r="N1224" s="45"/>
      <c r="O1224" s="1"/>
      <c r="P1224" s="3"/>
      <c r="Q1224" s="1"/>
      <c r="R1224" s="1"/>
      <c r="S1224" s="1"/>
      <c r="T1224" s="1"/>
      <c r="U1224" s="4"/>
    </row>
    <row r="1225" spans="1:21" ht="18.75" hidden="1" customHeight="1">
      <c r="A1225" s="46" t="s">
        <v>37</v>
      </c>
      <c r="B1225" s="47" t="s">
        <v>132</v>
      </c>
      <c r="C1225" s="48">
        <f>D1206</f>
        <v>0</v>
      </c>
      <c r="D1225" s="47" t="s">
        <v>44</v>
      </c>
      <c r="E1225" s="49"/>
      <c r="F1225" s="84"/>
      <c r="G1225" s="85"/>
      <c r="H1225" s="49"/>
      <c r="I1225" s="53" t="s">
        <v>46</v>
      </c>
      <c r="J1225" s="54"/>
      <c r="K1225" s="50"/>
      <c r="L1225" s="55"/>
      <c r="M1225" s="63"/>
      <c r="N1225" s="64"/>
      <c r="O1225" s="1"/>
      <c r="P1225" s="3"/>
      <c r="Q1225" s="1"/>
      <c r="R1225" s="1"/>
      <c r="S1225" s="1"/>
      <c r="T1225" s="1"/>
      <c r="U1225" s="4"/>
    </row>
    <row r="1226" spans="1:21" ht="18.75" hidden="1" customHeight="1" thickBot="1">
      <c r="A1226" s="56" t="s">
        <v>48</v>
      </c>
      <c r="B1226" s="57" t="s">
        <v>133</v>
      </c>
      <c r="C1226" s="58">
        <f>ROUND(F1224/10000,0)</f>
        <v>0</v>
      </c>
      <c r="D1226" s="57" t="s">
        <v>50</v>
      </c>
      <c r="E1226" s="52"/>
      <c r="F1226" s="86"/>
      <c r="G1226" s="87"/>
      <c r="H1226" s="52"/>
      <c r="I1226" s="59"/>
      <c r="J1226" s="61"/>
      <c r="K1226" s="59"/>
      <c r="L1226" s="62"/>
      <c r="M1226" s="63"/>
      <c r="N1226" s="64"/>
      <c r="O1226" s="1"/>
      <c r="P1226" s="3"/>
      <c r="Q1226" s="1"/>
      <c r="R1226" s="1"/>
      <c r="S1226" s="1"/>
      <c r="T1226" s="1"/>
      <c r="U1226" s="4"/>
    </row>
    <row r="1227" spans="1:21" ht="18.75" hidden="1" customHeight="1" thickBot="1">
      <c r="A1227" s="566" t="s">
        <v>52</v>
      </c>
      <c r="B1227" s="567"/>
      <c r="C1227" s="567"/>
      <c r="D1227" s="568"/>
      <c r="E1227" s="65"/>
      <c r="F1227" s="569" t="s">
        <v>53</v>
      </c>
      <c r="G1227" s="568"/>
      <c r="H1227" s="66">
        <f>H1224-J1225</f>
        <v>0</v>
      </c>
      <c r="I1227" s="67">
        <f>H1227*3.3%</f>
        <v>0</v>
      </c>
      <c r="J1227" s="68">
        <f>SUM(J1224)</f>
        <v>0</v>
      </c>
      <c r="K1227" s="69">
        <f>H1227-I1227</f>
        <v>0</v>
      </c>
      <c r="L1227" s="70">
        <f>L1224+SUM(H1225:H1226)+J1226</f>
        <v>0</v>
      </c>
      <c r="M1227" s="570">
        <f>K1227+L1227</f>
        <v>0</v>
      </c>
      <c r="N1227" s="571"/>
      <c r="O1227" s="1"/>
      <c r="P1227" s="3"/>
      <c r="Q1227" s="1"/>
      <c r="R1227" s="1"/>
      <c r="S1227" s="1"/>
      <c r="T1227" s="1"/>
      <c r="U1227" s="4"/>
    </row>
    <row r="1228" spans="1:21" ht="18.75" hidden="1" customHeight="1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3"/>
      <c r="Q1228" s="1"/>
      <c r="R1228" s="1"/>
      <c r="S1228" s="1"/>
      <c r="T1228" s="1"/>
      <c r="U1228" s="4"/>
    </row>
    <row r="1229" spans="1:21" ht="18.75" customHeight="1">
      <c r="A1229" s="6" t="s">
        <v>140</v>
      </c>
      <c r="B1229" s="7" t="str">
        <f>$B$34</f>
        <v>1월</v>
      </c>
      <c r="C1229" s="8" t="s">
        <v>1</v>
      </c>
      <c r="D1229" s="9">
        <f>COUNTIF($C1231:$C1245,"계약")+(COUNTIF($C1231:$C1245,"계약2")*2)</f>
        <v>5</v>
      </c>
      <c r="E1229" s="3">
        <f>COUNTIF(C1231:C1245,"낙찰수수료")</f>
        <v>4</v>
      </c>
      <c r="F1229" s="10" t="s">
        <v>668</v>
      </c>
      <c r="G1229" s="89" t="s">
        <v>141</v>
      </c>
      <c r="H1229" s="11">
        <v>0.5</v>
      </c>
      <c r="I1229" s="12">
        <v>3.3000000000000002E-2</v>
      </c>
      <c r="J1229" s="1"/>
      <c r="K1229" s="1"/>
      <c r="L1229" s="1"/>
      <c r="M1229" s="1"/>
      <c r="N1229" s="1"/>
      <c r="O1229" s="1"/>
      <c r="P1229" s="3"/>
      <c r="Q1229" s="1"/>
      <c r="R1229" s="1"/>
      <c r="S1229" s="1"/>
      <c r="T1229" s="1"/>
      <c r="U1229" s="4"/>
    </row>
    <row r="1230" spans="1:21" ht="18.75" customHeight="1">
      <c r="A1230" s="13" t="s">
        <v>3</v>
      </c>
      <c r="B1230" s="14" t="s">
        <v>4</v>
      </c>
      <c r="C1230" s="14" t="s">
        <v>5</v>
      </c>
      <c r="D1230" s="101" t="s">
        <v>6</v>
      </c>
      <c r="E1230" s="16" t="s">
        <v>7</v>
      </c>
      <c r="F1230" s="17" t="s">
        <v>8</v>
      </c>
      <c r="G1230" s="14" t="s">
        <v>9</v>
      </c>
      <c r="H1230" s="15" t="s">
        <v>10</v>
      </c>
      <c r="I1230" s="14" t="s">
        <v>11</v>
      </c>
      <c r="J1230" s="15" t="s">
        <v>12</v>
      </c>
      <c r="K1230" s="14" t="s">
        <v>13</v>
      </c>
      <c r="L1230" s="14" t="s">
        <v>14</v>
      </c>
      <c r="M1230" s="579" t="s">
        <v>15</v>
      </c>
      <c r="N1230" s="577"/>
      <c r="O1230" s="1"/>
      <c r="P1230" s="3"/>
      <c r="Q1230" s="1"/>
      <c r="R1230" s="1"/>
      <c r="S1230" s="1"/>
      <c r="T1230" s="1"/>
      <c r="U1230" s="4"/>
    </row>
    <row r="1231" spans="1:21" ht="18.75" customHeight="1">
      <c r="A1231" s="28">
        <v>46028</v>
      </c>
      <c r="B1231" s="29" t="s">
        <v>649</v>
      </c>
      <c r="C1231" s="30" t="s">
        <v>627</v>
      </c>
      <c r="D1231" s="161"/>
      <c r="E1231" s="27">
        <v>550000</v>
      </c>
      <c r="F1231" s="31">
        <f t="shared" ref="F1231:F1243" si="612">IF(D1231="no",E1231,E1231/1.1)</f>
        <v>499999.99999999994</v>
      </c>
      <c r="G1231" s="27">
        <f t="shared" ref="G1231:G1243" si="613">IF(D1231="no",0,F1231*0.1)</f>
        <v>50000</v>
      </c>
      <c r="H1231" s="32">
        <f>IF(D1231="no",0,F1231*H1229)</f>
        <v>249999.99999999997</v>
      </c>
      <c r="I1231" s="33">
        <f t="shared" ref="I1231:I1245" si="614">IF(D1231="no",0,H1231*3.3%)</f>
        <v>8250</v>
      </c>
      <c r="J1231" s="26"/>
      <c r="K1231" s="27">
        <f t="shared" ref="K1231:K1245" si="615">IF(D1231="no",0,H1231-I1231-J1231)</f>
        <v>241749.99999999997</v>
      </c>
      <c r="L1231" s="27">
        <f>IF(D1231="no",F1231*H1229-J1231,0)</f>
        <v>0</v>
      </c>
      <c r="M1231" s="582"/>
      <c r="N1231" s="581"/>
      <c r="O1231" s="1"/>
      <c r="P1231" s="3"/>
      <c r="Q1231" s="1"/>
      <c r="R1231" s="1"/>
      <c r="S1231" s="1"/>
      <c r="T1231" s="1"/>
      <c r="U1231" s="4"/>
    </row>
    <row r="1232" spans="1:21" ht="18.75" customHeight="1">
      <c r="A1232" s="28">
        <v>46029</v>
      </c>
      <c r="B1232" s="29" t="s">
        <v>650</v>
      </c>
      <c r="C1232" s="30" t="s">
        <v>651</v>
      </c>
      <c r="D1232" s="161"/>
      <c r="E1232" s="27">
        <v>2882000</v>
      </c>
      <c r="F1232" s="31">
        <f t="shared" si="612"/>
        <v>2620000</v>
      </c>
      <c r="G1232" s="27">
        <f t="shared" si="613"/>
        <v>262000</v>
      </c>
      <c r="H1232" s="32">
        <f>IF(D1232="no",0,F1232*H1229)</f>
        <v>1310000</v>
      </c>
      <c r="I1232" s="33">
        <f t="shared" si="614"/>
        <v>43230</v>
      </c>
      <c r="J1232" s="26"/>
      <c r="K1232" s="27">
        <f t="shared" si="615"/>
        <v>1266770</v>
      </c>
      <c r="L1232" s="27">
        <f>IF(D1232="no",F1232*H1229-J1232,0)</f>
        <v>0</v>
      </c>
      <c r="M1232" s="565"/>
      <c r="N1232" s="564"/>
      <c r="O1232" s="1"/>
      <c r="P1232" s="3"/>
      <c r="Q1232" s="1"/>
      <c r="R1232" s="1"/>
      <c r="S1232" s="1"/>
      <c r="T1232" s="1"/>
      <c r="U1232" s="4"/>
    </row>
    <row r="1233" spans="1:21" ht="18.75" customHeight="1">
      <c r="A1233" s="28">
        <v>46034</v>
      </c>
      <c r="B1233" s="29" t="s">
        <v>652</v>
      </c>
      <c r="C1233" s="30" t="s">
        <v>629</v>
      </c>
      <c r="D1233" s="161"/>
      <c r="E1233" s="27">
        <v>4950000</v>
      </c>
      <c r="F1233" s="31">
        <f t="shared" si="612"/>
        <v>4500000</v>
      </c>
      <c r="G1233" s="27">
        <f t="shared" si="613"/>
        <v>450000</v>
      </c>
      <c r="H1233" s="32">
        <f>IF(D1233="no",0,F1233*H1229)</f>
        <v>2250000</v>
      </c>
      <c r="I1233" s="33">
        <f t="shared" si="614"/>
        <v>74250</v>
      </c>
      <c r="J1233" s="26"/>
      <c r="K1233" s="27">
        <f t="shared" si="615"/>
        <v>2175750</v>
      </c>
      <c r="L1233" s="27">
        <f>IF(D1233="no",F1233*H1229-J1233,0)</f>
        <v>0</v>
      </c>
      <c r="M1233" s="563"/>
      <c r="N1233" s="564"/>
      <c r="O1233" s="1"/>
      <c r="P1233" s="3"/>
      <c r="Q1233" s="1"/>
      <c r="R1233" s="1"/>
      <c r="S1233" s="1"/>
      <c r="T1233" s="1"/>
      <c r="U1233" s="4"/>
    </row>
    <row r="1234" spans="1:21" ht="18.75" customHeight="1">
      <c r="A1234" s="39">
        <v>46034</v>
      </c>
      <c r="B1234" s="29" t="s">
        <v>653</v>
      </c>
      <c r="C1234" s="30" t="s">
        <v>618</v>
      </c>
      <c r="D1234" s="161"/>
      <c r="E1234" s="27">
        <v>550000</v>
      </c>
      <c r="F1234" s="31">
        <f t="shared" si="612"/>
        <v>499999.99999999994</v>
      </c>
      <c r="G1234" s="27">
        <f t="shared" si="613"/>
        <v>50000</v>
      </c>
      <c r="H1234" s="32">
        <f>IF(D1234="no",0,F1234*H1229)</f>
        <v>249999.99999999997</v>
      </c>
      <c r="I1234" s="33">
        <f t="shared" si="614"/>
        <v>8250</v>
      </c>
      <c r="J1234" s="26"/>
      <c r="K1234" s="27">
        <f t="shared" si="615"/>
        <v>241749.99999999997</v>
      </c>
      <c r="L1234" s="27">
        <f>IF(D1234="no",F1234*H1229-J1234,0)</f>
        <v>0</v>
      </c>
      <c r="M1234" s="572"/>
      <c r="N1234" s="564"/>
      <c r="O1234" s="1"/>
      <c r="P1234" s="3"/>
      <c r="Q1234" s="1"/>
      <c r="R1234" s="1"/>
      <c r="S1234" s="1"/>
      <c r="T1234" s="1"/>
      <c r="U1234" s="4"/>
    </row>
    <row r="1235" spans="1:21" ht="18.75" customHeight="1">
      <c r="A1235" s="39">
        <v>46036</v>
      </c>
      <c r="B1235" s="29" t="s">
        <v>654</v>
      </c>
      <c r="C1235" s="29" t="s">
        <v>655</v>
      </c>
      <c r="D1235" s="161"/>
      <c r="E1235" s="27">
        <v>2200000</v>
      </c>
      <c r="F1235" s="31">
        <f t="shared" si="612"/>
        <v>1999999.9999999998</v>
      </c>
      <c r="G1235" s="27">
        <f t="shared" si="613"/>
        <v>200000</v>
      </c>
      <c r="H1235" s="32">
        <f>IF(D1235="no",0,F1235*H1229)</f>
        <v>999999.99999999988</v>
      </c>
      <c r="I1235" s="33">
        <f t="shared" si="614"/>
        <v>33000</v>
      </c>
      <c r="J1235" s="26"/>
      <c r="K1235" s="27">
        <f t="shared" si="615"/>
        <v>966999.99999999988</v>
      </c>
      <c r="L1235" s="27">
        <f>IF(D1235="no",F1235*H1230-J1235,0)</f>
        <v>0</v>
      </c>
      <c r="M1235" s="563"/>
      <c r="N1235" s="564"/>
      <c r="O1235" s="1"/>
      <c r="P1235" s="3"/>
      <c r="Q1235" s="1"/>
      <c r="R1235" s="1"/>
      <c r="S1235" s="1"/>
      <c r="T1235" s="1"/>
      <c r="U1235" s="4"/>
    </row>
    <row r="1236" spans="1:21" ht="18.75" customHeight="1">
      <c r="A1236" s="39">
        <v>46042</v>
      </c>
      <c r="B1236" s="29" t="s">
        <v>656</v>
      </c>
      <c r="C1236" s="29" t="s">
        <v>651</v>
      </c>
      <c r="D1236" s="38"/>
      <c r="E1236" s="27">
        <v>2200000</v>
      </c>
      <c r="F1236" s="31">
        <f t="shared" si="612"/>
        <v>1999999.9999999998</v>
      </c>
      <c r="G1236" s="27">
        <f t="shared" si="613"/>
        <v>200000</v>
      </c>
      <c r="H1236" s="32">
        <f>IF(D1236="no",0,F1236*H1229)</f>
        <v>999999.99999999988</v>
      </c>
      <c r="I1236" s="33">
        <f t="shared" si="614"/>
        <v>33000</v>
      </c>
      <c r="J1236" s="26"/>
      <c r="K1236" s="27">
        <f t="shared" si="615"/>
        <v>966999.99999999988</v>
      </c>
      <c r="L1236" s="27">
        <f t="shared" ref="L1236:L1243" si="616">IF(D1236="no",F1236*H1231-J1236,0)</f>
        <v>0</v>
      </c>
      <c r="M1236" s="572"/>
      <c r="N1236" s="564"/>
      <c r="O1236" s="1"/>
      <c r="P1236" s="3"/>
      <c r="Q1236" s="1"/>
      <c r="R1236" s="1"/>
      <c r="S1236" s="1"/>
      <c r="T1236" s="1"/>
      <c r="U1236" s="4"/>
    </row>
    <row r="1237" spans="1:21" ht="18.75" customHeight="1">
      <c r="A1237" s="28">
        <v>46042</v>
      </c>
      <c r="B1237" s="29" t="s">
        <v>657</v>
      </c>
      <c r="C1237" s="30" t="s">
        <v>645</v>
      </c>
      <c r="D1237" s="38"/>
      <c r="E1237" s="27">
        <v>550000</v>
      </c>
      <c r="F1237" s="31">
        <f t="shared" si="612"/>
        <v>499999.99999999994</v>
      </c>
      <c r="G1237" s="27">
        <f t="shared" si="613"/>
        <v>50000</v>
      </c>
      <c r="H1237" s="32">
        <f>IF(D1237="no",0,F1237*H1229)</f>
        <v>249999.99999999997</v>
      </c>
      <c r="I1237" s="33">
        <f t="shared" si="614"/>
        <v>8250</v>
      </c>
      <c r="J1237" s="26"/>
      <c r="K1237" s="27">
        <f t="shared" si="615"/>
        <v>241749.99999999997</v>
      </c>
      <c r="L1237" s="27">
        <f t="shared" si="616"/>
        <v>0</v>
      </c>
      <c r="M1237" s="563"/>
      <c r="N1237" s="564"/>
      <c r="O1237" s="1"/>
      <c r="P1237" s="3"/>
      <c r="Q1237" s="1"/>
      <c r="R1237" s="1"/>
      <c r="S1237" s="1"/>
      <c r="T1237" s="1"/>
      <c r="U1237" s="4"/>
    </row>
    <row r="1238" spans="1:21" ht="18.75" customHeight="1">
      <c r="A1238" s="28">
        <v>46052</v>
      </c>
      <c r="B1238" s="29" t="s">
        <v>820</v>
      </c>
      <c r="C1238" s="30" t="s">
        <v>821</v>
      </c>
      <c r="D1238" s="38"/>
      <c r="E1238" s="27">
        <v>2620000</v>
      </c>
      <c r="F1238" s="31">
        <f t="shared" si="612"/>
        <v>2381818.1818181816</v>
      </c>
      <c r="G1238" s="27">
        <f t="shared" si="613"/>
        <v>238181.81818181818</v>
      </c>
      <c r="H1238" s="32">
        <f>IF(D1238="no",0,F1238*H1229)</f>
        <v>1190909.0909090908</v>
      </c>
      <c r="I1238" s="33">
        <f t="shared" si="614"/>
        <v>39300</v>
      </c>
      <c r="J1238" s="26"/>
      <c r="K1238" s="27">
        <f t="shared" si="615"/>
        <v>1151609.0909090908</v>
      </c>
      <c r="L1238" s="27">
        <f t="shared" si="616"/>
        <v>0</v>
      </c>
      <c r="M1238" s="572"/>
      <c r="N1238" s="564"/>
      <c r="O1238" s="1"/>
      <c r="P1238" s="3"/>
      <c r="Q1238" s="1"/>
      <c r="R1238" s="1"/>
      <c r="S1238" s="1"/>
      <c r="T1238" s="1"/>
      <c r="U1238" s="4"/>
    </row>
    <row r="1239" spans="1:21" ht="18.75" customHeight="1">
      <c r="A1239" s="28"/>
      <c r="B1239" s="29"/>
      <c r="C1239" s="30"/>
      <c r="D1239" s="38"/>
      <c r="E1239" s="27"/>
      <c r="F1239" s="31">
        <f t="shared" si="612"/>
        <v>0</v>
      </c>
      <c r="G1239" s="27">
        <f t="shared" si="613"/>
        <v>0</v>
      </c>
      <c r="H1239" s="32">
        <f>IF(D1239="no",0,F1239*H1229)</f>
        <v>0</v>
      </c>
      <c r="I1239" s="33">
        <f t="shared" si="614"/>
        <v>0</v>
      </c>
      <c r="J1239" s="26"/>
      <c r="K1239" s="27">
        <f t="shared" si="615"/>
        <v>0</v>
      </c>
      <c r="L1239" s="27">
        <f t="shared" si="616"/>
        <v>0</v>
      </c>
      <c r="M1239" s="572"/>
      <c r="N1239" s="564"/>
      <c r="O1239" s="1"/>
      <c r="P1239" s="3"/>
      <c r="Q1239" s="1"/>
      <c r="R1239" s="1"/>
      <c r="S1239" s="1"/>
      <c r="T1239" s="1"/>
      <c r="U1239" s="4"/>
    </row>
    <row r="1240" spans="1:21" ht="18.75" hidden="1" customHeight="1">
      <c r="A1240" s="28"/>
      <c r="B1240" s="29"/>
      <c r="C1240" s="30"/>
      <c r="D1240" s="38"/>
      <c r="E1240" s="27"/>
      <c r="F1240" s="31">
        <f t="shared" si="612"/>
        <v>0</v>
      </c>
      <c r="G1240" s="27">
        <f t="shared" si="613"/>
        <v>0</v>
      </c>
      <c r="H1240" s="32">
        <f>IF(D1240="no",0,F1240*H1229)</f>
        <v>0</v>
      </c>
      <c r="I1240" s="33">
        <f t="shared" si="614"/>
        <v>0</v>
      </c>
      <c r="J1240" s="26"/>
      <c r="K1240" s="27">
        <f t="shared" si="615"/>
        <v>0</v>
      </c>
      <c r="L1240" s="27">
        <f t="shared" si="616"/>
        <v>0</v>
      </c>
      <c r="M1240" s="572"/>
      <c r="N1240" s="564"/>
      <c r="O1240" s="1"/>
      <c r="P1240" s="3"/>
      <c r="Q1240" s="1"/>
      <c r="R1240" s="1"/>
      <c r="S1240" s="1"/>
      <c r="T1240" s="1"/>
      <c r="U1240" s="4"/>
    </row>
    <row r="1241" spans="1:21" ht="18.75" hidden="1" customHeight="1">
      <c r="A1241" s="28"/>
      <c r="B1241" s="29"/>
      <c r="C1241" s="30"/>
      <c r="D1241" s="38"/>
      <c r="E1241" s="27"/>
      <c r="F1241" s="31">
        <f t="shared" si="612"/>
        <v>0</v>
      </c>
      <c r="G1241" s="27">
        <f t="shared" si="613"/>
        <v>0</v>
      </c>
      <c r="H1241" s="32">
        <f>IF(D1241="no",0,F1241*H1229)</f>
        <v>0</v>
      </c>
      <c r="I1241" s="33">
        <f t="shared" si="614"/>
        <v>0</v>
      </c>
      <c r="J1241" s="26"/>
      <c r="K1241" s="27">
        <f t="shared" si="615"/>
        <v>0</v>
      </c>
      <c r="L1241" s="27">
        <f t="shared" si="616"/>
        <v>0</v>
      </c>
      <c r="M1241" s="572"/>
      <c r="N1241" s="564"/>
      <c r="O1241" s="1"/>
      <c r="P1241" s="3"/>
      <c r="Q1241" s="1"/>
      <c r="R1241" s="1"/>
      <c r="S1241" s="1"/>
      <c r="T1241" s="1"/>
      <c r="U1241" s="4"/>
    </row>
    <row r="1242" spans="1:21" ht="18.75" customHeight="1">
      <c r="A1242" s="39" t="s">
        <v>616</v>
      </c>
      <c r="B1242" s="29" t="s">
        <v>584</v>
      </c>
      <c r="C1242" s="30"/>
      <c r="D1242" s="38"/>
      <c r="E1242" s="27"/>
      <c r="F1242" s="31">
        <f t="shared" si="612"/>
        <v>0</v>
      </c>
      <c r="G1242" s="27">
        <f t="shared" si="613"/>
        <v>0</v>
      </c>
      <c r="H1242" s="32">
        <f>IF(D1242="no",0,F1242*H1229)</f>
        <v>0</v>
      </c>
      <c r="I1242" s="33">
        <f t="shared" si="614"/>
        <v>0</v>
      </c>
      <c r="J1242" s="26"/>
      <c r="K1242" s="27">
        <f t="shared" si="615"/>
        <v>0</v>
      </c>
      <c r="L1242" s="27">
        <f t="shared" si="616"/>
        <v>0</v>
      </c>
      <c r="M1242" s="563"/>
      <c r="N1242" s="627"/>
      <c r="O1242" s="1"/>
      <c r="P1242" s="3"/>
      <c r="Q1242" s="1"/>
      <c r="R1242" s="1"/>
      <c r="S1242" s="1"/>
      <c r="T1242" s="1"/>
      <c r="U1242" s="4"/>
    </row>
    <row r="1243" spans="1:21" ht="18.75" customHeight="1">
      <c r="A1243" s="39" t="s">
        <v>616</v>
      </c>
      <c r="B1243" s="250" t="s">
        <v>515</v>
      </c>
      <c r="C1243" s="251"/>
      <c r="D1243" s="252"/>
      <c r="E1243" s="253"/>
      <c r="F1243" s="31">
        <f t="shared" si="612"/>
        <v>0</v>
      </c>
      <c r="G1243" s="253">
        <f t="shared" si="613"/>
        <v>0</v>
      </c>
      <c r="H1243" s="112"/>
      <c r="I1243" s="254">
        <f t="shared" si="614"/>
        <v>0</v>
      </c>
      <c r="J1243" s="255"/>
      <c r="K1243" s="253">
        <f t="shared" si="615"/>
        <v>0</v>
      </c>
      <c r="L1243" s="253">
        <f t="shared" si="616"/>
        <v>0</v>
      </c>
      <c r="M1243" s="628"/>
      <c r="N1243" s="629"/>
      <c r="O1243" s="1"/>
      <c r="P1243" s="3"/>
      <c r="Q1243" s="1"/>
      <c r="R1243" s="1"/>
      <c r="S1243" s="1"/>
      <c r="T1243" s="1"/>
      <c r="U1243" s="4"/>
    </row>
    <row r="1244" spans="1:21" ht="18.75" customHeight="1">
      <c r="A1244" s="39" t="s">
        <v>616</v>
      </c>
      <c r="B1244" s="29" t="s">
        <v>61</v>
      </c>
      <c r="C1244" s="30"/>
      <c r="D1244" s="21"/>
      <c r="E1244" s="27"/>
      <c r="F1244" s="31"/>
      <c r="G1244" s="27"/>
      <c r="H1244" s="32"/>
      <c r="I1244" s="33">
        <f t="shared" si="614"/>
        <v>0</v>
      </c>
      <c r="J1244" s="26"/>
      <c r="K1244" s="27">
        <f t="shared" si="615"/>
        <v>0</v>
      </c>
      <c r="L1244" s="27">
        <f t="shared" ref="L1244:L1245" si="617">IF(D1244="no",F1244*H1231-J1244,0)</f>
        <v>0</v>
      </c>
      <c r="M1244" s="572"/>
      <c r="N1244" s="564"/>
      <c r="O1244" s="1"/>
      <c r="P1244" s="3"/>
      <c r="Q1244" s="1"/>
      <c r="R1244" s="1"/>
      <c r="S1244" s="1"/>
      <c r="T1244" s="1"/>
      <c r="U1244" s="4"/>
    </row>
    <row r="1245" spans="1:21" ht="18.75" customHeight="1">
      <c r="A1245" s="39" t="s">
        <v>616</v>
      </c>
      <c r="B1245" s="29" t="s">
        <v>35</v>
      </c>
      <c r="C1245" s="30"/>
      <c r="D1245" s="21"/>
      <c r="E1245" s="27"/>
      <c r="F1245" s="31">
        <f>IF(D1245="no",E1245,E1245/1.1)</f>
        <v>0</v>
      </c>
      <c r="G1245" s="27">
        <f>IF(D1245="no",0,F1245*0.1)</f>
        <v>0</v>
      </c>
      <c r="H1245" s="37"/>
      <c r="I1245" s="33">
        <f t="shared" si="614"/>
        <v>0</v>
      </c>
      <c r="J1245" s="26"/>
      <c r="K1245" s="27">
        <f t="shared" si="615"/>
        <v>0</v>
      </c>
      <c r="L1245" s="27">
        <f t="shared" si="617"/>
        <v>0</v>
      </c>
      <c r="M1245" s="584"/>
      <c r="N1245" s="564"/>
      <c r="O1245" s="1"/>
      <c r="P1245" s="3"/>
      <c r="Q1245" s="1"/>
      <c r="R1245" s="1"/>
      <c r="S1245" s="1"/>
      <c r="T1245" s="1"/>
      <c r="U1245" s="4"/>
    </row>
    <row r="1246" spans="1:21" ht="18.75" customHeight="1">
      <c r="A1246" s="575" t="s">
        <v>42</v>
      </c>
      <c r="B1246" s="576"/>
      <c r="C1246" s="576"/>
      <c r="D1246" s="577"/>
      <c r="E1246" s="42">
        <f t="shared" ref="E1246:L1246" si="618">SUM(E1231:E1245)</f>
        <v>16502000</v>
      </c>
      <c r="F1246" s="17">
        <f t="shared" si="618"/>
        <v>15001818.181818182</v>
      </c>
      <c r="G1246" s="42">
        <f t="shared" si="618"/>
        <v>1500181.8181818181</v>
      </c>
      <c r="H1246" s="43">
        <f t="shared" si="618"/>
        <v>7500909.0909090908</v>
      </c>
      <c r="I1246" s="42">
        <f t="shared" si="618"/>
        <v>247530</v>
      </c>
      <c r="J1246" s="43">
        <f t="shared" si="618"/>
        <v>0</v>
      </c>
      <c r="K1246" s="42">
        <f>SUM(K1231:K1245)</f>
        <v>7253379.0909090908</v>
      </c>
      <c r="L1246" s="42">
        <f t="shared" si="618"/>
        <v>0</v>
      </c>
      <c r="M1246" s="44"/>
      <c r="N1246" s="45"/>
      <c r="O1246" s="1"/>
      <c r="P1246" s="3"/>
      <c r="Q1246" s="1"/>
      <c r="R1246" s="1"/>
      <c r="S1246" s="1"/>
      <c r="T1246" s="1"/>
      <c r="U1246" s="4"/>
    </row>
    <row r="1247" spans="1:21" ht="18.75" customHeight="1">
      <c r="A1247" s="46" t="s">
        <v>37</v>
      </c>
      <c r="B1247" s="47" t="s">
        <v>132</v>
      </c>
      <c r="C1247" s="48">
        <f>D1229</f>
        <v>5</v>
      </c>
      <c r="D1247" s="47" t="s">
        <v>44</v>
      </c>
      <c r="E1247" s="49"/>
      <c r="F1247" s="331" t="s">
        <v>66</v>
      </c>
      <c r="G1247" s="341">
        <f>C1247+C1437+C1293+C1479</f>
        <v>8</v>
      </c>
      <c r="H1247" s="49"/>
      <c r="I1247" s="53" t="s">
        <v>46</v>
      </c>
      <c r="J1247" s="54"/>
      <c r="K1247" s="50"/>
      <c r="L1247" s="55"/>
      <c r="M1247" s="63"/>
      <c r="N1247" s="64"/>
      <c r="O1247" s="1"/>
      <c r="P1247" s="3"/>
      <c r="Q1247" s="1"/>
      <c r="R1247" s="1"/>
      <c r="S1247" s="1"/>
      <c r="T1247" s="1"/>
      <c r="U1247" s="4"/>
    </row>
    <row r="1248" spans="1:21" ht="18.75" customHeight="1" thickBot="1">
      <c r="A1248" s="56" t="s">
        <v>48</v>
      </c>
      <c r="B1248" s="57" t="s">
        <v>133</v>
      </c>
      <c r="C1248" s="58">
        <f>ROUND(F1246/10000,0)</f>
        <v>1500</v>
      </c>
      <c r="D1248" s="57" t="s">
        <v>50</v>
      </c>
      <c r="E1248" s="52"/>
      <c r="F1248" s="331" t="s">
        <v>67</v>
      </c>
      <c r="G1248" s="340">
        <f>C1248+C1438+C1294+C1480</f>
        <v>1653</v>
      </c>
      <c r="H1248" s="52"/>
      <c r="I1248" s="59"/>
      <c r="J1248" s="61"/>
      <c r="K1248" s="59"/>
      <c r="L1248" s="62">
        <v>0</v>
      </c>
      <c r="M1248" s="63"/>
      <c r="N1248" s="64"/>
      <c r="O1248" s="1"/>
      <c r="P1248" s="3"/>
      <c r="Q1248" s="1"/>
      <c r="R1248" s="1"/>
      <c r="S1248" s="1"/>
      <c r="T1248" s="1"/>
      <c r="U1248" s="4"/>
    </row>
    <row r="1249" spans="1:21" ht="18.75" customHeight="1" thickBot="1">
      <c r="A1249" s="566" t="s">
        <v>52</v>
      </c>
      <c r="B1249" s="567"/>
      <c r="C1249" s="567"/>
      <c r="D1249" s="568"/>
      <c r="E1249" s="65"/>
      <c r="F1249" s="569" t="s">
        <v>53</v>
      </c>
      <c r="G1249" s="568"/>
      <c r="H1249" s="66">
        <f>H1246-J1247</f>
        <v>7500909.0909090908</v>
      </c>
      <c r="I1249" s="67">
        <f>H1249*3.3%</f>
        <v>247530</v>
      </c>
      <c r="J1249" s="68">
        <f>SUM(J1246)</f>
        <v>0</v>
      </c>
      <c r="K1249" s="69">
        <f>H1249-J1249-I1249</f>
        <v>7253379.0909090908</v>
      </c>
      <c r="L1249" s="70">
        <f>L1246+SUM(H1247:H1248)+J1248</f>
        <v>0</v>
      </c>
      <c r="M1249" s="570">
        <f>K1249+L1249</f>
        <v>7253379.0909090908</v>
      </c>
      <c r="N1249" s="571"/>
      <c r="O1249" s="1"/>
      <c r="P1249" s="3"/>
      <c r="Q1249" s="1"/>
      <c r="R1249" s="1"/>
      <c r="S1249" s="1"/>
      <c r="T1249" s="1"/>
      <c r="U1249" s="4"/>
    </row>
    <row r="1250" spans="1:21" ht="18.75" hidden="1" customHeight="1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3"/>
      <c r="Q1250" s="1"/>
      <c r="R1250" s="1"/>
      <c r="S1250" s="1"/>
      <c r="T1250" s="1"/>
      <c r="U1250" s="4"/>
    </row>
    <row r="1251" spans="1:21" ht="18.75" hidden="1" customHeight="1">
      <c r="A1251" s="6"/>
      <c r="B1251" s="7" t="str">
        <f>$B$34</f>
        <v>1월</v>
      </c>
      <c r="C1251" s="8" t="s">
        <v>1</v>
      </c>
      <c r="D1251" s="9">
        <f>COUNTIF($C1253:$C1268,"계약")+(COUNTIF($C1253:$C1268,"계약2")*2)</f>
        <v>0</v>
      </c>
      <c r="E1251" s="3">
        <f>COUNTIF(C1253:C1268,"낙찰수수료")</f>
        <v>0</v>
      </c>
      <c r="F1251" s="3"/>
      <c r="G1251" s="89"/>
      <c r="H1251" s="162">
        <v>0.5</v>
      </c>
      <c r="I1251" s="12">
        <v>3.3000000000000002E-2</v>
      </c>
      <c r="J1251" s="1"/>
      <c r="K1251" s="1"/>
      <c r="L1251" s="1"/>
      <c r="M1251" s="1"/>
      <c r="N1251" s="1"/>
      <c r="O1251" s="1"/>
      <c r="P1251" s="3"/>
      <c r="Q1251" s="1"/>
      <c r="R1251" s="1"/>
      <c r="S1251" s="1"/>
      <c r="T1251" s="1"/>
      <c r="U1251" s="4"/>
    </row>
    <row r="1252" spans="1:21" ht="18.75" hidden="1" customHeight="1">
      <c r="A1252" s="13" t="s">
        <v>3</v>
      </c>
      <c r="B1252" s="14" t="s">
        <v>4</v>
      </c>
      <c r="C1252" s="14" t="s">
        <v>5</v>
      </c>
      <c r="D1252" s="101" t="s">
        <v>6</v>
      </c>
      <c r="E1252" s="16" t="s">
        <v>7</v>
      </c>
      <c r="F1252" s="17" t="s">
        <v>8</v>
      </c>
      <c r="G1252" s="14" t="s">
        <v>9</v>
      </c>
      <c r="H1252" s="15" t="s">
        <v>10</v>
      </c>
      <c r="I1252" s="14" t="s">
        <v>11</v>
      </c>
      <c r="J1252" s="15" t="s">
        <v>12</v>
      </c>
      <c r="K1252" s="14" t="s">
        <v>13</v>
      </c>
      <c r="L1252" s="14" t="s">
        <v>14</v>
      </c>
      <c r="M1252" s="579" t="s">
        <v>15</v>
      </c>
      <c r="N1252" s="577"/>
      <c r="O1252" s="1"/>
      <c r="P1252" s="3"/>
      <c r="Q1252" s="1"/>
      <c r="R1252" s="1"/>
      <c r="S1252" s="1"/>
      <c r="T1252" s="1"/>
      <c r="U1252" s="4"/>
    </row>
    <row r="1253" spans="1:21" ht="18.75" hidden="1" customHeight="1">
      <c r="A1253" s="28"/>
      <c r="B1253" s="29"/>
      <c r="C1253" s="30"/>
      <c r="D1253" s="161"/>
      <c r="E1253" s="27"/>
      <c r="F1253" s="31">
        <f t="shared" ref="F1253:F1266" si="619">IF(D1253="no",E1253,E1253/1.1)</f>
        <v>0</v>
      </c>
      <c r="G1253" s="27">
        <f t="shared" ref="G1253:G1266" si="620">IF(D1253="no",0,F1253*0.1)</f>
        <v>0</v>
      </c>
      <c r="H1253" s="32">
        <f>IF(D1253="no",0,F1253*H1251)</f>
        <v>0</v>
      </c>
      <c r="I1253" s="33">
        <f t="shared" ref="I1253:I1268" si="621">IF(D1253="no",0,H1253*3.3%)</f>
        <v>0</v>
      </c>
      <c r="J1253" s="26"/>
      <c r="K1253" s="27">
        <f t="shared" ref="K1253:K1268" si="622">IF(D1253="no",0,H1253-I1253-J1253)</f>
        <v>0</v>
      </c>
      <c r="L1253" s="27">
        <f>IF(D1253="no",F1253*H1251-J1253,0)</f>
        <v>0</v>
      </c>
      <c r="M1253" s="582"/>
      <c r="N1253" s="581"/>
      <c r="O1253" s="1"/>
      <c r="P1253" s="3"/>
      <c r="Q1253" s="1"/>
      <c r="R1253" s="1"/>
      <c r="S1253" s="1"/>
      <c r="T1253" s="1"/>
      <c r="U1253" s="4"/>
    </row>
    <row r="1254" spans="1:21" ht="18.75" hidden="1" customHeight="1">
      <c r="A1254" s="28"/>
      <c r="B1254" s="29"/>
      <c r="C1254" s="30"/>
      <c r="D1254" s="161"/>
      <c r="E1254" s="27"/>
      <c r="F1254" s="31">
        <f t="shared" si="619"/>
        <v>0</v>
      </c>
      <c r="G1254" s="27">
        <f t="shared" si="620"/>
        <v>0</v>
      </c>
      <c r="H1254" s="32">
        <f>IF(D1254="no",0,F1254*H1251)</f>
        <v>0</v>
      </c>
      <c r="I1254" s="33">
        <f t="shared" si="621"/>
        <v>0</v>
      </c>
      <c r="J1254" s="26"/>
      <c r="K1254" s="27">
        <f t="shared" si="622"/>
        <v>0</v>
      </c>
      <c r="L1254" s="27">
        <f>IF(D1254="no",F1254*H1251-J1254,0)</f>
        <v>0</v>
      </c>
      <c r="M1254" s="572"/>
      <c r="N1254" s="564"/>
      <c r="O1254" s="1"/>
      <c r="P1254" s="3"/>
      <c r="Q1254" s="1"/>
      <c r="R1254" s="1"/>
      <c r="S1254" s="1"/>
      <c r="T1254" s="1"/>
      <c r="U1254" s="4"/>
    </row>
    <row r="1255" spans="1:21" ht="18.75" hidden="1" customHeight="1">
      <c r="A1255" s="39"/>
      <c r="B1255" s="127"/>
      <c r="C1255" s="30"/>
      <c r="D1255" s="161"/>
      <c r="E1255" s="102"/>
      <c r="F1255" s="31">
        <f t="shared" si="619"/>
        <v>0</v>
      </c>
      <c r="G1255" s="27">
        <f t="shared" si="620"/>
        <v>0</v>
      </c>
      <c r="H1255" s="32">
        <f>IF(D1255="no",0,F1255*H1251)</f>
        <v>0</v>
      </c>
      <c r="I1255" s="33">
        <f t="shared" si="621"/>
        <v>0</v>
      </c>
      <c r="J1255" s="26"/>
      <c r="K1255" s="27">
        <f t="shared" si="622"/>
        <v>0</v>
      </c>
      <c r="L1255" s="27">
        <f>IF(D1255="no",F1255*H1251-J1255,0)</f>
        <v>0</v>
      </c>
      <c r="M1255" s="563"/>
      <c r="N1255" s="564"/>
      <c r="O1255" s="1"/>
      <c r="P1255" s="3"/>
      <c r="Q1255" s="1"/>
      <c r="R1255" s="1"/>
      <c r="S1255" s="1"/>
      <c r="T1255" s="1"/>
      <c r="U1255" s="4"/>
    </row>
    <row r="1256" spans="1:21" ht="18.75" hidden="1" customHeight="1">
      <c r="A1256" s="39"/>
      <c r="B1256" s="29"/>
      <c r="C1256" s="30"/>
      <c r="D1256" s="161"/>
      <c r="E1256" s="27"/>
      <c r="F1256" s="31">
        <f t="shared" si="619"/>
        <v>0</v>
      </c>
      <c r="G1256" s="27">
        <f t="shared" si="620"/>
        <v>0</v>
      </c>
      <c r="H1256" s="32">
        <f>IF(D1256="no",0,F1256*H1251)</f>
        <v>0</v>
      </c>
      <c r="I1256" s="33">
        <f t="shared" si="621"/>
        <v>0</v>
      </c>
      <c r="J1256" s="26"/>
      <c r="K1256" s="27">
        <f t="shared" si="622"/>
        <v>0</v>
      </c>
      <c r="L1256" s="27">
        <f>IF(D1256="no",F1256*H1251-J1256,0)</f>
        <v>0</v>
      </c>
      <c r="M1256" s="572"/>
      <c r="N1256" s="564"/>
      <c r="O1256" s="1"/>
      <c r="P1256" s="3"/>
      <c r="Q1256" s="1"/>
      <c r="R1256" s="1"/>
      <c r="S1256" s="1"/>
      <c r="T1256" s="1"/>
      <c r="U1256" s="4"/>
    </row>
    <row r="1257" spans="1:21" ht="18.75" hidden="1" customHeight="1">
      <c r="A1257" s="39"/>
      <c r="B1257" s="29"/>
      <c r="C1257" s="30"/>
      <c r="D1257" s="161"/>
      <c r="E1257" s="27"/>
      <c r="F1257" s="31">
        <f t="shared" si="619"/>
        <v>0</v>
      </c>
      <c r="G1257" s="27">
        <f t="shared" si="620"/>
        <v>0</v>
      </c>
      <c r="H1257" s="32">
        <f>IF(D1257="no",0,F1257*H1251)</f>
        <v>0</v>
      </c>
      <c r="I1257" s="33">
        <f t="shared" si="621"/>
        <v>0</v>
      </c>
      <c r="J1257" s="26"/>
      <c r="K1257" s="27">
        <f t="shared" si="622"/>
        <v>0</v>
      </c>
      <c r="L1257" s="27">
        <f t="shared" ref="L1257:L1258" si="623">IF(D1257="no",F1257*H1251-J1257,0)</f>
        <v>0</v>
      </c>
      <c r="M1257" s="563"/>
      <c r="N1257" s="564"/>
      <c r="O1257" s="1"/>
      <c r="P1257" s="3"/>
      <c r="Q1257" s="1"/>
      <c r="R1257" s="1"/>
      <c r="S1257" s="1"/>
      <c r="T1257" s="1"/>
      <c r="U1257" s="4"/>
    </row>
    <row r="1258" spans="1:21" ht="18.75" hidden="1" customHeight="1">
      <c r="A1258" s="28"/>
      <c r="B1258" s="29"/>
      <c r="C1258" s="30"/>
      <c r="D1258" s="161"/>
      <c r="E1258" s="27"/>
      <c r="F1258" s="31">
        <f t="shared" si="619"/>
        <v>0</v>
      </c>
      <c r="G1258" s="27">
        <f t="shared" si="620"/>
        <v>0</v>
      </c>
      <c r="H1258" s="32">
        <f>IF(D1258="no",0,F1258*H1251)</f>
        <v>0</v>
      </c>
      <c r="I1258" s="33">
        <f t="shared" si="621"/>
        <v>0</v>
      </c>
      <c r="J1258" s="26"/>
      <c r="K1258" s="27">
        <f t="shared" si="622"/>
        <v>0</v>
      </c>
      <c r="L1258" s="27">
        <f t="shared" si="623"/>
        <v>0</v>
      </c>
      <c r="M1258" s="572"/>
      <c r="N1258" s="564"/>
      <c r="O1258" s="1"/>
      <c r="P1258" s="3"/>
      <c r="Q1258" s="1"/>
      <c r="R1258" s="1"/>
      <c r="S1258" s="1"/>
      <c r="T1258" s="1"/>
      <c r="U1258" s="4"/>
    </row>
    <row r="1259" spans="1:21" ht="18.75" hidden="1" customHeight="1">
      <c r="A1259" s="28"/>
      <c r="B1259" s="29"/>
      <c r="C1259" s="30"/>
      <c r="D1259" s="38"/>
      <c r="E1259" s="27"/>
      <c r="F1259" s="31">
        <f t="shared" si="619"/>
        <v>0</v>
      </c>
      <c r="G1259" s="27">
        <f t="shared" si="620"/>
        <v>0</v>
      </c>
      <c r="H1259" s="32">
        <f>IF(D1259="no",0,F1259*H1251)</f>
        <v>0</v>
      </c>
      <c r="I1259" s="33">
        <f t="shared" si="621"/>
        <v>0</v>
      </c>
      <c r="J1259" s="26"/>
      <c r="K1259" s="27">
        <f t="shared" si="622"/>
        <v>0</v>
      </c>
      <c r="L1259" s="27">
        <f>IF(D1259="no",F1259*H1251-J1259,0)</f>
        <v>0</v>
      </c>
      <c r="M1259" s="563"/>
      <c r="N1259" s="564"/>
      <c r="O1259" s="1"/>
      <c r="P1259" s="3"/>
      <c r="Q1259" s="1"/>
      <c r="R1259" s="1"/>
      <c r="S1259" s="1"/>
      <c r="T1259" s="1"/>
      <c r="U1259" s="4"/>
    </row>
    <row r="1260" spans="1:21" ht="18.75" hidden="1" customHeight="1">
      <c r="A1260" s="28"/>
      <c r="B1260" s="29"/>
      <c r="C1260" s="30"/>
      <c r="D1260" s="38"/>
      <c r="E1260" s="27"/>
      <c r="F1260" s="31">
        <f t="shared" si="619"/>
        <v>0</v>
      </c>
      <c r="G1260" s="27">
        <f t="shared" si="620"/>
        <v>0</v>
      </c>
      <c r="H1260" s="32">
        <f>IF(D1260="no",0,F1260*H1251)</f>
        <v>0</v>
      </c>
      <c r="I1260" s="33">
        <f t="shared" si="621"/>
        <v>0</v>
      </c>
      <c r="J1260" s="26"/>
      <c r="K1260" s="27">
        <f t="shared" si="622"/>
        <v>0</v>
      </c>
      <c r="L1260" s="27">
        <f t="shared" ref="L1260:L1261" si="624">IF(D1260="no",F1260*H1251-J1260,0)</f>
        <v>0</v>
      </c>
      <c r="M1260" s="572"/>
      <c r="N1260" s="564"/>
      <c r="O1260" s="1"/>
      <c r="P1260" s="3"/>
      <c r="Q1260" s="1"/>
      <c r="R1260" s="1"/>
      <c r="S1260" s="1"/>
      <c r="T1260" s="1"/>
      <c r="U1260" s="4"/>
    </row>
    <row r="1261" spans="1:21" ht="18.75" hidden="1" customHeight="1">
      <c r="A1261" s="28"/>
      <c r="B1261" s="29"/>
      <c r="C1261" s="30"/>
      <c r="D1261" s="38"/>
      <c r="E1261" s="27"/>
      <c r="F1261" s="31">
        <f t="shared" si="619"/>
        <v>0</v>
      </c>
      <c r="G1261" s="27">
        <f t="shared" si="620"/>
        <v>0</v>
      </c>
      <c r="H1261" s="32">
        <f>IF(D1261="no",0,F1261*H1251)</f>
        <v>0</v>
      </c>
      <c r="I1261" s="33">
        <f t="shared" si="621"/>
        <v>0</v>
      </c>
      <c r="J1261" s="26"/>
      <c r="K1261" s="27">
        <f t="shared" si="622"/>
        <v>0</v>
      </c>
      <c r="L1261" s="27">
        <f t="shared" si="624"/>
        <v>0</v>
      </c>
      <c r="M1261" s="572"/>
      <c r="N1261" s="564"/>
      <c r="O1261" s="1"/>
      <c r="P1261" s="3"/>
      <c r="Q1261" s="1"/>
      <c r="R1261" s="1"/>
      <c r="S1261" s="1"/>
      <c r="T1261" s="1"/>
      <c r="U1261" s="4"/>
    </row>
    <row r="1262" spans="1:21" ht="18.75" hidden="1" customHeight="1">
      <c r="A1262" s="28"/>
      <c r="B1262" s="29"/>
      <c r="C1262" s="30"/>
      <c r="D1262" s="38"/>
      <c r="E1262" s="27"/>
      <c r="F1262" s="31">
        <f t="shared" si="619"/>
        <v>0</v>
      </c>
      <c r="G1262" s="27">
        <f t="shared" si="620"/>
        <v>0</v>
      </c>
      <c r="H1262" s="32">
        <f>IF(D1262="no",0,F1262*H1251)</f>
        <v>0</v>
      </c>
      <c r="I1262" s="33">
        <f t="shared" si="621"/>
        <v>0</v>
      </c>
      <c r="J1262" s="26"/>
      <c r="K1262" s="27">
        <f t="shared" si="622"/>
        <v>0</v>
      </c>
      <c r="L1262" s="27">
        <f t="shared" ref="L1262:L1263" si="625">IF(D1262="no",F1262*H1250-J1262,0)</f>
        <v>0</v>
      </c>
      <c r="M1262" s="572"/>
      <c r="N1262" s="564"/>
      <c r="O1262" s="1"/>
      <c r="P1262" s="3"/>
      <c r="Q1262" s="1"/>
      <c r="R1262" s="1"/>
      <c r="S1262" s="1"/>
      <c r="T1262" s="1"/>
      <c r="U1262" s="4"/>
    </row>
    <row r="1263" spans="1:21" ht="18.75" hidden="1" customHeight="1">
      <c r="A1263" s="28"/>
      <c r="B1263" s="29"/>
      <c r="C1263" s="30"/>
      <c r="D1263" s="38"/>
      <c r="E1263" s="27"/>
      <c r="F1263" s="31">
        <f t="shared" si="619"/>
        <v>0</v>
      </c>
      <c r="G1263" s="27">
        <f t="shared" si="620"/>
        <v>0</v>
      </c>
      <c r="H1263" s="32">
        <f>IF(D1263="no",0,F1263*H1251)</f>
        <v>0</v>
      </c>
      <c r="I1263" s="33">
        <f t="shared" si="621"/>
        <v>0</v>
      </c>
      <c r="J1263" s="26"/>
      <c r="K1263" s="27">
        <f t="shared" si="622"/>
        <v>0</v>
      </c>
      <c r="L1263" s="27">
        <f t="shared" si="625"/>
        <v>0</v>
      </c>
      <c r="M1263" s="572"/>
      <c r="N1263" s="564"/>
      <c r="O1263" s="1"/>
      <c r="P1263" s="3"/>
      <c r="Q1263" s="1"/>
      <c r="R1263" s="1"/>
      <c r="S1263" s="1"/>
      <c r="T1263" s="1"/>
      <c r="U1263" s="4"/>
    </row>
    <row r="1264" spans="1:21" ht="18.75" hidden="1" customHeight="1">
      <c r="A1264" s="28"/>
      <c r="B1264" s="29"/>
      <c r="C1264" s="30"/>
      <c r="D1264" s="38"/>
      <c r="E1264" s="27"/>
      <c r="F1264" s="31">
        <f t="shared" si="619"/>
        <v>0</v>
      </c>
      <c r="G1264" s="27">
        <f t="shared" si="620"/>
        <v>0</v>
      </c>
      <c r="H1264" s="32">
        <f>IF(D1264="no",0,F1264*H1251)</f>
        <v>0</v>
      </c>
      <c r="I1264" s="33">
        <f t="shared" si="621"/>
        <v>0</v>
      </c>
      <c r="J1264" s="26"/>
      <c r="K1264" s="27">
        <f t="shared" si="622"/>
        <v>0</v>
      </c>
      <c r="L1264" s="27">
        <f>IF(D1264="no",F1264*H1251-J1264,0)</f>
        <v>0</v>
      </c>
      <c r="M1264" s="578"/>
      <c r="N1264" s="564"/>
      <c r="O1264" s="1"/>
      <c r="P1264" s="3"/>
      <c r="Q1264" s="1"/>
      <c r="R1264" s="1"/>
      <c r="S1264" s="1"/>
      <c r="T1264" s="1"/>
      <c r="U1264" s="4"/>
    </row>
    <row r="1265" spans="1:21" ht="18.75" hidden="1" customHeight="1">
      <c r="A1265" s="39" t="s">
        <v>616</v>
      </c>
      <c r="B1265" s="29" t="s">
        <v>517</v>
      </c>
      <c r="C1265" s="30"/>
      <c r="D1265" s="38"/>
      <c r="E1265" s="27"/>
      <c r="F1265" s="31">
        <f t="shared" si="619"/>
        <v>0</v>
      </c>
      <c r="G1265" s="27">
        <f t="shared" si="620"/>
        <v>0</v>
      </c>
      <c r="H1265" s="32"/>
      <c r="I1265" s="33">
        <f t="shared" si="621"/>
        <v>0</v>
      </c>
      <c r="J1265" s="26"/>
      <c r="K1265" s="27">
        <f t="shared" si="622"/>
        <v>0</v>
      </c>
      <c r="L1265" s="27">
        <f t="shared" ref="L1265:L1266" si="626">IF(D1265="no",F1265*H1250-J1265,0)</f>
        <v>0</v>
      </c>
      <c r="M1265" s="572"/>
      <c r="N1265" s="564"/>
      <c r="O1265" s="1"/>
      <c r="P1265" s="3"/>
      <c r="Q1265" s="1"/>
      <c r="R1265" s="1"/>
      <c r="S1265" s="1"/>
      <c r="T1265" s="1"/>
      <c r="U1265" s="4"/>
    </row>
    <row r="1266" spans="1:21" ht="18.75" hidden="1" customHeight="1">
      <c r="A1266" s="39" t="s">
        <v>616</v>
      </c>
      <c r="B1266" s="29" t="s">
        <v>406</v>
      </c>
      <c r="C1266" s="30"/>
      <c r="D1266" s="21"/>
      <c r="E1266" s="27"/>
      <c r="F1266" s="31">
        <f t="shared" si="619"/>
        <v>0</v>
      </c>
      <c r="G1266" s="27">
        <f t="shared" si="620"/>
        <v>0</v>
      </c>
      <c r="H1266" s="32"/>
      <c r="I1266" s="33">
        <f t="shared" si="621"/>
        <v>0</v>
      </c>
      <c r="J1266" s="26"/>
      <c r="K1266" s="27">
        <f t="shared" si="622"/>
        <v>0</v>
      </c>
      <c r="L1266" s="27">
        <f t="shared" si="626"/>
        <v>0</v>
      </c>
      <c r="M1266" s="621"/>
      <c r="N1266" s="622"/>
      <c r="O1266" s="1"/>
      <c r="P1266" s="3"/>
      <c r="Q1266" s="1"/>
      <c r="R1266" s="1"/>
      <c r="S1266" s="1"/>
      <c r="T1266" s="1"/>
      <c r="U1266" s="4"/>
    </row>
    <row r="1267" spans="1:21" ht="18.75" hidden="1" customHeight="1">
      <c r="A1267" s="39" t="s">
        <v>616</v>
      </c>
      <c r="B1267" s="29" t="s">
        <v>61</v>
      </c>
      <c r="C1267" s="30"/>
      <c r="D1267" s="21"/>
      <c r="E1267" s="27"/>
      <c r="F1267" s="31"/>
      <c r="G1267" s="27"/>
      <c r="H1267" s="32"/>
      <c r="I1267" s="33">
        <f t="shared" si="621"/>
        <v>0</v>
      </c>
      <c r="J1267" s="26"/>
      <c r="K1267" s="27">
        <f t="shared" si="622"/>
        <v>0</v>
      </c>
      <c r="L1267" s="27"/>
      <c r="M1267" s="572"/>
      <c r="N1267" s="564"/>
      <c r="O1267" s="1"/>
      <c r="P1267" s="3"/>
      <c r="Q1267" s="1"/>
      <c r="R1267" s="1"/>
      <c r="S1267" s="1"/>
      <c r="T1267" s="1"/>
      <c r="U1267" s="4"/>
    </row>
    <row r="1268" spans="1:21" ht="18.75" hidden="1" customHeight="1">
      <c r="A1268" s="39" t="s">
        <v>616</v>
      </c>
      <c r="B1268" s="29" t="s">
        <v>35</v>
      </c>
      <c r="C1268" s="30"/>
      <c r="D1268" s="21"/>
      <c r="E1268" s="27"/>
      <c r="F1268" s="31">
        <f>IF(D1268="no",E1268,E1268/1.1)</f>
        <v>0</v>
      </c>
      <c r="G1268" s="27">
        <f>IF(D1268="no",0,F1268*0.1)</f>
        <v>0</v>
      </c>
      <c r="H1268" s="37"/>
      <c r="I1268" s="33">
        <f t="shared" si="621"/>
        <v>0</v>
      </c>
      <c r="J1268" s="26"/>
      <c r="K1268" s="27">
        <f t="shared" si="622"/>
        <v>0</v>
      </c>
      <c r="L1268" s="27">
        <f>IF(D1268="no",F1268*H1254-J1268,0)</f>
        <v>0</v>
      </c>
      <c r="M1268" s="584"/>
      <c r="N1268" s="564"/>
      <c r="O1268" s="1"/>
      <c r="P1268" s="3"/>
      <c r="Q1268" s="1"/>
      <c r="R1268" s="1"/>
      <c r="S1268" s="1"/>
      <c r="T1268" s="1"/>
      <c r="U1268" s="4"/>
    </row>
    <row r="1269" spans="1:21" ht="18.75" hidden="1" customHeight="1">
      <c r="A1269" s="575" t="s">
        <v>42</v>
      </c>
      <c r="B1269" s="576"/>
      <c r="C1269" s="576"/>
      <c r="D1269" s="577"/>
      <c r="E1269" s="42">
        <f t="shared" ref="E1269:L1269" si="627">SUM(E1253:E1268)</f>
        <v>0</v>
      </c>
      <c r="F1269" s="17">
        <f t="shared" si="627"/>
        <v>0</v>
      </c>
      <c r="G1269" s="42">
        <f t="shared" si="627"/>
        <v>0</v>
      </c>
      <c r="H1269" s="43">
        <f t="shared" si="627"/>
        <v>0</v>
      </c>
      <c r="I1269" s="42">
        <f t="shared" si="627"/>
        <v>0</v>
      </c>
      <c r="J1269" s="43">
        <f t="shared" si="627"/>
        <v>0</v>
      </c>
      <c r="K1269" s="42">
        <f>SUM(K1253:K1268)</f>
        <v>0</v>
      </c>
      <c r="L1269" s="42">
        <f t="shared" si="627"/>
        <v>0</v>
      </c>
      <c r="M1269" s="44"/>
      <c r="N1269" s="45"/>
      <c r="O1269" s="1"/>
      <c r="P1269" s="3"/>
      <c r="Q1269" s="1"/>
      <c r="R1269" s="1"/>
      <c r="S1269" s="1"/>
      <c r="T1269" s="1"/>
      <c r="U1269" s="4"/>
    </row>
    <row r="1270" spans="1:21" ht="18.75" hidden="1" customHeight="1">
      <c r="A1270" s="46" t="s">
        <v>37</v>
      </c>
      <c r="B1270" s="47" t="s">
        <v>132</v>
      </c>
      <c r="C1270" s="48">
        <f>D1251</f>
        <v>0</v>
      </c>
      <c r="D1270" s="47" t="s">
        <v>44</v>
      </c>
      <c r="E1270" s="49"/>
      <c r="F1270" s="84"/>
      <c r="G1270" s="85"/>
      <c r="H1270" s="49"/>
      <c r="I1270" s="53" t="s">
        <v>46</v>
      </c>
      <c r="J1270" s="54"/>
      <c r="K1270" s="50"/>
      <c r="L1270" s="55"/>
      <c r="M1270" s="63"/>
      <c r="N1270" s="64"/>
      <c r="O1270" s="1"/>
      <c r="P1270" s="3"/>
      <c r="Q1270" s="1"/>
      <c r="R1270" s="1"/>
      <c r="S1270" s="1"/>
      <c r="T1270" s="1"/>
      <c r="U1270" s="4"/>
    </row>
    <row r="1271" spans="1:21" ht="18.75" hidden="1" customHeight="1" thickBot="1">
      <c r="A1271" s="56" t="s">
        <v>48</v>
      </c>
      <c r="B1271" s="57" t="s">
        <v>133</v>
      </c>
      <c r="C1271" s="58">
        <f>ROUND(F1269/10000,0)</f>
        <v>0</v>
      </c>
      <c r="D1271" s="57" t="s">
        <v>50</v>
      </c>
      <c r="E1271" s="52"/>
      <c r="F1271" s="86"/>
      <c r="G1271" s="87"/>
      <c r="H1271" s="52"/>
      <c r="I1271" s="59"/>
      <c r="J1271" s="61"/>
      <c r="K1271" s="59"/>
      <c r="L1271" s="62">
        <v>0</v>
      </c>
      <c r="M1271" s="63"/>
      <c r="N1271" s="64"/>
      <c r="O1271" s="1"/>
      <c r="P1271" s="3"/>
      <c r="Q1271" s="1"/>
      <c r="R1271" s="1"/>
      <c r="S1271" s="1"/>
      <c r="T1271" s="1"/>
      <c r="U1271" s="4"/>
    </row>
    <row r="1272" spans="1:21" ht="18.75" hidden="1" customHeight="1" thickBot="1">
      <c r="A1272" s="566" t="s">
        <v>52</v>
      </c>
      <c r="B1272" s="567"/>
      <c r="C1272" s="567"/>
      <c r="D1272" s="568"/>
      <c r="E1272" s="65"/>
      <c r="F1272" s="569" t="s">
        <v>53</v>
      </c>
      <c r="G1272" s="568"/>
      <c r="H1272" s="66">
        <f>H1269-J1270</f>
        <v>0</v>
      </c>
      <c r="I1272" s="67">
        <f>H1272*3.3%</f>
        <v>0</v>
      </c>
      <c r="J1272" s="68">
        <f>SUM(J1269)</f>
        <v>0</v>
      </c>
      <c r="K1272" s="69">
        <f>H1272-J1272-I1272</f>
        <v>0</v>
      </c>
      <c r="L1272" s="70">
        <f>L1269+SUM(H1270:H1271)+J1271</f>
        <v>0</v>
      </c>
      <c r="M1272" s="570">
        <f>K1272+L1272</f>
        <v>0</v>
      </c>
      <c r="N1272" s="571"/>
      <c r="O1272" s="1"/>
      <c r="P1272" s="3"/>
      <c r="Q1272" s="1"/>
      <c r="R1272" s="1"/>
      <c r="S1272" s="1"/>
      <c r="T1272" s="1"/>
      <c r="U1272" s="4"/>
    </row>
    <row r="1273" spans="1:21" ht="18.75" customHeight="1">
      <c r="A1273" s="1"/>
      <c r="B1273" s="1"/>
      <c r="C1273" s="1"/>
      <c r="D1273" s="1"/>
      <c r="E1273" s="1"/>
      <c r="F1273" s="1"/>
      <c r="G1273" s="1"/>
      <c r="H1273" s="141">
        <v>1</v>
      </c>
      <c r="I1273" s="1"/>
      <c r="J1273" s="1"/>
      <c r="K1273" s="1"/>
      <c r="L1273" s="1"/>
      <c r="M1273" s="1"/>
      <c r="N1273" s="1"/>
      <c r="O1273" s="1"/>
      <c r="P1273" s="3"/>
      <c r="Q1273" s="1"/>
      <c r="R1273" s="1"/>
      <c r="S1273" s="1"/>
      <c r="T1273" s="1"/>
      <c r="U1273" s="4"/>
    </row>
    <row r="1274" spans="1:21" ht="18.75" customHeight="1">
      <c r="A1274" s="6" t="s">
        <v>396</v>
      </c>
      <c r="B1274" s="7" t="str">
        <f>$B$34</f>
        <v>1월</v>
      </c>
      <c r="C1274" s="8" t="s">
        <v>1</v>
      </c>
      <c r="D1274" s="9">
        <f>COUNTIF($C1276:$C1291,"계약")+(COUNTIF($C1276:$C1291,"계약2")*2)</f>
        <v>1</v>
      </c>
      <c r="E1274" s="3">
        <f>COUNTIF(C1276:C1291,"낙찰수수료")</f>
        <v>0</v>
      </c>
      <c r="F1274" s="3"/>
      <c r="G1274" s="1" t="s">
        <v>397</v>
      </c>
      <c r="H1274" s="11">
        <v>0.5</v>
      </c>
      <c r="I1274" s="12">
        <v>3.3000000000000002E-2</v>
      </c>
      <c r="J1274" s="1"/>
      <c r="K1274" s="1"/>
      <c r="L1274" s="1"/>
      <c r="M1274" s="1"/>
      <c r="N1274" s="1"/>
      <c r="O1274" s="1"/>
      <c r="P1274" s="3"/>
      <c r="Q1274" s="1"/>
      <c r="R1274" s="1"/>
      <c r="S1274" s="1"/>
      <c r="T1274" s="1"/>
      <c r="U1274" s="4"/>
    </row>
    <row r="1275" spans="1:21" ht="18.75" customHeight="1">
      <c r="A1275" s="13" t="s">
        <v>3</v>
      </c>
      <c r="B1275" s="14" t="s">
        <v>4</v>
      </c>
      <c r="C1275" s="14" t="s">
        <v>5</v>
      </c>
      <c r="D1275" s="101" t="s">
        <v>6</v>
      </c>
      <c r="E1275" s="16" t="s">
        <v>7</v>
      </c>
      <c r="F1275" s="17" t="s">
        <v>8</v>
      </c>
      <c r="G1275" s="14" t="s">
        <v>9</v>
      </c>
      <c r="H1275" s="15" t="s">
        <v>10</v>
      </c>
      <c r="I1275" s="14" t="s">
        <v>11</v>
      </c>
      <c r="J1275" s="15" t="s">
        <v>12</v>
      </c>
      <c r="K1275" s="14" t="s">
        <v>13</v>
      </c>
      <c r="L1275" s="14" t="s">
        <v>14</v>
      </c>
      <c r="M1275" s="579" t="s">
        <v>15</v>
      </c>
      <c r="N1275" s="577"/>
      <c r="O1275" s="1"/>
      <c r="P1275" s="3"/>
      <c r="Q1275" s="73"/>
      <c r="R1275" s="1"/>
      <c r="S1275" s="1"/>
      <c r="T1275" s="1"/>
      <c r="U1275" s="4"/>
    </row>
    <row r="1276" spans="1:21" ht="18.75" customHeight="1">
      <c r="A1276" s="28">
        <v>46030</v>
      </c>
      <c r="B1276" s="29" t="s">
        <v>658</v>
      </c>
      <c r="C1276" s="30" t="s">
        <v>659</v>
      </c>
      <c r="D1276" s="95"/>
      <c r="E1276" s="553">
        <v>30000</v>
      </c>
      <c r="F1276" s="31">
        <f>IF(D1276="no",E1276,E1276/1.1)</f>
        <v>27272.727272727272</v>
      </c>
      <c r="G1276" s="27">
        <f t="shared" ref="G1276:G1285" si="628">IF(D1276="no",0,F1276*0.1)</f>
        <v>2727.2727272727275</v>
      </c>
      <c r="H1276" s="495">
        <f>IF(D1276="no",0,F1276*H1273)</f>
        <v>27272.727272727272</v>
      </c>
      <c r="I1276" s="33">
        <f t="shared" ref="I1276:I1291" si="629">IF(D1276="no",0,H1276*3.3%)</f>
        <v>900</v>
      </c>
      <c r="J1276" s="97"/>
      <c r="K1276" s="27">
        <f t="shared" ref="K1276:K1291" si="630">IF(D1276="no",0,H1276-I1276-J1276)</f>
        <v>26372.727272727272</v>
      </c>
      <c r="L1276" s="27">
        <f>IF(D1276="no",F1276*H1274-J1276,0)</f>
        <v>0</v>
      </c>
      <c r="M1276" s="582"/>
      <c r="N1276" s="581"/>
      <c r="O1276" s="1"/>
      <c r="P1276" s="3"/>
      <c r="Q1276" s="1"/>
      <c r="R1276" s="1"/>
      <c r="S1276" s="1"/>
      <c r="T1276" s="1"/>
      <c r="U1276" s="4"/>
    </row>
    <row r="1277" spans="1:21" ht="18.75" customHeight="1">
      <c r="A1277" s="28">
        <v>46049</v>
      </c>
      <c r="B1277" s="29" t="s">
        <v>660</v>
      </c>
      <c r="C1277" s="30" t="s">
        <v>627</v>
      </c>
      <c r="D1277" s="38"/>
      <c r="E1277" s="27">
        <v>550000</v>
      </c>
      <c r="F1277" s="31">
        <f>IF(D1277="no",E1277,E1277/1.1)</f>
        <v>499999.99999999994</v>
      </c>
      <c r="G1277" s="27">
        <f t="shared" si="628"/>
        <v>50000</v>
      </c>
      <c r="H1277" s="32">
        <f>IF(D1277="no",0,F1277*H1274)</f>
        <v>249999.99999999997</v>
      </c>
      <c r="I1277" s="33">
        <f t="shared" si="629"/>
        <v>8250</v>
      </c>
      <c r="J1277" s="26"/>
      <c r="K1277" s="27">
        <f t="shared" si="630"/>
        <v>241749.99999999997</v>
      </c>
      <c r="L1277" s="27">
        <f>IF(D1277="no",F1277*H1274-J1277,0)</f>
        <v>0</v>
      </c>
      <c r="M1277" s="565"/>
      <c r="N1277" s="564"/>
      <c r="O1277" s="1"/>
      <c r="P1277" s="3"/>
      <c r="Q1277" s="1"/>
      <c r="R1277" s="1"/>
      <c r="S1277" s="1"/>
      <c r="T1277" s="1"/>
      <c r="U1277" s="4"/>
    </row>
    <row r="1278" spans="1:21" ht="18.75" customHeight="1">
      <c r="A1278" s="28"/>
      <c r="B1278" s="29"/>
      <c r="C1278" s="30"/>
      <c r="D1278" s="95"/>
      <c r="E1278" s="102"/>
      <c r="F1278" s="31">
        <f t="shared" ref="F1278:F1285" si="631">IF(D1278="no",E1278,E1278/1.1)</f>
        <v>0</v>
      </c>
      <c r="G1278" s="27">
        <f t="shared" si="628"/>
        <v>0</v>
      </c>
      <c r="H1278" s="32">
        <f>IF(D1278="no",0,F1278*H1274)</f>
        <v>0</v>
      </c>
      <c r="I1278" s="33">
        <f t="shared" si="629"/>
        <v>0</v>
      </c>
      <c r="J1278" s="26"/>
      <c r="K1278" s="27">
        <f t="shared" si="630"/>
        <v>0</v>
      </c>
      <c r="L1278" s="27">
        <f>IF(D1278="no",F1278*H1274-J1278,0)</f>
        <v>0</v>
      </c>
      <c r="M1278" s="578"/>
      <c r="N1278" s="564"/>
      <c r="O1278" s="1"/>
      <c r="P1278" s="3"/>
      <c r="Q1278" s="1"/>
      <c r="R1278" s="1"/>
      <c r="S1278" s="1"/>
      <c r="T1278" s="1"/>
      <c r="U1278" s="4"/>
    </row>
    <row r="1279" spans="1:21" ht="18.75" hidden="1" customHeight="1">
      <c r="A1279" s="39"/>
      <c r="B1279" s="29"/>
      <c r="C1279" s="30"/>
      <c r="D1279" s="38"/>
      <c r="E1279" s="27"/>
      <c r="F1279" s="31">
        <f t="shared" si="631"/>
        <v>0</v>
      </c>
      <c r="G1279" s="27">
        <f t="shared" si="628"/>
        <v>0</v>
      </c>
      <c r="H1279" s="32">
        <f>IF(D1279="no",0,F1279*H1274)</f>
        <v>0</v>
      </c>
      <c r="I1279" s="33">
        <f t="shared" si="629"/>
        <v>0</v>
      </c>
      <c r="J1279" s="26"/>
      <c r="K1279" s="27">
        <f t="shared" si="630"/>
        <v>0</v>
      </c>
      <c r="L1279" s="27">
        <f>IF(D1279="no",F1279*H1274-J1279,0)</f>
        <v>0</v>
      </c>
      <c r="M1279" s="585"/>
      <c r="N1279" s="564"/>
      <c r="O1279" s="1"/>
      <c r="P1279" s="3"/>
      <c r="Q1279" s="1"/>
      <c r="R1279" s="1"/>
      <c r="S1279" s="1"/>
      <c r="T1279" s="1"/>
      <c r="U1279" s="4"/>
    </row>
    <row r="1280" spans="1:21" ht="18.75" hidden="1" customHeight="1">
      <c r="A1280" s="28"/>
      <c r="B1280" s="29"/>
      <c r="C1280" s="30"/>
      <c r="D1280" s="38"/>
      <c r="E1280" s="27"/>
      <c r="F1280" s="31">
        <f t="shared" si="631"/>
        <v>0</v>
      </c>
      <c r="G1280" s="27">
        <f t="shared" si="628"/>
        <v>0</v>
      </c>
      <c r="H1280" s="32">
        <f>IF(D1280="no",0,F1280*H1274)</f>
        <v>0</v>
      </c>
      <c r="I1280" s="33">
        <f t="shared" si="629"/>
        <v>0</v>
      </c>
      <c r="J1280" s="26"/>
      <c r="K1280" s="27">
        <f t="shared" si="630"/>
        <v>0</v>
      </c>
      <c r="L1280" s="27">
        <f t="shared" ref="L1280:L1281" si="632">IF(D1280="no",F1280*H1274-J1280,0)</f>
        <v>0</v>
      </c>
      <c r="M1280" s="572"/>
      <c r="N1280" s="564"/>
      <c r="O1280" s="1"/>
      <c r="P1280" s="3"/>
      <c r="Q1280" s="1"/>
      <c r="R1280" s="1"/>
      <c r="S1280" s="1"/>
      <c r="T1280" s="1"/>
      <c r="U1280" s="4"/>
    </row>
    <row r="1281" spans="1:21" ht="18.75" hidden="1" customHeight="1">
      <c r="A1281" s="28"/>
      <c r="B1281" s="29"/>
      <c r="C1281" s="30"/>
      <c r="D1281" s="21"/>
      <c r="E1281" s="27"/>
      <c r="F1281" s="31">
        <f t="shared" si="631"/>
        <v>0</v>
      </c>
      <c r="G1281" s="27">
        <f t="shared" si="628"/>
        <v>0</v>
      </c>
      <c r="H1281" s="32">
        <f>IF(D1281="no",0,F1281*H1274)</f>
        <v>0</v>
      </c>
      <c r="I1281" s="33">
        <f t="shared" si="629"/>
        <v>0</v>
      </c>
      <c r="J1281" s="26"/>
      <c r="K1281" s="27">
        <f t="shared" si="630"/>
        <v>0</v>
      </c>
      <c r="L1281" s="27">
        <f t="shared" si="632"/>
        <v>0</v>
      </c>
      <c r="M1281" s="572"/>
      <c r="N1281" s="564"/>
      <c r="O1281" s="1"/>
      <c r="P1281" s="3"/>
      <c r="Q1281" s="1"/>
      <c r="R1281" s="1"/>
      <c r="S1281" s="1"/>
      <c r="T1281" s="1"/>
      <c r="U1281" s="4"/>
    </row>
    <row r="1282" spans="1:21" ht="18.75" hidden="1" customHeight="1">
      <c r="A1282" s="28"/>
      <c r="B1282" s="29"/>
      <c r="C1282" s="30"/>
      <c r="D1282" s="38"/>
      <c r="E1282" s="27"/>
      <c r="F1282" s="31">
        <f t="shared" si="631"/>
        <v>0</v>
      </c>
      <c r="G1282" s="27">
        <f t="shared" si="628"/>
        <v>0</v>
      </c>
      <c r="H1282" s="32">
        <f>IF(D1282="no",0,F1282*H1274)</f>
        <v>0</v>
      </c>
      <c r="I1282" s="33">
        <f t="shared" si="629"/>
        <v>0</v>
      </c>
      <c r="J1282" s="26"/>
      <c r="K1282" s="27">
        <f t="shared" si="630"/>
        <v>0</v>
      </c>
      <c r="L1282" s="27">
        <f>IF(D1282="no",F1282*H1274-J1282,0)</f>
        <v>0</v>
      </c>
      <c r="M1282" s="563"/>
      <c r="N1282" s="564"/>
      <c r="O1282" s="1"/>
      <c r="P1282" s="3"/>
      <c r="Q1282" s="1"/>
      <c r="R1282" s="1"/>
      <c r="S1282" s="1"/>
      <c r="T1282" s="1"/>
      <c r="U1282" s="4"/>
    </row>
    <row r="1283" spans="1:21" ht="18.75" hidden="1" customHeight="1">
      <c r="A1283" s="28"/>
      <c r="B1283" s="29"/>
      <c r="C1283" s="30"/>
      <c r="D1283" s="38"/>
      <c r="E1283" s="27"/>
      <c r="F1283" s="31">
        <f t="shared" si="631"/>
        <v>0</v>
      </c>
      <c r="G1283" s="27">
        <f t="shared" si="628"/>
        <v>0</v>
      </c>
      <c r="H1283" s="32">
        <f>IF(D1283="no",0,F1283*H1274)</f>
        <v>0</v>
      </c>
      <c r="I1283" s="33">
        <f t="shared" si="629"/>
        <v>0</v>
      </c>
      <c r="J1283" s="26"/>
      <c r="K1283" s="27">
        <f t="shared" si="630"/>
        <v>0</v>
      </c>
      <c r="L1283" s="27">
        <f t="shared" ref="L1283:L1284" si="633">IF(D1283="no",F1283*H1274-J1283,0)</f>
        <v>0</v>
      </c>
      <c r="M1283" s="572"/>
      <c r="N1283" s="564"/>
      <c r="O1283" s="1"/>
      <c r="P1283" s="3"/>
      <c r="Q1283" s="1"/>
      <c r="R1283" s="1"/>
      <c r="S1283" s="1"/>
      <c r="T1283" s="1"/>
      <c r="U1283" s="4"/>
    </row>
    <row r="1284" spans="1:21" ht="18.75" hidden="1" customHeight="1">
      <c r="A1284" s="28"/>
      <c r="B1284" s="29"/>
      <c r="C1284" s="30"/>
      <c r="D1284" s="21"/>
      <c r="E1284" s="27"/>
      <c r="F1284" s="31">
        <f t="shared" si="631"/>
        <v>0</v>
      </c>
      <c r="G1284" s="27">
        <f t="shared" si="628"/>
        <v>0</v>
      </c>
      <c r="H1284" s="32">
        <f>IF(D1284="no",0,F1284*H1274)</f>
        <v>0</v>
      </c>
      <c r="I1284" s="33">
        <f t="shared" si="629"/>
        <v>0</v>
      </c>
      <c r="J1284" s="26"/>
      <c r="K1284" s="27">
        <f t="shared" si="630"/>
        <v>0</v>
      </c>
      <c r="L1284" s="27">
        <f t="shared" si="633"/>
        <v>0</v>
      </c>
      <c r="M1284" s="584"/>
      <c r="N1284" s="564"/>
      <c r="O1284" s="1"/>
      <c r="P1284" s="3"/>
      <c r="Q1284" s="1"/>
      <c r="R1284" s="1"/>
      <c r="S1284" s="1"/>
      <c r="T1284" s="1"/>
      <c r="U1284" s="4"/>
    </row>
    <row r="1285" spans="1:21" ht="18.75" hidden="1" customHeight="1">
      <c r="A1285" s="28"/>
      <c r="B1285" s="29"/>
      <c r="C1285" s="30"/>
      <c r="D1285" s="21"/>
      <c r="E1285" s="27"/>
      <c r="F1285" s="31">
        <f t="shared" si="631"/>
        <v>0</v>
      </c>
      <c r="G1285" s="27">
        <f t="shared" si="628"/>
        <v>0</v>
      </c>
      <c r="H1285" s="32">
        <f>IF(D1285="no",0,F1285*H1274)</f>
        <v>0</v>
      </c>
      <c r="I1285" s="33">
        <f t="shared" si="629"/>
        <v>0</v>
      </c>
      <c r="J1285" s="26"/>
      <c r="K1285" s="27">
        <f t="shared" si="630"/>
        <v>0</v>
      </c>
      <c r="L1285" s="27">
        <f t="shared" ref="L1285:L1286" si="634">IF(D1285="no",F1285*H1275-J1285,0)</f>
        <v>0</v>
      </c>
      <c r="M1285" s="584"/>
      <c r="N1285" s="564"/>
      <c r="O1285" s="1"/>
      <c r="P1285" s="3"/>
      <c r="Q1285" s="1"/>
      <c r="R1285" s="1"/>
      <c r="S1285" s="1"/>
      <c r="T1285" s="1"/>
      <c r="U1285" s="4"/>
    </row>
    <row r="1286" spans="1:21" ht="18.75" hidden="1" customHeight="1">
      <c r="A1286" s="28"/>
      <c r="B1286" s="29"/>
      <c r="C1286" s="30"/>
      <c r="D1286" s="21"/>
      <c r="E1286" s="27"/>
      <c r="F1286" s="31"/>
      <c r="G1286" s="27"/>
      <c r="H1286" s="32">
        <f>IF(D1286="no",0,F1286*H1274)</f>
        <v>0</v>
      </c>
      <c r="I1286" s="33">
        <f t="shared" si="629"/>
        <v>0</v>
      </c>
      <c r="J1286" s="26"/>
      <c r="K1286" s="27">
        <f t="shared" si="630"/>
        <v>0</v>
      </c>
      <c r="L1286" s="27">
        <f t="shared" si="634"/>
        <v>0</v>
      </c>
      <c r="M1286" s="584"/>
      <c r="N1286" s="564"/>
      <c r="O1286" s="1"/>
      <c r="P1286" s="3"/>
      <c r="Q1286" s="1"/>
      <c r="R1286" s="1"/>
      <c r="S1286" s="1"/>
      <c r="T1286" s="1"/>
      <c r="U1286" s="4"/>
    </row>
    <row r="1287" spans="1:21" ht="18.75" hidden="1" customHeight="1">
      <c r="A1287" s="28"/>
      <c r="B1287" s="29"/>
      <c r="C1287" s="30"/>
      <c r="D1287" s="21"/>
      <c r="E1287" s="27"/>
      <c r="F1287" s="31">
        <f t="shared" ref="F1287:F1288" si="635">IF(D1287="no",E1287,E1287/1.1)</f>
        <v>0</v>
      </c>
      <c r="G1287" s="27">
        <f t="shared" ref="G1287:G1288" si="636">IF(D1287="no",0,F1287*0.1)</f>
        <v>0</v>
      </c>
      <c r="H1287" s="32">
        <f>IF(D1287="no",0,F1287*H1274)</f>
        <v>0</v>
      </c>
      <c r="I1287" s="33">
        <f t="shared" si="629"/>
        <v>0</v>
      </c>
      <c r="J1287" s="26"/>
      <c r="K1287" s="27">
        <f t="shared" si="630"/>
        <v>0</v>
      </c>
      <c r="L1287" s="27">
        <f>IF(D1287="no",F1287*H1276-J1287,0)</f>
        <v>0</v>
      </c>
      <c r="M1287" s="584"/>
      <c r="N1287" s="564"/>
      <c r="O1287" s="1"/>
      <c r="P1287" s="3"/>
      <c r="Q1287" s="1"/>
      <c r="R1287" s="1"/>
      <c r="S1287" s="1"/>
      <c r="T1287" s="1"/>
      <c r="U1287" s="4"/>
    </row>
    <row r="1288" spans="1:21" ht="18.75" hidden="1" customHeight="1">
      <c r="A1288" s="28"/>
      <c r="B1288" s="29"/>
      <c r="C1288" s="30"/>
      <c r="D1288" s="21"/>
      <c r="E1288" s="27"/>
      <c r="F1288" s="31">
        <f t="shared" si="635"/>
        <v>0</v>
      </c>
      <c r="G1288" s="27">
        <f t="shared" si="636"/>
        <v>0</v>
      </c>
      <c r="H1288" s="37">
        <f>(E1293+E1294+N1292)/0.967</f>
        <v>0</v>
      </c>
      <c r="I1288" s="33">
        <f t="shared" si="629"/>
        <v>0</v>
      </c>
      <c r="J1288" s="26"/>
      <c r="K1288" s="27">
        <f t="shared" si="630"/>
        <v>0</v>
      </c>
      <c r="L1288" s="27">
        <f t="shared" ref="L1288:L1289" si="637">IF(D1288="no",F1288*H1274-J1288,0)</f>
        <v>0</v>
      </c>
      <c r="M1288" s="578"/>
      <c r="N1288" s="564"/>
      <c r="O1288" s="1"/>
      <c r="P1288" s="3"/>
      <c r="Q1288" s="1"/>
      <c r="R1288" s="1"/>
      <c r="S1288" s="1"/>
      <c r="T1288" s="1"/>
      <c r="U1288" s="4"/>
    </row>
    <row r="1289" spans="1:21" ht="18.75" hidden="1" customHeight="1">
      <c r="A1289" s="39"/>
      <c r="B1289" s="29"/>
      <c r="C1289" s="30"/>
      <c r="D1289" s="21"/>
      <c r="E1289" s="27"/>
      <c r="F1289" s="31"/>
      <c r="G1289" s="27"/>
      <c r="H1289" s="32"/>
      <c r="I1289" s="33">
        <f t="shared" si="629"/>
        <v>0</v>
      </c>
      <c r="J1289" s="26"/>
      <c r="K1289" s="27">
        <f t="shared" si="630"/>
        <v>0</v>
      </c>
      <c r="L1289" s="27">
        <f t="shared" si="637"/>
        <v>0</v>
      </c>
      <c r="M1289" s="572"/>
      <c r="N1289" s="564"/>
      <c r="O1289" s="1"/>
      <c r="P1289" s="3"/>
      <c r="Q1289" s="1"/>
      <c r="R1289" s="1"/>
      <c r="S1289" s="1"/>
      <c r="T1289" s="1"/>
      <c r="U1289" s="4"/>
    </row>
    <row r="1290" spans="1:21" s="401" customFormat="1" ht="18.75" customHeight="1">
      <c r="A1290" s="39" t="s">
        <v>616</v>
      </c>
      <c r="B1290" s="29" t="s">
        <v>407</v>
      </c>
      <c r="C1290" s="30"/>
      <c r="D1290" s="402"/>
      <c r="E1290" s="27"/>
      <c r="F1290" s="31">
        <f t="shared" ref="F1290" si="638">IF(D1290="no",E1290,E1290/1.1)</f>
        <v>0</v>
      </c>
      <c r="G1290" s="27">
        <f t="shared" ref="G1290" si="639">IF(D1290="no",0,F1290*0.1)</f>
        <v>0</v>
      </c>
      <c r="H1290" s="37"/>
      <c r="I1290" s="33">
        <f t="shared" si="629"/>
        <v>0</v>
      </c>
      <c r="J1290" s="26"/>
      <c r="K1290" s="27">
        <f t="shared" si="630"/>
        <v>0</v>
      </c>
      <c r="L1290" s="40"/>
      <c r="M1290" s="621"/>
      <c r="N1290" s="622"/>
      <c r="O1290" s="1"/>
      <c r="P1290" s="3"/>
      <c r="Q1290" s="1"/>
      <c r="R1290" s="1"/>
      <c r="S1290" s="1"/>
      <c r="T1290" s="1"/>
      <c r="U1290" s="4"/>
    </row>
    <row r="1291" spans="1:21" ht="18.75" customHeight="1">
      <c r="A1291" s="39" t="s">
        <v>616</v>
      </c>
      <c r="B1291" s="29" t="s">
        <v>420</v>
      </c>
      <c r="C1291" s="30"/>
      <c r="D1291" s="21"/>
      <c r="E1291" s="27"/>
      <c r="F1291" s="31">
        <f>IF(D1291="no",E1291,E1291/1.1)</f>
        <v>0</v>
      </c>
      <c r="G1291" s="27">
        <f>IF(D1291="no",0,F1291*0.1)</f>
        <v>0</v>
      </c>
      <c r="H1291" s="37"/>
      <c r="I1291" s="33">
        <f t="shared" si="629"/>
        <v>0</v>
      </c>
      <c r="J1291" s="26"/>
      <c r="K1291" s="27">
        <f t="shared" si="630"/>
        <v>0</v>
      </c>
      <c r="L1291" s="27">
        <f>IF(D1291="no",F1291*H1276-J1291,0)</f>
        <v>0</v>
      </c>
      <c r="M1291" s="572"/>
      <c r="N1291" s="583"/>
      <c r="O1291" s="1"/>
      <c r="P1291" s="3"/>
      <c r="Q1291" s="1"/>
      <c r="R1291" s="1"/>
      <c r="S1291" s="1"/>
      <c r="T1291" s="1"/>
      <c r="U1291" s="4"/>
    </row>
    <row r="1292" spans="1:21" ht="18.75" customHeight="1">
      <c r="A1292" s="575" t="s">
        <v>42</v>
      </c>
      <c r="B1292" s="576"/>
      <c r="C1292" s="576"/>
      <c r="D1292" s="577"/>
      <c r="E1292" s="42">
        <f t="shared" ref="E1292:L1292" si="640">SUM(E1276:E1291)</f>
        <v>580000</v>
      </c>
      <c r="F1292" s="17">
        <f t="shared" si="640"/>
        <v>527272.72727272718</v>
      </c>
      <c r="G1292" s="42">
        <f t="shared" si="640"/>
        <v>52727.272727272728</v>
      </c>
      <c r="H1292" s="43">
        <f t="shared" si="640"/>
        <v>277272.72727272724</v>
      </c>
      <c r="I1292" s="42">
        <f t="shared" si="640"/>
        <v>9150</v>
      </c>
      <c r="J1292" s="43">
        <f t="shared" si="640"/>
        <v>0</v>
      </c>
      <c r="K1292" s="42">
        <f t="shared" si="640"/>
        <v>268122.72727272724</v>
      </c>
      <c r="L1292" s="42">
        <f t="shared" si="640"/>
        <v>0</v>
      </c>
      <c r="M1292" s="44"/>
      <c r="N1292" s="45"/>
      <c r="O1292" s="1"/>
      <c r="P1292" s="3"/>
      <c r="Q1292" s="1"/>
      <c r="R1292" s="1"/>
      <c r="S1292" s="1"/>
      <c r="T1292" s="1"/>
      <c r="U1292" s="4"/>
    </row>
    <row r="1293" spans="1:21" ht="18.75" customHeight="1">
      <c r="A1293" s="46" t="s">
        <v>37</v>
      </c>
      <c r="B1293" s="47" t="s">
        <v>132</v>
      </c>
      <c r="C1293" s="48">
        <f>D1274</f>
        <v>1</v>
      </c>
      <c r="D1293" s="47" t="s">
        <v>44</v>
      </c>
      <c r="E1293" s="49"/>
      <c r="F1293" s="50"/>
      <c r="G1293" s="156"/>
      <c r="H1293" s="49"/>
      <c r="I1293" s="53" t="s">
        <v>46</v>
      </c>
      <c r="J1293" s="54"/>
      <c r="K1293" s="50"/>
      <c r="L1293" s="55"/>
      <c r="M1293" s="63"/>
      <c r="N1293" s="64"/>
      <c r="O1293" s="1"/>
      <c r="P1293" s="3"/>
      <c r="Q1293" s="1"/>
      <c r="R1293" s="1"/>
      <c r="S1293" s="1"/>
      <c r="T1293" s="1"/>
      <c r="U1293" s="4"/>
    </row>
    <row r="1294" spans="1:21" ht="18.75" customHeight="1" thickBot="1">
      <c r="A1294" s="56" t="s">
        <v>48</v>
      </c>
      <c r="B1294" s="57" t="s">
        <v>133</v>
      </c>
      <c r="C1294" s="58">
        <f>ROUND(F1292/10000,0)</f>
        <v>53</v>
      </c>
      <c r="D1294" s="57" t="s">
        <v>50</v>
      </c>
      <c r="E1294" s="52">
        <f>IF(C1294&gt;=8000,5200000,IF(C1294&gt;=5000,2700000,IF(C1294&gt;=200,200000,0)))</f>
        <v>0</v>
      </c>
      <c r="F1294" s="59"/>
      <c r="G1294" s="58"/>
      <c r="H1294" s="52"/>
      <c r="I1294" s="59"/>
      <c r="J1294" s="61"/>
      <c r="K1294" s="59"/>
      <c r="L1294" s="62">
        <f>IF(G1294&gt;=2500,1500000,0)</f>
        <v>0</v>
      </c>
      <c r="M1294" s="63"/>
      <c r="N1294" s="64"/>
      <c r="O1294" s="1"/>
      <c r="P1294" s="3"/>
      <c r="Q1294" s="1"/>
      <c r="R1294" s="1"/>
      <c r="S1294" s="1"/>
      <c r="T1294" s="1"/>
      <c r="U1294" s="4"/>
    </row>
    <row r="1295" spans="1:21" ht="18.75" customHeight="1" thickBot="1">
      <c r="A1295" s="566" t="s">
        <v>52</v>
      </c>
      <c r="B1295" s="567"/>
      <c r="C1295" s="567"/>
      <c r="D1295" s="568"/>
      <c r="E1295" s="65"/>
      <c r="F1295" s="569" t="s">
        <v>53</v>
      </c>
      <c r="G1295" s="568"/>
      <c r="H1295" s="66">
        <f>H1292-J1293</f>
        <v>277272.72727272724</v>
      </c>
      <c r="I1295" s="67">
        <f>H1295*3.3%</f>
        <v>9150</v>
      </c>
      <c r="J1295" s="68">
        <f>SUM(J1292)</f>
        <v>0</v>
      </c>
      <c r="K1295" s="69">
        <f>H1295-I1295-J1295</f>
        <v>268122.72727272724</v>
      </c>
      <c r="L1295" s="70">
        <f>L1292+SUM(H1293:H1294)+J1294</f>
        <v>0</v>
      </c>
      <c r="M1295" s="570">
        <f>K1295+L1295</f>
        <v>268122.72727272724</v>
      </c>
      <c r="N1295" s="571"/>
      <c r="O1295" s="1"/>
      <c r="P1295" s="3"/>
      <c r="Q1295" s="1"/>
      <c r="R1295" s="1"/>
      <c r="S1295" s="1"/>
      <c r="T1295" s="1"/>
      <c r="U1295" s="4"/>
    </row>
    <row r="1296" spans="1:21" ht="18.75" customHeight="1">
      <c r="A1296" s="1"/>
      <c r="B1296" s="1"/>
      <c r="C1296" s="1"/>
      <c r="D1296" s="1"/>
      <c r="E1296" s="1"/>
      <c r="F1296" s="1"/>
      <c r="G1296" s="1"/>
      <c r="H1296" s="141"/>
      <c r="I1296" s="1"/>
      <c r="J1296" s="1"/>
      <c r="K1296" s="1"/>
      <c r="L1296" s="1"/>
      <c r="M1296" s="1"/>
      <c r="N1296" s="1"/>
      <c r="O1296" s="1"/>
      <c r="P1296" s="3"/>
      <c r="Q1296" s="1"/>
      <c r="R1296" s="1"/>
      <c r="S1296" s="1"/>
      <c r="T1296" s="1"/>
      <c r="U1296" s="4"/>
    </row>
    <row r="1297" spans="1:21" ht="18.75" hidden="1" customHeight="1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3"/>
      <c r="Q1297" s="1"/>
      <c r="R1297" s="1"/>
      <c r="S1297" s="1"/>
      <c r="T1297" s="1"/>
      <c r="U1297" s="4"/>
    </row>
    <row r="1298" spans="1:21" ht="18.75" hidden="1" customHeight="1">
      <c r="A1298" s="6"/>
      <c r="B1298" s="7" t="str">
        <f>$B$34</f>
        <v>1월</v>
      </c>
      <c r="C1298" s="8" t="s">
        <v>1</v>
      </c>
      <c r="D1298" s="9">
        <f>COUNTIF($C1300:$C1315,"계약")+(COUNTIF($C1300:$C1315,"계약2")*2)</f>
        <v>0</v>
      </c>
      <c r="E1298" s="3">
        <f>COUNTIF(C1300:C1315,"낙찰수수료")</f>
        <v>0</v>
      </c>
      <c r="F1298" s="3"/>
      <c r="G1298" s="89" t="s">
        <v>144</v>
      </c>
      <c r="H1298" s="11">
        <v>0.5</v>
      </c>
      <c r="I1298" s="12">
        <v>3.3000000000000002E-2</v>
      </c>
      <c r="J1298" s="1"/>
      <c r="K1298" s="1"/>
      <c r="L1298" s="1"/>
      <c r="M1298" s="1"/>
      <c r="N1298" s="1"/>
      <c r="O1298" s="1"/>
      <c r="P1298" s="3"/>
      <c r="Q1298" s="1"/>
      <c r="R1298" s="1"/>
      <c r="S1298" s="1"/>
      <c r="T1298" s="1"/>
      <c r="U1298" s="4"/>
    </row>
    <row r="1299" spans="1:21" ht="18.75" hidden="1" customHeight="1">
      <c r="A1299" s="13" t="s">
        <v>3</v>
      </c>
      <c r="B1299" s="14" t="s">
        <v>4</v>
      </c>
      <c r="C1299" s="14" t="s">
        <v>5</v>
      </c>
      <c r="D1299" s="101" t="s">
        <v>6</v>
      </c>
      <c r="E1299" s="16" t="s">
        <v>7</v>
      </c>
      <c r="F1299" s="17" t="s">
        <v>8</v>
      </c>
      <c r="G1299" s="14" t="s">
        <v>9</v>
      </c>
      <c r="H1299" s="15" t="s">
        <v>10</v>
      </c>
      <c r="I1299" s="14" t="s">
        <v>11</v>
      </c>
      <c r="J1299" s="15" t="s">
        <v>12</v>
      </c>
      <c r="K1299" s="14" t="s">
        <v>13</v>
      </c>
      <c r="L1299" s="14" t="s">
        <v>14</v>
      </c>
      <c r="M1299" s="579" t="s">
        <v>15</v>
      </c>
      <c r="N1299" s="577"/>
      <c r="O1299" s="1"/>
      <c r="P1299" s="3"/>
      <c r="Q1299" s="1"/>
      <c r="R1299" s="1"/>
      <c r="S1299" s="1"/>
      <c r="T1299" s="1"/>
      <c r="U1299" s="4"/>
    </row>
    <row r="1300" spans="1:21" ht="18.75" hidden="1" customHeight="1">
      <c r="A1300" s="28"/>
      <c r="B1300" s="29"/>
      <c r="C1300" s="30"/>
      <c r="D1300" s="38"/>
      <c r="E1300" s="27"/>
      <c r="F1300" s="31">
        <f t="shared" ref="F1300:F1313" si="641">IF(D1300="no",E1300,E1300/1.1)</f>
        <v>0</v>
      </c>
      <c r="G1300" s="27">
        <f t="shared" ref="G1300:G1312" si="642">IF(D1300="no",0,F1300*0.1)</f>
        <v>0</v>
      </c>
      <c r="H1300" s="32">
        <f>IF(D1300="no",0,F1300*H1298)</f>
        <v>0</v>
      </c>
      <c r="I1300" s="33">
        <f t="shared" ref="I1300:I1315" si="643">IF(D1300="no",0,H1300*3.3%)</f>
        <v>0</v>
      </c>
      <c r="J1300" s="26"/>
      <c r="K1300" s="27">
        <f t="shared" ref="K1300:K1315" si="644">IF(D1300="no",0,H1300-I1300-J1300)</f>
        <v>0</v>
      </c>
      <c r="L1300" s="27">
        <f>IF(D1300="no",F1300*H1298-J1300,0)</f>
        <v>0</v>
      </c>
      <c r="M1300" s="582"/>
      <c r="N1300" s="581"/>
      <c r="O1300" s="1"/>
      <c r="P1300" s="3"/>
      <c r="Q1300" s="1"/>
      <c r="R1300" s="1"/>
      <c r="S1300" s="1"/>
      <c r="T1300" s="1"/>
      <c r="U1300" s="4"/>
    </row>
    <row r="1301" spans="1:21" ht="18.75" hidden="1" customHeight="1">
      <c r="A1301" s="28"/>
      <c r="B1301" s="29"/>
      <c r="C1301" s="30"/>
      <c r="D1301" s="38"/>
      <c r="E1301" s="27"/>
      <c r="F1301" s="31">
        <f t="shared" si="641"/>
        <v>0</v>
      </c>
      <c r="G1301" s="27">
        <f t="shared" si="642"/>
        <v>0</v>
      </c>
      <c r="H1301" s="32">
        <f>IF(D1301="no",0,F1301*H1298)</f>
        <v>0</v>
      </c>
      <c r="I1301" s="33">
        <f t="shared" si="643"/>
        <v>0</v>
      </c>
      <c r="J1301" s="26"/>
      <c r="K1301" s="27">
        <f t="shared" si="644"/>
        <v>0</v>
      </c>
      <c r="L1301" s="27">
        <f>IF(D1301="no",F1301*H1298-J1301,0)</f>
        <v>0</v>
      </c>
      <c r="M1301" s="572"/>
      <c r="N1301" s="564"/>
      <c r="O1301" s="1"/>
      <c r="P1301" s="3"/>
      <c r="Q1301" s="1"/>
      <c r="R1301" s="1"/>
      <c r="S1301" s="1"/>
      <c r="T1301" s="1"/>
      <c r="U1301" s="4"/>
    </row>
    <row r="1302" spans="1:21" ht="18.75" hidden="1" customHeight="1">
      <c r="A1302" s="39"/>
      <c r="B1302" s="127"/>
      <c r="C1302" s="30"/>
      <c r="D1302" s="95"/>
      <c r="E1302" s="102"/>
      <c r="F1302" s="31">
        <f t="shared" si="641"/>
        <v>0</v>
      </c>
      <c r="G1302" s="27">
        <f t="shared" si="642"/>
        <v>0</v>
      </c>
      <c r="H1302" s="32">
        <f>IF(D1302="no",0,F1302*H1298)</f>
        <v>0</v>
      </c>
      <c r="I1302" s="33">
        <f t="shared" si="643"/>
        <v>0</v>
      </c>
      <c r="J1302" s="26"/>
      <c r="K1302" s="27">
        <f t="shared" si="644"/>
        <v>0</v>
      </c>
      <c r="L1302" s="27">
        <f>IF(D1302="no",F1302*H1298-J1302,0)</f>
        <v>0</v>
      </c>
      <c r="M1302" s="563"/>
      <c r="N1302" s="564"/>
      <c r="O1302" s="1"/>
      <c r="P1302" s="3"/>
      <c r="Q1302" s="1"/>
      <c r="R1302" s="1"/>
      <c r="S1302" s="1"/>
      <c r="T1302" s="1"/>
      <c r="U1302" s="4"/>
    </row>
    <row r="1303" spans="1:21" ht="18.75" hidden="1" customHeight="1">
      <c r="A1303" s="39"/>
      <c r="B1303" s="29"/>
      <c r="C1303" s="30"/>
      <c r="D1303" s="38"/>
      <c r="E1303" s="27"/>
      <c r="F1303" s="31">
        <f t="shared" si="641"/>
        <v>0</v>
      </c>
      <c r="G1303" s="27">
        <f t="shared" si="642"/>
        <v>0</v>
      </c>
      <c r="H1303" s="32">
        <f>IF(D1303="no",0,F1303*H1298)</f>
        <v>0</v>
      </c>
      <c r="I1303" s="33">
        <f t="shared" si="643"/>
        <v>0</v>
      </c>
      <c r="J1303" s="26"/>
      <c r="K1303" s="27">
        <f t="shared" si="644"/>
        <v>0</v>
      </c>
      <c r="L1303" s="27">
        <f>IF(D1303="no",F1303*H1298-J1303,0)</f>
        <v>0</v>
      </c>
      <c r="M1303" s="572"/>
      <c r="N1303" s="564"/>
      <c r="O1303" s="1"/>
      <c r="P1303" s="3"/>
      <c r="Q1303" s="1"/>
      <c r="R1303" s="1"/>
      <c r="S1303" s="1"/>
      <c r="T1303" s="1"/>
      <c r="U1303" s="4"/>
    </row>
    <row r="1304" spans="1:21" ht="18.75" hidden="1" customHeight="1">
      <c r="A1304" s="39"/>
      <c r="B1304" s="29"/>
      <c r="C1304" s="30"/>
      <c r="D1304" s="38"/>
      <c r="E1304" s="27"/>
      <c r="F1304" s="31">
        <f t="shared" si="641"/>
        <v>0</v>
      </c>
      <c r="G1304" s="27">
        <f t="shared" si="642"/>
        <v>0</v>
      </c>
      <c r="H1304" s="32">
        <f>IF(D1304="no",0,F1304*H1298)</f>
        <v>0</v>
      </c>
      <c r="I1304" s="33">
        <f t="shared" si="643"/>
        <v>0</v>
      </c>
      <c r="J1304" s="26"/>
      <c r="K1304" s="27">
        <f t="shared" si="644"/>
        <v>0</v>
      </c>
      <c r="L1304" s="27">
        <f t="shared" ref="L1304:L1305" si="645">IF(D1304="no",F1304*H1298-J1304,0)</f>
        <v>0</v>
      </c>
      <c r="M1304" s="563"/>
      <c r="N1304" s="564"/>
      <c r="O1304" s="1"/>
      <c r="P1304" s="3"/>
      <c r="Q1304" s="1"/>
      <c r="R1304" s="1"/>
      <c r="S1304" s="1"/>
      <c r="T1304" s="1"/>
      <c r="U1304" s="4"/>
    </row>
    <row r="1305" spans="1:21" ht="18.75" hidden="1" customHeight="1">
      <c r="A1305" s="28"/>
      <c r="B1305" s="29"/>
      <c r="C1305" s="30"/>
      <c r="D1305" s="38"/>
      <c r="E1305" s="27"/>
      <c r="F1305" s="31">
        <f t="shared" si="641"/>
        <v>0</v>
      </c>
      <c r="G1305" s="27">
        <f t="shared" si="642"/>
        <v>0</v>
      </c>
      <c r="H1305" s="32">
        <f>IF(D1305="no",0,F1305*H1298)</f>
        <v>0</v>
      </c>
      <c r="I1305" s="33">
        <f t="shared" si="643"/>
        <v>0</v>
      </c>
      <c r="J1305" s="26"/>
      <c r="K1305" s="27">
        <f t="shared" si="644"/>
        <v>0</v>
      </c>
      <c r="L1305" s="27">
        <f t="shared" si="645"/>
        <v>0</v>
      </c>
      <c r="M1305" s="572"/>
      <c r="N1305" s="564"/>
      <c r="O1305" s="1"/>
      <c r="P1305" s="3"/>
      <c r="Q1305" s="1"/>
      <c r="R1305" s="1"/>
      <c r="S1305" s="1"/>
      <c r="T1305" s="1"/>
      <c r="U1305" s="4"/>
    </row>
    <row r="1306" spans="1:21" ht="18.75" hidden="1" customHeight="1">
      <c r="A1306" s="28"/>
      <c r="B1306" s="29"/>
      <c r="C1306" s="30"/>
      <c r="D1306" s="38"/>
      <c r="E1306" s="27"/>
      <c r="F1306" s="31">
        <f t="shared" si="641"/>
        <v>0</v>
      </c>
      <c r="G1306" s="27">
        <f t="shared" si="642"/>
        <v>0</v>
      </c>
      <c r="H1306" s="32">
        <f>IF(D1306="no",0,F1306*H1298)</f>
        <v>0</v>
      </c>
      <c r="I1306" s="33">
        <f t="shared" si="643"/>
        <v>0</v>
      </c>
      <c r="J1306" s="26"/>
      <c r="K1306" s="27">
        <f t="shared" si="644"/>
        <v>0</v>
      </c>
      <c r="L1306" s="27">
        <f>IF(D1306="no",F1306*H1298-J1306,0)</f>
        <v>0</v>
      </c>
      <c r="M1306" s="563"/>
      <c r="N1306" s="564"/>
      <c r="O1306" s="1"/>
      <c r="P1306" s="3"/>
      <c r="Q1306" s="1"/>
      <c r="R1306" s="1"/>
      <c r="S1306" s="1"/>
      <c r="T1306" s="1"/>
      <c r="U1306" s="4"/>
    </row>
    <row r="1307" spans="1:21" ht="18.75" hidden="1" customHeight="1">
      <c r="A1307" s="28"/>
      <c r="B1307" s="29"/>
      <c r="C1307" s="30"/>
      <c r="D1307" s="38"/>
      <c r="E1307" s="27"/>
      <c r="F1307" s="31">
        <f t="shared" si="641"/>
        <v>0</v>
      </c>
      <c r="G1307" s="27">
        <f t="shared" si="642"/>
        <v>0</v>
      </c>
      <c r="H1307" s="32">
        <f>IF(D1307="no",0,F1307*H1298)</f>
        <v>0</v>
      </c>
      <c r="I1307" s="33">
        <f t="shared" si="643"/>
        <v>0</v>
      </c>
      <c r="J1307" s="26"/>
      <c r="K1307" s="27">
        <f t="shared" si="644"/>
        <v>0</v>
      </c>
      <c r="L1307" s="27">
        <f t="shared" ref="L1307:L1308" si="646">IF(D1307="no",F1307*H1298-J1307,0)</f>
        <v>0</v>
      </c>
      <c r="M1307" s="572"/>
      <c r="N1307" s="564"/>
      <c r="O1307" s="1"/>
      <c r="P1307" s="3"/>
      <c r="Q1307" s="1"/>
      <c r="R1307" s="1"/>
      <c r="S1307" s="1"/>
      <c r="T1307" s="1"/>
      <c r="U1307" s="4"/>
    </row>
    <row r="1308" spans="1:21" ht="18.75" hidden="1" customHeight="1">
      <c r="A1308" s="28"/>
      <c r="B1308" s="29"/>
      <c r="C1308" s="30"/>
      <c r="D1308" s="38"/>
      <c r="E1308" s="27"/>
      <c r="F1308" s="31">
        <f t="shared" si="641"/>
        <v>0</v>
      </c>
      <c r="G1308" s="27">
        <f t="shared" si="642"/>
        <v>0</v>
      </c>
      <c r="H1308" s="32">
        <f>IF(D1308="no",0,F1308*H1298)</f>
        <v>0</v>
      </c>
      <c r="I1308" s="33">
        <f t="shared" si="643"/>
        <v>0</v>
      </c>
      <c r="J1308" s="26"/>
      <c r="K1308" s="27">
        <f t="shared" si="644"/>
        <v>0</v>
      </c>
      <c r="L1308" s="27">
        <f t="shared" si="646"/>
        <v>0</v>
      </c>
      <c r="M1308" s="572"/>
      <c r="N1308" s="564"/>
      <c r="O1308" s="1"/>
      <c r="P1308" s="3"/>
      <c r="Q1308" s="1"/>
      <c r="R1308" s="1"/>
      <c r="S1308" s="1"/>
      <c r="T1308" s="1"/>
      <c r="U1308" s="4"/>
    </row>
    <row r="1309" spans="1:21" ht="18.75" hidden="1" customHeight="1">
      <c r="A1309" s="28"/>
      <c r="B1309" s="29"/>
      <c r="C1309" s="30"/>
      <c r="D1309" s="38"/>
      <c r="E1309" s="27"/>
      <c r="F1309" s="31">
        <f t="shared" si="641"/>
        <v>0</v>
      </c>
      <c r="G1309" s="27">
        <f t="shared" si="642"/>
        <v>0</v>
      </c>
      <c r="H1309" s="32">
        <f>IF(D1309="no",0,F1309*H1298)</f>
        <v>0</v>
      </c>
      <c r="I1309" s="33">
        <f t="shared" si="643"/>
        <v>0</v>
      </c>
      <c r="J1309" s="26"/>
      <c r="K1309" s="27">
        <f t="shared" si="644"/>
        <v>0</v>
      </c>
      <c r="L1309" s="27">
        <f t="shared" ref="L1309:L1310" si="647">IF(D1309="no",F1309*H1297-J1309,0)</f>
        <v>0</v>
      </c>
      <c r="M1309" s="572"/>
      <c r="N1309" s="564"/>
      <c r="O1309" s="1"/>
      <c r="P1309" s="3"/>
      <c r="Q1309" s="1"/>
      <c r="R1309" s="1"/>
      <c r="S1309" s="1"/>
      <c r="T1309" s="1"/>
      <c r="U1309" s="4"/>
    </row>
    <row r="1310" spans="1:21" ht="18.75" hidden="1" customHeight="1">
      <c r="A1310" s="28"/>
      <c r="B1310" s="29"/>
      <c r="C1310" s="30"/>
      <c r="D1310" s="38"/>
      <c r="E1310" s="27"/>
      <c r="F1310" s="31">
        <f t="shared" si="641"/>
        <v>0</v>
      </c>
      <c r="G1310" s="27">
        <f t="shared" si="642"/>
        <v>0</v>
      </c>
      <c r="H1310" s="32">
        <f>IF(D1310="no",0,F1310*H1298)</f>
        <v>0</v>
      </c>
      <c r="I1310" s="33">
        <f t="shared" si="643"/>
        <v>0</v>
      </c>
      <c r="J1310" s="26"/>
      <c r="K1310" s="27">
        <f t="shared" si="644"/>
        <v>0</v>
      </c>
      <c r="L1310" s="27">
        <f t="shared" si="647"/>
        <v>0</v>
      </c>
      <c r="M1310" s="572"/>
      <c r="N1310" s="564"/>
      <c r="O1310" s="1"/>
      <c r="P1310" s="3"/>
      <c r="Q1310" s="1"/>
      <c r="R1310" s="1"/>
      <c r="S1310" s="1"/>
      <c r="T1310" s="1"/>
      <c r="U1310" s="4"/>
    </row>
    <row r="1311" spans="1:21" ht="18.75" hidden="1" customHeight="1">
      <c r="A1311" s="28"/>
      <c r="B1311" s="29"/>
      <c r="C1311" s="30"/>
      <c r="D1311" s="38"/>
      <c r="E1311" s="27"/>
      <c r="F1311" s="31">
        <f t="shared" si="641"/>
        <v>0</v>
      </c>
      <c r="G1311" s="27">
        <f t="shared" si="642"/>
        <v>0</v>
      </c>
      <c r="H1311" s="32">
        <f>IF(D1311="no",0,F1311*H1298)</f>
        <v>0</v>
      </c>
      <c r="I1311" s="33">
        <f t="shared" si="643"/>
        <v>0</v>
      </c>
      <c r="J1311" s="26"/>
      <c r="K1311" s="27">
        <f t="shared" si="644"/>
        <v>0</v>
      </c>
      <c r="L1311" s="27">
        <f>IF(D1311="no",F1311*H1298-J1311,0)</f>
        <v>0</v>
      </c>
      <c r="M1311" s="578"/>
      <c r="N1311" s="564"/>
      <c r="O1311" s="1"/>
      <c r="P1311" s="3"/>
      <c r="Q1311" s="1"/>
      <c r="R1311" s="1"/>
      <c r="S1311" s="1"/>
      <c r="T1311" s="1"/>
      <c r="U1311" s="4"/>
    </row>
    <row r="1312" spans="1:21" ht="18.75" hidden="1" customHeight="1">
      <c r="A1312" s="28"/>
      <c r="B1312" s="29"/>
      <c r="C1312" s="30"/>
      <c r="D1312" s="38"/>
      <c r="E1312" s="27"/>
      <c r="F1312" s="31">
        <f t="shared" si="641"/>
        <v>0</v>
      </c>
      <c r="G1312" s="27">
        <f t="shared" si="642"/>
        <v>0</v>
      </c>
      <c r="H1312" s="32"/>
      <c r="I1312" s="33">
        <f t="shared" si="643"/>
        <v>0</v>
      </c>
      <c r="J1312" s="26"/>
      <c r="K1312" s="27">
        <f t="shared" si="644"/>
        <v>0</v>
      </c>
      <c r="L1312" s="27">
        <f t="shared" ref="L1312:L1313" si="648">IF(D1312="no",F1312*H1297-J1312,0)</f>
        <v>0</v>
      </c>
      <c r="M1312" s="572"/>
      <c r="N1312" s="564"/>
      <c r="O1312" s="1"/>
      <c r="P1312" s="3"/>
      <c r="Q1312" s="1"/>
      <c r="R1312" s="1"/>
      <c r="S1312" s="1"/>
      <c r="T1312" s="1"/>
      <c r="U1312" s="4"/>
    </row>
    <row r="1313" spans="1:21" ht="18.75" hidden="1" customHeight="1">
      <c r="A1313" s="28"/>
      <c r="B1313" s="29"/>
      <c r="C1313" s="30"/>
      <c r="D1313" s="21"/>
      <c r="E1313" s="27"/>
      <c r="F1313" s="31">
        <f t="shared" si="641"/>
        <v>0</v>
      </c>
      <c r="G1313" s="27"/>
      <c r="H1313" s="32"/>
      <c r="I1313" s="33">
        <f t="shared" si="643"/>
        <v>0</v>
      </c>
      <c r="J1313" s="26"/>
      <c r="K1313" s="27">
        <f t="shared" si="644"/>
        <v>0</v>
      </c>
      <c r="L1313" s="27">
        <f t="shared" si="648"/>
        <v>0</v>
      </c>
      <c r="M1313" s="572"/>
      <c r="N1313" s="564"/>
      <c r="O1313" s="1"/>
      <c r="P1313" s="3"/>
      <c r="Q1313" s="1"/>
      <c r="R1313" s="1"/>
      <c r="S1313" s="1"/>
      <c r="T1313" s="1"/>
      <c r="U1313" s="4"/>
    </row>
    <row r="1314" spans="1:21" ht="18.75" hidden="1" customHeight="1">
      <c r="A1314" s="39" t="s">
        <v>145</v>
      </c>
      <c r="B1314" s="29" t="s">
        <v>61</v>
      </c>
      <c r="C1314" s="30"/>
      <c r="D1314" s="21"/>
      <c r="E1314" s="27"/>
      <c r="F1314" s="31"/>
      <c r="G1314" s="27"/>
      <c r="H1314" s="32"/>
      <c r="I1314" s="33">
        <f t="shared" si="643"/>
        <v>0</v>
      </c>
      <c r="J1314" s="26"/>
      <c r="K1314" s="27">
        <f t="shared" si="644"/>
        <v>0</v>
      </c>
      <c r="L1314" s="27">
        <f t="shared" ref="L1314:L1315" si="649">IF(D1314="no",F1314*H1300-J1314,0)</f>
        <v>0</v>
      </c>
      <c r="M1314" s="572"/>
      <c r="N1314" s="564"/>
      <c r="O1314" s="1"/>
      <c r="P1314" s="3"/>
      <c r="Q1314" s="1"/>
      <c r="R1314" s="1"/>
      <c r="S1314" s="1"/>
      <c r="T1314" s="1"/>
      <c r="U1314" s="4"/>
    </row>
    <row r="1315" spans="1:21" ht="18.75" hidden="1" customHeight="1">
      <c r="A1315" s="39" t="s">
        <v>145</v>
      </c>
      <c r="B1315" s="29" t="s">
        <v>35</v>
      </c>
      <c r="C1315" s="30"/>
      <c r="D1315" s="21"/>
      <c r="E1315" s="27"/>
      <c r="F1315" s="31">
        <f>IF(D1315="no",E1315,E1315/1.1)</f>
        <v>0</v>
      </c>
      <c r="G1315" s="27">
        <f>IF(D1315="no",0,F1315*0.1)</f>
        <v>0</v>
      </c>
      <c r="H1315" s="37"/>
      <c r="I1315" s="33">
        <f t="shared" si="643"/>
        <v>0</v>
      </c>
      <c r="J1315" s="26"/>
      <c r="K1315" s="27">
        <f t="shared" si="644"/>
        <v>0</v>
      </c>
      <c r="L1315" s="27">
        <f t="shared" si="649"/>
        <v>0</v>
      </c>
      <c r="M1315" s="584"/>
      <c r="N1315" s="564"/>
      <c r="O1315" s="1"/>
      <c r="P1315" s="3"/>
      <c r="Q1315" s="1"/>
      <c r="R1315" s="1"/>
      <c r="S1315" s="1"/>
      <c r="T1315" s="1"/>
      <c r="U1315" s="4"/>
    </row>
    <row r="1316" spans="1:21" ht="18.75" hidden="1" customHeight="1">
      <c r="A1316" s="575" t="s">
        <v>42</v>
      </c>
      <c r="B1316" s="576"/>
      <c r="C1316" s="576"/>
      <c r="D1316" s="577"/>
      <c r="E1316" s="42">
        <f t="shared" ref="E1316:L1316" si="650">SUM(E1300:E1315)</f>
        <v>0</v>
      </c>
      <c r="F1316" s="17">
        <f t="shared" si="650"/>
        <v>0</v>
      </c>
      <c r="G1316" s="42">
        <f t="shared" si="650"/>
        <v>0</v>
      </c>
      <c r="H1316" s="43">
        <f t="shared" si="650"/>
        <v>0</v>
      </c>
      <c r="I1316" s="42">
        <f t="shared" si="650"/>
        <v>0</v>
      </c>
      <c r="J1316" s="43">
        <f t="shared" si="650"/>
        <v>0</v>
      </c>
      <c r="K1316" s="42">
        <f t="shared" si="650"/>
        <v>0</v>
      </c>
      <c r="L1316" s="42">
        <f t="shared" si="650"/>
        <v>0</v>
      </c>
      <c r="M1316" s="44"/>
      <c r="N1316" s="45"/>
      <c r="O1316" s="1"/>
      <c r="P1316" s="3"/>
      <c r="Q1316" s="1"/>
      <c r="R1316" s="1"/>
      <c r="S1316" s="1"/>
      <c r="T1316" s="1"/>
      <c r="U1316" s="4"/>
    </row>
    <row r="1317" spans="1:21" ht="18.75" hidden="1" customHeight="1">
      <c r="A1317" s="46" t="s">
        <v>37</v>
      </c>
      <c r="B1317" s="47" t="s">
        <v>132</v>
      </c>
      <c r="C1317" s="48">
        <f>D1298</f>
        <v>0</v>
      </c>
      <c r="D1317" s="47" t="s">
        <v>44</v>
      </c>
      <c r="E1317" s="49"/>
      <c r="F1317" s="84"/>
      <c r="G1317" s="85"/>
      <c r="H1317" s="49"/>
      <c r="I1317" s="53" t="s">
        <v>46</v>
      </c>
      <c r="J1317" s="54"/>
      <c r="K1317" s="50"/>
      <c r="L1317" s="55"/>
      <c r="M1317" s="63"/>
      <c r="N1317" s="64"/>
      <c r="O1317" s="1"/>
      <c r="P1317" s="3"/>
      <c r="Q1317" s="1"/>
      <c r="R1317" s="1"/>
      <c r="S1317" s="1"/>
      <c r="T1317" s="1"/>
      <c r="U1317" s="4"/>
    </row>
    <row r="1318" spans="1:21" ht="18.75" hidden="1" customHeight="1" thickBot="1">
      <c r="A1318" s="56" t="s">
        <v>48</v>
      </c>
      <c r="B1318" s="57" t="s">
        <v>133</v>
      </c>
      <c r="C1318" s="58">
        <f>ROUND(F1316/10000,0)</f>
        <v>0</v>
      </c>
      <c r="D1318" s="57" t="s">
        <v>50</v>
      </c>
      <c r="E1318" s="52">
        <f>IF(C1318&gt;=8000,5200000,IF(C1318&gt;=5000,2700000,IF(C1318&gt;=200,200000,0)))</f>
        <v>0</v>
      </c>
      <c r="F1318" s="86"/>
      <c r="G1318" s="87"/>
      <c r="H1318" s="52"/>
      <c r="I1318" s="59"/>
      <c r="J1318" s="61"/>
      <c r="K1318" s="59" t="s">
        <v>39</v>
      </c>
      <c r="L1318" s="62">
        <f>IF(C1318&gt;=1000,500000,0)</f>
        <v>0</v>
      </c>
      <c r="M1318" s="63"/>
      <c r="N1318" s="64"/>
      <c r="O1318" s="1"/>
      <c r="P1318" s="3"/>
      <c r="Q1318" s="1"/>
      <c r="R1318" s="1"/>
      <c r="S1318" s="1"/>
      <c r="T1318" s="1"/>
      <c r="U1318" s="4"/>
    </row>
    <row r="1319" spans="1:21" ht="18.75" hidden="1" customHeight="1" thickBot="1">
      <c r="A1319" s="566" t="s">
        <v>52</v>
      </c>
      <c r="B1319" s="567"/>
      <c r="C1319" s="567"/>
      <c r="D1319" s="568"/>
      <c r="E1319" s="65"/>
      <c r="F1319" s="569" t="s">
        <v>53</v>
      </c>
      <c r="G1319" s="568"/>
      <c r="H1319" s="66">
        <f>H1316-J1317</f>
        <v>0</v>
      </c>
      <c r="I1319" s="67">
        <f>H1319*3.3%</f>
        <v>0</v>
      </c>
      <c r="J1319" s="68">
        <f>SUM(J1316)</f>
        <v>0</v>
      </c>
      <c r="K1319" s="69">
        <f>H1319-I1319</f>
        <v>0</v>
      </c>
      <c r="L1319" s="70">
        <f>L1316+SUM(H1317:H1318)+J1318</f>
        <v>0</v>
      </c>
      <c r="M1319" s="570">
        <f>K1319+L1319</f>
        <v>0</v>
      </c>
      <c r="N1319" s="571"/>
      <c r="O1319" s="1"/>
      <c r="P1319" s="3"/>
      <c r="Q1319" s="1"/>
      <c r="R1319" s="1"/>
      <c r="S1319" s="1"/>
      <c r="T1319" s="1"/>
      <c r="U1319" s="4"/>
    </row>
    <row r="1320" spans="1:21" ht="18.75" hidden="1" customHeight="1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3"/>
      <c r="Q1320" s="1"/>
      <c r="R1320" s="1"/>
      <c r="S1320" s="1"/>
      <c r="T1320" s="1"/>
      <c r="U1320" s="4"/>
    </row>
    <row r="1321" spans="1:21" ht="18.75" hidden="1" customHeight="1">
      <c r="A1321" s="6"/>
      <c r="B1321" s="7" t="str">
        <f>$B$34</f>
        <v>1월</v>
      </c>
      <c r="C1321" s="8" t="s">
        <v>1</v>
      </c>
      <c r="D1321" s="9">
        <f>COUNTIF($C1323:$C1337,"계약")+(COUNTIF($C1323:$C1337,"계약2")*2)</f>
        <v>0</v>
      </c>
      <c r="E1321" s="3">
        <f>COUNTIF(C1323:C1337,"낙찰수수료")</f>
        <v>0</v>
      </c>
      <c r="F1321" s="3"/>
      <c r="G1321" s="1" t="s">
        <v>143</v>
      </c>
      <c r="H1321" s="11">
        <v>0.5</v>
      </c>
      <c r="I1321" s="12">
        <v>3.3000000000000002E-2</v>
      </c>
      <c r="J1321" s="1"/>
      <c r="K1321" s="1"/>
      <c r="L1321" s="1"/>
      <c r="M1321" s="1"/>
      <c r="N1321" s="1"/>
      <c r="O1321" s="1"/>
      <c r="P1321" s="3"/>
      <c r="Q1321" s="1"/>
      <c r="R1321" s="1"/>
      <c r="S1321" s="1"/>
      <c r="T1321" s="1"/>
      <c r="U1321" s="4"/>
    </row>
    <row r="1322" spans="1:21" ht="18.75" hidden="1" customHeight="1">
      <c r="A1322" s="13" t="s">
        <v>3</v>
      </c>
      <c r="B1322" s="14" t="s">
        <v>4</v>
      </c>
      <c r="C1322" s="14" t="s">
        <v>5</v>
      </c>
      <c r="D1322" s="101" t="s">
        <v>6</v>
      </c>
      <c r="E1322" s="16" t="s">
        <v>7</v>
      </c>
      <c r="F1322" s="17" t="s">
        <v>8</v>
      </c>
      <c r="G1322" s="14" t="s">
        <v>9</v>
      </c>
      <c r="H1322" s="15" t="s">
        <v>10</v>
      </c>
      <c r="I1322" s="14" t="s">
        <v>11</v>
      </c>
      <c r="J1322" s="15" t="s">
        <v>12</v>
      </c>
      <c r="K1322" s="14" t="s">
        <v>13</v>
      </c>
      <c r="L1322" s="14" t="s">
        <v>14</v>
      </c>
      <c r="M1322" s="579" t="s">
        <v>15</v>
      </c>
      <c r="N1322" s="577"/>
      <c r="O1322" s="1"/>
      <c r="P1322" s="3"/>
      <c r="Q1322" s="73"/>
      <c r="R1322" s="1"/>
      <c r="S1322" s="1"/>
      <c r="T1322" s="1"/>
      <c r="U1322" s="4"/>
    </row>
    <row r="1323" spans="1:21" ht="18.75" hidden="1" customHeight="1">
      <c r="A1323" s="28"/>
      <c r="B1323" s="29"/>
      <c r="C1323" s="30"/>
      <c r="D1323" s="95"/>
      <c r="E1323" s="27"/>
      <c r="F1323" s="31">
        <f>IF(D1323="no",E1323,E1323/1.1)</f>
        <v>0</v>
      </c>
      <c r="G1323" s="27">
        <f t="shared" ref="G1323:G1332" si="651">IF(D1323="no",0,F1323*0.1)</f>
        <v>0</v>
      </c>
      <c r="H1323" s="32">
        <f>IF(D1323="no",0,F1323*H1321)</f>
        <v>0</v>
      </c>
      <c r="I1323" s="33">
        <f t="shared" ref="I1323:I1337" si="652">IF(D1323="no",0,H1323*3.3%)</f>
        <v>0</v>
      </c>
      <c r="J1323" s="97"/>
      <c r="K1323" s="27">
        <f t="shared" ref="K1323:K1337" si="653">IF(D1323="no",0,H1323-I1323-J1323)</f>
        <v>0</v>
      </c>
      <c r="L1323" s="27">
        <f>IF(D1323="no",F1323*H1321-J1323,0)</f>
        <v>0</v>
      </c>
      <c r="M1323" s="582"/>
      <c r="N1323" s="581"/>
      <c r="O1323" s="1"/>
      <c r="P1323" s="3"/>
      <c r="Q1323" s="1"/>
      <c r="R1323" s="1"/>
      <c r="S1323" s="1"/>
      <c r="T1323" s="1"/>
      <c r="U1323" s="4"/>
    </row>
    <row r="1324" spans="1:21" ht="18.75" hidden="1" customHeight="1">
      <c r="A1324" s="28"/>
      <c r="B1324" s="29"/>
      <c r="C1324" s="30"/>
      <c r="D1324" s="38"/>
      <c r="E1324" s="27"/>
      <c r="F1324" s="31"/>
      <c r="G1324" s="27">
        <f t="shared" si="651"/>
        <v>0</v>
      </c>
      <c r="H1324" s="32">
        <f>IF(D1324="no",0,F1324*H1321)</f>
        <v>0</v>
      </c>
      <c r="I1324" s="33">
        <f t="shared" si="652"/>
        <v>0</v>
      </c>
      <c r="J1324" s="26"/>
      <c r="K1324" s="27">
        <f t="shared" si="653"/>
        <v>0</v>
      </c>
      <c r="L1324" s="27">
        <f>IF(D1324="no",F1324*H1321-J1324,0)</f>
        <v>0</v>
      </c>
      <c r="M1324" s="565"/>
      <c r="N1324" s="564"/>
      <c r="O1324" s="1"/>
      <c r="P1324" s="3"/>
      <c r="Q1324" s="1"/>
      <c r="R1324" s="1"/>
      <c r="S1324" s="1"/>
      <c r="T1324" s="1"/>
      <c r="U1324" s="4"/>
    </row>
    <row r="1325" spans="1:21" ht="18.75" hidden="1" customHeight="1">
      <c r="A1325" s="28"/>
      <c r="B1325" s="29"/>
      <c r="C1325" s="30"/>
      <c r="D1325" s="95"/>
      <c r="E1325" s="102"/>
      <c r="F1325" s="31">
        <f t="shared" ref="F1325:F1332" si="654">IF(D1325="no",E1325,E1325/1.1)</f>
        <v>0</v>
      </c>
      <c r="G1325" s="27">
        <f t="shared" si="651"/>
        <v>0</v>
      </c>
      <c r="H1325" s="32">
        <f>IF(D1325="no",0,F1325*H1321)</f>
        <v>0</v>
      </c>
      <c r="I1325" s="33">
        <f t="shared" si="652"/>
        <v>0</v>
      </c>
      <c r="J1325" s="26"/>
      <c r="K1325" s="27">
        <f t="shared" si="653"/>
        <v>0</v>
      </c>
      <c r="L1325" s="27">
        <f>IF(D1325="no",F1325*H1321-J1325,0)</f>
        <v>0</v>
      </c>
      <c r="M1325" s="578"/>
      <c r="N1325" s="564"/>
      <c r="O1325" s="1"/>
      <c r="P1325" s="3"/>
      <c r="Q1325" s="1"/>
      <c r="R1325" s="1"/>
      <c r="S1325" s="1"/>
      <c r="T1325" s="1"/>
      <c r="U1325" s="4"/>
    </row>
    <row r="1326" spans="1:21" ht="18.75" hidden="1" customHeight="1">
      <c r="A1326" s="39"/>
      <c r="B1326" s="29"/>
      <c r="C1326" s="30"/>
      <c r="D1326" s="38"/>
      <c r="E1326" s="27"/>
      <c r="F1326" s="31">
        <f t="shared" si="654"/>
        <v>0</v>
      </c>
      <c r="G1326" s="27">
        <f t="shared" si="651"/>
        <v>0</v>
      </c>
      <c r="H1326" s="32">
        <f>IF(D1326="no",0,F1326*H1321)</f>
        <v>0</v>
      </c>
      <c r="I1326" s="33">
        <f t="shared" si="652"/>
        <v>0</v>
      </c>
      <c r="J1326" s="26"/>
      <c r="K1326" s="27">
        <f t="shared" si="653"/>
        <v>0</v>
      </c>
      <c r="L1326" s="27">
        <f>IF(D1326="no",F1326*H1321-J1326,0)</f>
        <v>0</v>
      </c>
      <c r="M1326" s="585"/>
      <c r="N1326" s="564"/>
      <c r="O1326" s="1"/>
      <c r="P1326" s="3"/>
      <c r="Q1326" s="1"/>
      <c r="R1326" s="1"/>
      <c r="S1326" s="1"/>
      <c r="T1326" s="1"/>
      <c r="U1326" s="4"/>
    </row>
    <row r="1327" spans="1:21" ht="18.75" hidden="1" customHeight="1">
      <c r="A1327" s="28"/>
      <c r="B1327" s="29"/>
      <c r="C1327" s="30"/>
      <c r="D1327" s="38"/>
      <c r="E1327" s="27"/>
      <c r="F1327" s="31">
        <f t="shared" si="654"/>
        <v>0</v>
      </c>
      <c r="G1327" s="27">
        <f t="shared" si="651"/>
        <v>0</v>
      </c>
      <c r="H1327" s="32">
        <f>IF(D1327="no",0,F1327*H1321)</f>
        <v>0</v>
      </c>
      <c r="I1327" s="33">
        <f t="shared" si="652"/>
        <v>0</v>
      </c>
      <c r="J1327" s="26"/>
      <c r="K1327" s="27">
        <f t="shared" si="653"/>
        <v>0</v>
      </c>
      <c r="L1327" s="27">
        <f t="shared" ref="L1327:L1328" si="655">IF(D1327="no",F1327*H1321-J1327,0)</f>
        <v>0</v>
      </c>
      <c r="M1327" s="572"/>
      <c r="N1327" s="564"/>
      <c r="O1327" s="1"/>
      <c r="P1327" s="3"/>
      <c r="Q1327" s="1"/>
      <c r="R1327" s="1"/>
      <c r="S1327" s="1"/>
      <c r="T1327" s="1"/>
      <c r="U1327" s="4"/>
    </row>
    <row r="1328" spans="1:21" ht="18.75" hidden="1" customHeight="1">
      <c r="A1328" s="28"/>
      <c r="B1328" s="29"/>
      <c r="C1328" s="30"/>
      <c r="D1328" s="21"/>
      <c r="E1328" s="27"/>
      <c r="F1328" s="31">
        <f t="shared" si="654"/>
        <v>0</v>
      </c>
      <c r="G1328" s="27">
        <f t="shared" si="651"/>
        <v>0</v>
      </c>
      <c r="H1328" s="32">
        <f>IF(D1328="no",0,F1328*H1321)</f>
        <v>0</v>
      </c>
      <c r="I1328" s="33">
        <f t="shared" si="652"/>
        <v>0</v>
      </c>
      <c r="J1328" s="26"/>
      <c r="K1328" s="27">
        <f t="shared" si="653"/>
        <v>0</v>
      </c>
      <c r="L1328" s="27">
        <f t="shared" si="655"/>
        <v>0</v>
      </c>
      <c r="M1328" s="572"/>
      <c r="N1328" s="564"/>
      <c r="O1328" s="1"/>
      <c r="P1328" s="3"/>
      <c r="Q1328" s="1"/>
      <c r="R1328" s="1"/>
      <c r="S1328" s="1"/>
      <c r="T1328" s="1"/>
      <c r="U1328" s="4"/>
    </row>
    <row r="1329" spans="1:21" ht="18.75" hidden="1" customHeight="1">
      <c r="A1329" s="28"/>
      <c r="B1329" s="29"/>
      <c r="C1329" s="30"/>
      <c r="D1329" s="38"/>
      <c r="E1329" s="27"/>
      <c r="F1329" s="31">
        <f t="shared" si="654"/>
        <v>0</v>
      </c>
      <c r="G1329" s="27">
        <f t="shared" si="651"/>
        <v>0</v>
      </c>
      <c r="H1329" s="32">
        <f>IF(D1329="no",0,F1329*H1321)</f>
        <v>0</v>
      </c>
      <c r="I1329" s="33">
        <f t="shared" si="652"/>
        <v>0</v>
      </c>
      <c r="J1329" s="26"/>
      <c r="K1329" s="27">
        <f t="shared" si="653"/>
        <v>0</v>
      </c>
      <c r="L1329" s="27">
        <f>IF(D1329="no",F1329*H1321-J1329,0)</f>
        <v>0</v>
      </c>
      <c r="M1329" s="563"/>
      <c r="N1329" s="564"/>
      <c r="O1329" s="1"/>
      <c r="P1329" s="3"/>
      <c r="Q1329" s="1"/>
      <c r="R1329" s="1"/>
      <c r="S1329" s="1"/>
      <c r="T1329" s="1"/>
      <c r="U1329" s="4"/>
    </row>
    <row r="1330" spans="1:21" ht="18.75" hidden="1" customHeight="1">
      <c r="A1330" s="28"/>
      <c r="B1330" s="29"/>
      <c r="C1330" s="30"/>
      <c r="D1330" s="38"/>
      <c r="E1330" s="27"/>
      <c r="F1330" s="31">
        <f t="shared" si="654"/>
        <v>0</v>
      </c>
      <c r="G1330" s="27">
        <f t="shared" si="651"/>
        <v>0</v>
      </c>
      <c r="H1330" s="32">
        <f>IF(D1330="no",0,F1330*H1321)</f>
        <v>0</v>
      </c>
      <c r="I1330" s="33">
        <f t="shared" si="652"/>
        <v>0</v>
      </c>
      <c r="J1330" s="26"/>
      <c r="K1330" s="27">
        <f t="shared" si="653"/>
        <v>0</v>
      </c>
      <c r="L1330" s="27">
        <f t="shared" ref="L1330:L1331" si="656">IF(D1330="no",F1330*H1321-J1330,0)</f>
        <v>0</v>
      </c>
      <c r="M1330" s="572"/>
      <c r="N1330" s="564"/>
      <c r="O1330" s="1"/>
      <c r="P1330" s="3"/>
      <c r="Q1330" s="1"/>
      <c r="R1330" s="1"/>
      <c r="S1330" s="1"/>
      <c r="T1330" s="1"/>
      <c r="U1330" s="4"/>
    </row>
    <row r="1331" spans="1:21" ht="18.75" hidden="1" customHeight="1">
      <c r="A1331" s="28"/>
      <c r="B1331" s="29"/>
      <c r="C1331" s="30"/>
      <c r="D1331" s="21"/>
      <c r="E1331" s="27"/>
      <c r="F1331" s="31">
        <f t="shared" si="654"/>
        <v>0</v>
      </c>
      <c r="G1331" s="27">
        <f t="shared" si="651"/>
        <v>0</v>
      </c>
      <c r="H1331" s="32">
        <f>IF(D1331="no",0,F1331*H1321)</f>
        <v>0</v>
      </c>
      <c r="I1331" s="33">
        <f t="shared" si="652"/>
        <v>0</v>
      </c>
      <c r="J1331" s="26"/>
      <c r="K1331" s="27">
        <f t="shared" si="653"/>
        <v>0</v>
      </c>
      <c r="L1331" s="27">
        <f t="shared" si="656"/>
        <v>0</v>
      </c>
      <c r="M1331" s="584"/>
      <c r="N1331" s="564"/>
      <c r="O1331" s="1"/>
      <c r="P1331" s="3"/>
      <c r="Q1331" s="1"/>
      <c r="R1331" s="1"/>
      <c r="S1331" s="1"/>
      <c r="T1331" s="1"/>
      <c r="U1331" s="4"/>
    </row>
    <row r="1332" spans="1:21" ht="18.75" hidden="1" customHeight="1">
      <c r="A1332" s="28"/>
      <c r="B1332" s="29"/>
      <c r="C1332" s="30"/>
      <c r="D1332" s="21"/>
      <c r="E1332" s="27"/>
      <c r="F1332" s="31">
        <f t="shared" si="654"/>
        <v>0</v>
      </c>
      <c r="G1332" s="27">
        <f t="shared" si="651"/>
        <v>0</v>
      </c>
      <c r="H1332" s="32">
        <f>IF(D1332="no",0,F1332*H1321)</f>
        <v>0</v>
      </c>
      <c r="I1332" s="33">
        <f t="shared" si="652"/>
        <v>0</v>
      </c>
      <c r="J1332" s="26"/>
      <c r="K1332" s="27">
        <f t="shared" si="653"/>
        <v>0</v>
      </c>
      <c r="L1332" s="27">
        <f t="shared" ref="L1332:L1333" si="657">IF(D1332="no",F1332*H1322-J1332,0)</f>
        <v>0</v>
      </c>
      <c r="M1332" s="584"/>
      <c r="N1332" s="564"/>
      <c r="O1332" s="1"/>
      <c r="P1332" s="3"/>
      <c r="Q1332" s="1"/>
      <c r="R1332" s="1"/>
      <c r="S1332" s="1"/>
      <c r="T1332" s="1"/>
      <c r="U1332" s="4"/>
    </row>
    <row r="1333" spans="1:21" ht="18.75" hidden="1" customHeight="1">
      <c r="A1333" s="28"/>
      <c r="B1333" s="29"/>
      <c r="C1333" s="30"/>
      <c r="D1333" s="21"/>
      <c r="E1333" s="27"/>
      <c r="F1333" s="31"/>
      <c r="G1333" s="27"/>
      <c r="H1333" s="32">
        <f>IF(D1333="no",0,F1333*H1321)</f>
        <v>0</v>
      </c>
      <c r="I1333" s="33">
        <f t="shared" si="652"/>
        <v>0</v>
      </c>
      <c r="J1333" s="26"/>
      <c r="K1333" s="27">
        <f t="shared" si="653"/>
        <v>0</v>
      </c>
      <c r="L1333" s="27">
        <f t="shared" si="657"/>
        <v>0</v>
      </c>
      <c r="M1333" s="584"/>
      <c r="N1333" s="564"/>
      <c r="O1333" s="1"/>
      <c r="P1333" s="3"/>
      <c r="Q1333" s="1"/>
      <c r="R1333" s="1"/>
      <c r="S1333" s="1"/>
      <c r="T1333" s="1"/>
      <c r="U1333" s="4"/>
    </row>
    <row r="1334" spans="1:21" ht="18.75" hidden="1" customHeight="1">
      <c r="A1334" s="28"/>
      <c r="B1334" s="29"/>
      <c r="C1334" s="30"/>
      <c r="D1334" s="21"/>
      <c r="E1334" s="27"/>
      <c r="F1334" s="31">
        <f t="shared" ref="F1334:F1335" si="658">IF(D1334="no",E1334,E1334/1.1)</f>
        <v>0</v>
      </c>
      <c r="G1334" s="27">
        <f t="shared" ref="G1334:G1335" si="659">IF(D1334="no",0,F1334*0.1)</f>
        <v>0</v>
      </c>
      <c r="H1334" s="32">
        <f>IF(D1334="no",0,F1334*H1321)</f>
        <v>0</v>
      </c>
      <c r="I1334" s="33">
        <f t="shared" si="652"/>
        <v>0</v>
      </c>
      <c r="J1334" s="26"/>
      <c r="K1334" s="27">
        <f t="shared" si="653"/>
        <v>0</v>
      </c>
      <c r="L1334" s="27">
        <f>IF(D1334="no",F1334*H1323-J1334,0)</f>
        <v>0</v>
      </c>
      <c r="M1334" s="584"/>
      <c r="N1334" s="564"/>
      <c r="O1334" s="1"/>
      <c r="P1334" s="3"/>
      <c r="Q1334" s="1"/>
      <c r="R1334" s="1"/>
      <c r="S1334" s="1"/>
      <c r="T1334" s="1"/>
      <c r="U1334" s="4"/>
    </row>
    <row r="1335" spans="1:21" ht="18.75" hidden="1" customHeight="1">
      <c r="A1335" s="28"/>
      <c r="B1335" s="29"/>
      <c r="C1335" s="30"/>
      <c r="D1335" s="21"/>
      <c r="E1335" s="27"/>
      <c r="F1335" s="31">
        <f t="shared" si="658"/>
        <v>0</v>
      </c>
      <c r="G1335" s="27">
        <f t="shared" si="659"/>
        <v>0</v>
      </c>
      <c r="H1335" s="37">
        <f>(E1339+E1340+N1338)/0.967</f>
        <v>0</v>
      </c>
      <c r="I1335" s="33">
        <f t="shared" si="652"/>
        <v>0</v>
      </c>
      <c r="J1335" s="26"/>
      <c r="K1335" s="27">
        <f t="shared" si="653"/>
        <v>0</v>
      </c>
      <c r="L1335" s="27">
        <f t="shared" ref="L1335:L1337" si="660">IF(D1335="no",F1335*H1321-J1335,0)</f>
        <v>0</v>
      </c>
      <c r="M1335" s="578"/>
      <c r="N1335" s="564"/>
      <c r="O1335" s="1"/>
      <c r="P1335" s="3"/>
      <c r="Q1335" s="1"/>
      <c r="R1335" s="1"/>
      <c r="S1335" s="1"/>
      <c r="T1335" s="1"/>
      <c r="U1335" s="4"/>
    </row>
    <row r="1336" spans="1:21" ht="18.75" hidden="1" customHeight="1">
      <c r="A1336" s="39" t="s">
        <v>145</v>
      </c>
      <c r="B1336" s="29" t="s">
        <v>61</v>
      </c>
      <c r="C1336" s="30"/>
      <c r="D1336" s="21"/>
      <c r="E1336" s="27"/>
      <c r="F1336" s="31"/>
      <c r="G1336" s="27"/>
      <c r="H1336" s="32"/>
      <c r="I1336" s="33">
        <f t="shared" si="652"/>
        <v>0</v>
      </c>
      <c r="J1336" s="26"/>
      <c r="K1336" s="27">
        <f t="shared" si="653"/>
        <v>0</v>
      </c>
      <c r="L1336" s="27">
        <f t="shared" si="660"/>
        <v>0</v>
      </c>
      <c r="M1336" s="572"/>
      <c r="N1336" s="564"/>
      <c r="O1336" s="1"/>
      <c r="P1336" s="3"/>
      <c r="Q1336" s="1"/>
      <c r="R1336" s="1"/>
      <c r="S1336" s="1"/>
      <c r="T1336" s="1"/>
      <c r="U1336" s="4"/>
    </row>
    <row r="1337" spans="1:21" ht="18.75" hidden="1" customHeight="1">
      <c r="A1337" s="39" t="s">
        <v>145</v>
      </c>
      <c r="B1337" s="29" t="s">
        <v>35</v>
      </c>
      <c r="C1337" s="30"/>
      <c r="D1337" s="21"/>
      <c r="E1337" s="27"/>
      <c r="F1337" s="31">
        <f>IF(D1337="no",E1337,E1337/1.1)</f>
        <v>0</v>
      </c>
      <c r="G1337" s="27">
        <f>IF(D1337="no",0,F1337*0.1)</f>
        <v>0</v>
      </c>
      <c r="H1337" s="37"/>
      <c r="I1337" s="33">
        <f t="shared" si="652"/>
        <v>0</v>
      </c>
      <c r="J1337" s="26"/>
      <c r="K1337" s="27">
        <f t="shared" si="653"/>
        <v>0</v>
      </c>
      <c r="L1337" s="27">
        <f t="shared" si="660"/>
        <v>0</v>
      </c>
      <c r="M1337" s="584"/>
      <c r="N1337" s="564"/>
      <c r="O1337" s="1"/>
      <c r="P1337" s="3"/>
      <c r="Q1337" s="1"/>
      <c r="R1337" s="1"/>
      <c r="S1337" s="1"/>
      <c r="T1337" s="1"/>
      <c r="U1337" s="4"/>
    </row>
    <row r="1338" spans="1:21" ht="18.75" hidden="1" customHeight="1">
      <c r="A1338" s="575" t="s">
        <v>42</v>
      </c>
      <c r="B1338" s="576"/>
      <c r="C1338" s="576"/>
      <c r="D1338" s="577"/>
      <c r="E1338" s="42">
        <f t="shared" ref="E1338:L1338" si="661">SUM(E1323:E1337)</f>
        <v>0</v>
      </c>
      <c r="F1338" s="17">
        <f t="shared" si="661"/>
        <v>0</v>
      </c>
      <c r="G1338" s="42">
        <f t="shared" si="661"/>
        <v>0</v>
      </c>
      <c r="H1338" s="43">
        <f t="shared" si="661"/>
        <v>0</v>
      </c>
      <c r="I1338" s="42">
        <f t="shared" si="661"/>
        <v>0</v>
      </c>
      <c r="J1338" s="43">
        <f t="shared" si="661"/>
        <v>0</v>
      </c>
      <c r="K1338" s="42">
        <f t="shared" si="661"/>
        <v>0</v>
      </c>
      <c r="L1338" s="42">
        <f t="shared" si="661"/>
        <v>0</v>
      </c>
      <c r="M1338" s="44"/>
      <c r="N1338" s="45"/>
      <c r="O1338" s="1"/>
      <c r="P1338" s="3"/>
      <c r="Q1338" s="1"/>
      <c r="R1338" s="1"/>
      <c r="S1338" s="1"/>
      <c r="T1338" s="1"/>
      <c r="U1338" s="4"/>
    </row>
    <row r="1339" spans="1:21" ht="18.75" hidden="1" customHeight="1">
      <c r="A1339" s="46" t="s">
        <v>37</v>
      </c>
      <c r="B1339" s="47" t="s">
        <v>132</v>
      </c>
      <c r="C1339" s="48">
        <f>D1321</f>
        <v>0</v>
      </c>
      <c r="D1339" s="47" t="s">
        <v>44</v>
      </c>
      <c r="E1339" s="49"/>
      <c r="F1339" s="50"/>
      <c r="G1339" s="156"/>
      <c r="H1339" s="49"/>
      <c r="I1339" s="53" t="s">
        <v>46</v>
      </c>
      <c r="J1339" s="54"/>
      <c r="K1339" s="50"/>
      <c r="L1339" s="55"/>
      <c r="M1339" s="63"/>
      <c r="N1339" s="64"/>
      <c r="O1339" s="1"/>
      <c r="P1339" s="3"/>
      <c r="Q1339" s="1"/>
      <c r="R1339" s="1"/>
      <c r="S1339" s="1"/>
      <c r="T1339" s="1"/>
      <c r="U1339" s="4"/>
    </row>
    <row r="1340" spans="1:21" ht="18.75" hidden="1" customHeight="1" thickBot="1">
      <c r="A1340" s="56" t="s">
        <v>48</v>
      </c>
      <c r="B1340" s="57" t="s">
        <v>133</v>
      </c>
      <c r="C1340" s="58">
        <f>ROUND(F1338/10000,0)</f>
        <v>0</v>
      </c>
      <c r="D1340" s="57" t="s">
        <v>50</v>
      </c>
      <c r="E1340" s="52">
        <f>IF(C1340&gt;=8000,5200000,IF(C1340&gt;=5000,2700000,IF(C1340&gt;=200,200000,0)))</f>
        <v>0</v>
      </c>
      <c r="F1340" s="59"/>
      <c r="G1340" s="58"/>
      <c r="H1340" s="52"/>
      <c r="I1340" s="59"/>
      <c r="J1340" s="61"/>
      <c r="K1340" s="59"/>
      <c r="L1340" s="62">
        <f>IF(G1340&gt;=2500,1500000,0)</f>
        <v>0</v>
      </c>
      <c r="M1340" s="63"/>
      <c r="N1340" s="64"/>
      <c r="O1340" s="1"/>
      <c r="P1340" s="3"/>
      <c r="Q1340" s="1"/>
      <c r="R1340" s="1"/>
      <c r="S1340" s="1"/>
      <c r="T1340" s="1"/>
      <c r="U1340" s="4"/>
    </row>
    <row r="1341" spans="1:21" ht="18.75" hidden="1" customHeight="1" thickBot="1">
      <c r="A1341" s="566" t="s">
        <v>52</v>
      </c>
      <c r="B1341" s="567"/>
      <c r="C1341" s="567"/>
      <c r="D1341" s="568"/>
      <c r="E1341" s="65"/>
      <c r="F1341" s="569" t="s">
        <v>53</v>
      </c>
      <c r="G1341" s="568"/>
      <c r="H1341" s="66">
        <f>H1338-J1339</f>
        <v>0</v>
      </c>
      <c r="I1341" s="67">
        <f>H1341*3.3%</f>
        <v>0</v>
      </c>
      <c r="J1341" s="68">
        <f>SUM(J1338)</f>
        <v>0</v>
      </c>
      <c r="K1341" s="69">
        <f>H1341-I1341-J1341</f>
        <v>0</v>
      </c>
      <c r="L1341" s="70">
        <f>L1338+SUM(H1339:H1340)+J1340</f>
        <v>0</v>
      </c>
      <c r="M1341" s="570">
        <f>K1341+L1341</f>
        <v>0</v>
      </c>
      <c r="N1341" s="571"/>
      <c r="O1341" s="1"/>
      <c r="P1341" s="3"/>
      <c r="Q1341" s="1"/>
      <c r="R1341" s="1"/>
      <c r="S1341" s="1"/>
      <c r="T1341" s="1"/>
      <c r="U1341" s="4"/>
    </row>
    <row r="1342" spans="1:21" ht="18.75" hidden="1" customHeight="1">
      <c r="A1342" s="1"/>
      <c r="B1342" s="1"/>
      <c r="C1342" s="1"/>
      <c r="D1342" s="1"/>
      <c r="E1342" s="1"/>
      <c r="F1342" s="1"/>
      <c r="G1342" s="1"/>
      <c r="H1342" s="141"/>
      <c r="I1342" s="1"/>
      <c r="J1342" s="1"/>
      <c r="K1342" s="1"/>
      <c r="L1342" s="1"/>
      <c r="M1342" s="1"/>
      <c r="N1342" s="1"/>
      <c r="O1342" s="1"/>
      <c r="P1342" s="3"/>
      <c r="Q1342" s="1"/>
      <c r="R1342" s="1"/>
      <c r="S1342" s="1"/>
      <c r="T1342" s="1"/>
      <c r="U1342" s="4"/>
    </row>
    <row r="1343" spans="1:21" ht="18.75" hidden="1" customHeight="1">
      <c r="A1343" s="6"/>
      <c r="B1343" s="7" t="str">
        <f>$B$34</f>
        <v>1월</v>
      </c>
      <c r="C1343" s="8" t="s">
        <v>1</v>
      </c>
      <c r="D1343" s="9">
        <f>COUNTIF($C1345:$C1356,"계약")+(COUNTIF($C1345:$C1356,"계약2")*2)</f>
        <v>0</v>
      </c>
      <c r="E1343" s="3">
        <f>COUNTIF(C1345:C1356,"낙찰수수료")</f>
        <v>0</v>
      </c>
      <c r="F1343" s="3"/>
      <c r="G1343" s="1" t="s">
        <v>146</v>
      </c>
      <c r="H1343" s="11">
        <v>0.5</v>
      </c>
      <c r="I1343" s="12">
        <v>3.3000000000000002E-2</v>
      </c>
      <c r="J1343" s="1"/>
      <c r="K1343" s="1"/>
      <c r="L1343" s="1"/>
      <c r="M1343" s="1"/>
      <c r="N1343" s="1"/>
      <c r="O1343" s="1"/>
      <c r="P1343" s="3"/>
      <c r="Q1343" s="1"/>
      <c r="R1343" s="1"/>
      <c r="S1343" s="1"/>
      <c r="T1343" s="1"/>
      <c r="U1343" s="4"/>
    </row>
    <row r="1344" spans="1:21" ht="18.75" hidden="1" customHeight="1">
      <c r="A1344" s="13" t="s">
        <v>3</v>
      </c>
      <c r="B1344" s="14" t="s">
        <v>4</v>
      </c>
      <c r="C1344" s="14" t="s">
        <v>5</v>
      </c>
      <c r="D1344" s="101" t="s">
        <v>6</v>
      </c>
      <c r="E1344" s="16" t="s">
        <v>7</v>
      </c>
      <c r="F1344" s="17" t="s">
        <v>8</v>
      </c>
      <c r="G1344" s="14" t="s">
        <v>9</v>
      </c>
      <c r="H1344" s="15" t="s">
        <v>10</v>
      </c>
      <c r="I1344" s="14" t="s">
        <v>11</v>
      </c>
      <c r="J1344" s="15" t="s">
        <v>12</v>
      </c>
      <c r="K1344" s="14" t="s">
        <v>13</v>
      </c>
      <c r="L1344" s="14" t="s">
        <v>14</v>
      </c>
      <c r="M1344" s="579" t="s">
        <v>15</v>
      </c>
      <c r="N1344" s="577"/>
      <c r="O1344" s="1"/>
      <c r="P1344" s="3"/>
      <c r="Q1344" s="73"/>
      <c r="R1344" s="1"/>
      <c r="S1344" s="1"/>
      <c r="T1344" s="1"/>
      <c r="U1344" s="4"/>
    </row>
    <row r="1345" spans="1:21" ht="18.75" hidden="1" customHeight="1">
      <c r="A1345" s="28"/>
      <c r="B1345" s="29"/>
      <c r="C1345" s="30"/>
      <c r="D1345" s="95"/>
      <c r="E1345" s="27"/>
      <c r="F1345" s="31">
        <f t="shared" ref="F1345:F1351" si="662">IF(D1345="no",E1345,E1345/1.1)</f>
        <v>0</v>
      </c>
      <c r="G1345" s="27">
        <f t="shared" ref="G1345:G1351" si="663">IF(D1345="no",0,F1345*0.1)</f>
        <v>0</v>
      </c>
      <c r="H1345" s="32">
        <f>IF(D1345="no",0,F1345*H1343)</f>
        <v>0</v>
      </c>
      <c r="I1345" s="33">
        <f t="shared" ref="I1345:I1351" si="664">IF(D1345="no",0,H1345*3.3%)</f>
        <v>0</v>
      </c>
      <c r="J1345" s="26"/>
      <c r="K1345" s="27">
        <f t="shared" ref="K1345:K1351" si="665">IF(D1345="no",0,H1345-I1345-J1345)</f>
        <v>0</v>
      </c>
      <c r="L1345" s="27">
        <f>IF(D1345="no",F1345*H1342-J1345,0)</f>
        <v>0</v>
      </c>
      <c r="M1345" s="626"/>
      <c r="N1345" s="581"/>
      <c r="O1345" s="1"/>
      <c r="P1345" s="3"/>
      <c r="Q1345" s="1"/>
      <c r="R1345" s="1"/>
      <c r="S1345" s="1"/>
      <c r="T1345" s="1"/>
      <c r="U1345" s="4"/>
    </row>
    <row r="1346" spans="1:21" ht="18.75" hidden="1" customHeight="1">
      <c r="A1346" s="39"/>
      <c r="B1346" s="29"/>
      <c r="C1346" s="30"/>
      <c r="D1346" s="38"/>
      <c r="E1346" s="27"/>
      <c r="F1346" s="31">
        <f t="shared" si="662"/>
        <v>0</v>
      </c>
      <c r="G1346" s="27">
        <f t="shared" si="663"/>
        <v>0</v>
      </c>
      <c r="H1346" s="32">
        <f>IF(D1346="no",0,F1346*H1343)</f>
        <v>0</v>
      </c>
      <c r="I1346" s="33">
        <f t="shared" si="664"/>
        <v>0</v>
      </c>
      <c r="J1346" s="97"/>
      <c r="K1346" s="27">
        <f t="shared" si="665"/>
        <v>0</v>
      </c>
      <c r="L1346" s="27"/>
      <c r="M1346" s="572"/>
      <c r="N1346" s="564"/>
      <c r="O1346" s="1"/>
      <c r="P1346" s="3"/>
      <c r="Q1346" s="1"/>
      <c r="R1346" s="1"/>
      <c r="S1346" s="1"/>
      <c r="T1346" s="1"/>
      <c r="U1346" s="4"/>
    </row>
    <row r="1347" spans="1:21" ht="18.75" hidden="1" customHeight="1">
      <c r="A1347" s="39"/>
      <c r="B1347" s="127"/>
      <c r="C1347" s="30"/>
      <c r="D1347" s="95"/>
      <c r="E1347" s="102"/>
      <c r="F1347" s="31">
        <f t="shared" si="662"/>
        <v>0</v>
      </c>
      <c r="G1347" s="27">
        <f t="shared" si="663"/>
        <v>0</v>
      </c>
      <c r="H1347" s="32">
        <f>IF(D1347="no",0,F1347*H1343)</f>
        <v>0</v>
      </c>
      <c r="I1347" s="33">
        <f t="shared" si="664"/>
        <v>0</v>
      </c>
      <c r="J1347" s="97"/>
      <c r="K1347" s="27">
        <f t="shared" si="665"/>
        <v>0</v>
      </c>
      <c r="L1347" s="27">
        <f>IF(D1347="no",F1347*H1343-J1347,0)</f>
        <v>0</v>
      </c>
      <c r="M1347" s="563"/>
      <c r="N1347" s="564"/>
      <c r="O1347" s="1"/>
      <c r="P1347" s="3"/>
      <c r="Q1347" s="1"/>
      <c r="R1347" s="1"/>
      <c r="S1347" s="1"/>
      <c r="T1347" s="1"/>
      <c r="U1347" s="4"/>
    </row>
    <row r="1348" spans="1:21" ht="18.75" hidden="1" customHeight="1">
      <c r="A1348" s="39"/>
      <c r="B1348" s="29"/>
      <c r="C1348" s="30"/>
      <c r="D1348" s="38"/>
      <c r="E1348" s="27"/>
      <c r="F1348" s="31">
        <f t="shared" si="662"/>
        <v>0</v>
      </c>
      <c r="G1348" s="27">
        <f t="shared" si="663"/>
        <v>0</v>
      </c>
      <c r="H1348" s="32">
        <f>IF(D1348="no",0,F1348*H1343)</f>
        <v>0</v>
      </c>
      <c r="I1348" s="33">
        <f t="shared" si="664"/>
        <v>0</v>
      </c>
      <c r="J1348" s="97"/>
      <c r="K1348" s="27">
        <f t="shared" si="665"/>
        <v>0</v>
      </c>
      <c r="L1348" s="27">
        <f>IF(D1348="no",F1348*H1343-J1348,0)</f>
        <v>0</v>
      </c>
      <c r="M1348" s="572"/>
      <c r="N1348" s="564"/>
      <c r="O1348" s="1"/>
      <c r="P1348" s="3"/>
      <c r="Q1348" s="1"/>
      <c r="R1348" s="1"/>
      <c r="S1348" s="1"/>
      <c r="T1348" s="1"/>
      <c r="U1348" s="4"/>
    </row>
    <row r="1349" spans="1:21" ht="18.75" hidden="1" customHeight="1">
      <c r="A1349" s="28"/>
      <c r="B1349" s="29"/>
      <c r="C1349" s="30"/>
      <c r="D1349" s="38"/>
      <c r="E1349" s="27"/>
      <c r="F1349" s="31">
        <f t="shared" si="662"/>
        <v>0</v>
      </c>
      <c r="G1349" s="27">
        <f t="shared" si="663"/>
        <v>0</v>
      </c>
      <c r="H1349" s="32">
        <f>IF(D1349="no",0,F1349*H1343)</f>
        <v>0</v>
      </c>
      <c r="I1349" s="33">
        <f t="shared" si="664"/>
        <v>0</v>
      </c>
      <c r="J1349" s="97"/>
      <c r="K1349" s="27">
        <f t="shared" si="665"/>
        <v>0</v>
      </c>
      <c r="L1349" s="27">
        <f t="shared" ref="L1349:L1350" si="666">IF(D1349="no",F1349*H1343-J1349,0)</f>
        <v>0</v>
      </c>
      <c r="M1349" s="563"/>
      <c r="N1349" s="564"/>
      <c r="O1349" s="1"/>
      <c r="P1349" s="3"/>
      <c r="Q1349" s="1"/>
      <c r="R1349" s="1"/>
      <c r="S1349" s="1"/>
      <c r="T1349" s="1"/>
      <c r="U1349" s="4"/>
    </row>
    <row r="1350" spans="1:21" ht="18.75" hidden="1" customHeight="1">
      <c r="A1350" s="28"/>
      <c r="B1350" s="29"/>
      <c r="C1350" s="30"/>
      <c r="D1350" s="21"/>
      <c r="E1350" s="27"/>
      <c r="F1350" s="31">
        <f t="shared" si="662"/>
        <v>0</v>
      </c>
      <c r="G1350" s="27">
        <f t="shared" si="663"/>
        <v>0</v>
      </c>
      <c r="H1350" s="32">
        <f t="shared" ref="H1350:H1351" si="667">IF(D1350="no",0,F1350*H1348)</f>
        <v>0</v>
      </c>
      <c r="I1350" s="33">
        <f t="shared" si="664"/>
        <v>0</v>
      </c>
      <c r="J1350" s="97"/>
      <c r="K1350" s="27">
        <f t="shared" si="665"/>
        <v>0</v>
      </c>
      <c r="L1350" s="27">
        <f t="shared" si="666"/>
        <v>0</v>
      </c>
      <c r="M1350" s="572"/>
      <c r="N1350" s="564"/>
      <c r="O1350" s="1"/>
      <c r="P1350" s="3"/>
      <c r="Q1350" s="1"/>
      <c r="R1350" s="1"/>
      <c r="S1350" s="1"/>
      <c r="T1350" s="1"/>
      <c r="U1350" s="4"/>
    </row>
    <row r="1351" spans="1:21" ht="18.75" hidden="1" customHeight="1">
      <c r="A1351" s="28"/>
      <c r="B1351" s="29"/>
      <c r="C1351" s="30"/>
      <c r="D1351" s="38"/>
      <c r="E1351" s="27"/>
      <c r="F1351" s="31">
        <f t="shared" si="662"/>
        <v>0</v>
      </c>
      <c r="G1351" s="27">
        <f t="shared" si="663"/>
        <v>0</v>
      </c>
      <c r="H1351" s="32">
        <f t="shared" si="667"/>
        <v>0</v>
      </c>
      <c r="I1351" s="33">
        <f t="shared" si="664"/>
        <v>0</v>
      </c>
      <c r="J1351" s="97"/>
      <c r="K1351" s="27">
        <f t="shared" si="665"/>
        <v>0</v>
      </c>
      <c r="L1351" s="27">
        <f>IF(D1351="no",F1351*H1343-J1351,0)</f>
        <v>0</v>
      </c>
      <c r="M1351" s="563"/>
      <c r="N1351" s="564"/>
      <c r="O1351" s="1"/>
      <c r="P1351" s="3"/>
      <c r="Q1351" s="1"/>
      <c r="R1351" s="1"/>
      <c r="S1351" s="1"/>
      <c r="T1351" s="1"/>
      <c r="U1351" s="4"/>
    </row>
    <row r="1352" spans="1:21" ht="18.75" hidden="1" customHeight="1">
      <c r="A1352" s="28"/>
      <c r="B1352" s="29"/>
      <c r="C1352" s="30"/>
      <c r="D1352" s="38"/>
      <c r="E1352" s="27"/>
      <c r="F1352" s="31"/>
      <c r="G1352" s="27"/>
      <c r="H1352" s="32"/>
      <c r="I1352" s="33"/>
      <c r="J1352" s="97"/>
      <c r="K1352" s="27"/>
      <c r="L1352" s="27"/>
      <c r="M1352" s="563"/>
      <c r="N1352" s="564"/>
      <c r="O1352" s="1"/>
      <c r="P1352" s="3"/>
      <c r="Q1352" s="1"/>
      <c r="R1352" s="1"/>
      <c r="S1352" s="1"/>
      <c r="T1352" s="1"/>
      <c r="U1352" s="4"/>
    </row>
    <row r="1353" spans="1:21" ht="18.75" hidden="1" customHeight="1">
      <c r="A1353" s="28"/>
      <c r="B1353" s="29"/>
      <c r="C1353" s="30"/>
      <c r="D1353" s="38"/>
      <c r="E1353" s="27"/>
      <c r="F1353" s="31">
        <f t="shared" ref="F1353:F1356" si="668">IF(D1353="no",E1353,E1353/1.1)</f>
        <v>0</v>
      </c>
      <c r="G1353" s="27">
        <f t="shared" ref="G1353:G1356" si="669">IF(D1353="no",0,F1353*0.1)</f>
        <v>0</v>
      </c>
      <c r="H1353" s="32"/>
      <c r="I1353" s="33">
        <f t="shared" ref="I1353:I1356" si="670">IF(D1353="no",0,H1353*3.3%)</f>
        <v>0</v>
      </c>
      <c r="J1353" s="26"/>
      <c r="K1353" s="27">
        <f t="shared" ref="K1353:K1356" si="671">IF(D1353="no",0,H1353-I1353-J1353)</f>
        <v>0</v>
      </c>
      <c r="L1353" s="27">
        <f t="shared" ref="L1353:L1354" si="672">IF(D1353="no",F1353*H1343-J1353,0)</f>
        <v>0</v>
      </c>
      <c r="M1353" s="584"/>
      <c r="N1353" s="564"/>
      <c r="O1353" s="1"/>
      <c r="P1353" s="3"/>
      <c r="Q1353" s="1"/>
      <c r="R1353" s="1"/>
      <c r="S1353" s="1"/>
      <c r="T1353" s="1"/>
      <c r="U1353" s="4"/>
    </row>
    <row r="1354" spans="1:21" ht="18.75" hidden="1" customHeight="1">
      <c r="A1354" s="28" t="s">
        <v>147</v>
      </c>
      <c r="B1354" s="29" t="s">
        <v>35</v>
      </c>
      <c r="C1354" s="30"/>
      <c r="D1354" s="21"/>
      <c r="E1354" s="27"/>
      <c r="F1354" s="31">
        <f t="shared" si="668"/>
        <v>0</v>
      </c>
      <c r="G1354" s="27">
        <f t="shared" si="669"/>
        <v>0</v>
      </c>
      <c r="H1354" s="32">
        <f t="shared" ref="H1354:H1355" si="673">IF(D1354="no",0,F1354*H1342)</f>
        <v>0</v>
      </c>
      <c r="I1354" s="33">
        <f t="shared" si="670"/>
        <v>0</v>
      </c>
      <c r="J1354" s="26"/>
      <c r="K1354" s="27">
        <f t="shared" si="671"/>
        <v>0</v>
      </c>
      <c r="L1354" s="27">
        <f t="shared" si="672"/>
        <v>0</v>
      </c>
      <c r="M1354" s="572"/>
      <c r="N1354" s="564"/>
      <c r="O1354" s="1"/>
      <c r="P1354" s="3"/>
      <c r="Q1354" s="1"/>
      <c r="R1354" s="1"/>
      <c r="S1354" s="1"/>
      <c r="T1354" s="1"/>
      <c r="U1354" s="4"/>
    </row>
    <row r="1355" spans="1:21" ht="18.75" hidden="1" customHeight="1">
      <c r="A1355" s="28" t="s">
        <v>147</v>
      </c>
      <c r="B1355" s="29" t="s">
        <v>61</v>
      </c>
      <c r="C1355" s="30"/>
      <c r="D1355" s="38"/>
      <c r="E1355" s="27"/>
      <c r="F1355" s="31">
        <f t="shared" si="668"/>
        <v>0</v>
      </c>
      <c r="G1355" s="27">
        <f t="shared" si="669"/>
        <v>0</v>
      </c>
      <c r="H1355" s="32">
        <f t="shared" si="673"/>
        <v>0</v>
      </c>
      <c r="I1355" s="33">
        <f t="shared" si="670"/>
        <v>0</v>
      </c>
      <c r="J1355" s="26"/>
      <c r="K1355" s="27">
        <f t="shared" si="671"/>
        <v>0</v>
      </c>
      <c r="L1355" s="27">
        <f>IF(D1355="no",F1355*H1343-J1355,0)</f>
        <v>0</v>
      </c>
      <c r="M1355" s="585"/>
      <c r="N1355" s="564"/>
      <c r="O1355" s="1"/>
      <c r="P1355" s="3"/>
      <c r="Q1355" s="1"/>
      <c r="R1355" s="1"/>
      <c r="S1355" s="1"/>
      <c r="T1355" s="1"/>
      <c r="U1355" s="4"/>
    </row>
    <row r="1356" spans="1:21" ht="18.75" hidden="1" customHeight="1">
      <c r="A1356" s="28" t="s">
        <v>147</v>
      </c>
      <c r="B1356" s="29" t="s">
        <v>37</v>
      </c>
      <c r="C1356" s="30"/>
      <c r="D1356" s="21"/>
      <c r="E1356" s="27"/>
      <c r="F1356" s="31">
        <f t="shared" si="668"/>
        <v>0</v>
      </c>
      <c r="G1356" s="27">
        <f t="shared" si="669"/>
        <v>0</v>
      </c>
      <c r="H1356" s="37">
        <f>(E1358+E1359+N1358)/0.967</f>
        <v>0</v>
      </c>
      <c r="I1356" s="33">
        <f t="shared" si="670"/>
        <v>0</v>
      </c>
      <c r="J1356" s="26"/>
      <c r="K1356" s="27">
        <f t="shared" si="671"/>
        <v>0</v>
      </c>
      <c r="L1356" s="27"/>
      <c r="M1356" s="625"/>
      <c r="N1356" s="601"/>
      <c r="O1356" s="1"/>
      <c r="P1356" s="3"/>
      <c r="Q1356" s="1"/>
      <c r="R1356" s="1"/>
      <c r="S1356" s="1"/>
      <c r="T1356" s="1"/>
      <c r="U1356" s="4"/>
    </row>
    <row r="1357" spans="1:21" ht="18.75" hidden="1" customHeight="1">
      <c r="A1357" s="575" t="s">
        <v>42</v>
      </c>
      <c r="B1357" s="576"/>
      <c r="C1357" s="576"/>
      <c r="D1357" s="577"/>
      <c r="E1357" s="42">
        <f t="shared" ref="E1357:L1357" si="674">SUM(E1345:E1356)</f>
        <v>0</v>
      </c>
      <c r="F1357" s="17">
        <f t="shared" si="674"/>
        <v>0</v>
      </c>
      <c r="G1357" s="42">
        <f t="shared" si="674"/>
        <v>0</v>
      </c>
      <c r="H1357" s="43">
        <f t="shared" si="674"/>
        <v>0</v>
      </c>
      <c r="I1357" s="42">
        <f t="shared" si="674"/>
        <v>0</v>
      </c>
      <c r="J1357" s="43">
        <f t="shared" si="674"/>
        <v>0</v>
      </c>
      <c r="K1357" s="42">
        <f t="shared" si="674"/>
        <v>0</v>
      </c>
      <c r="L1357" s="42">
        <f t="shared" si="674"/>
        <v>0</v>
      </c>
      <c r="M1357" s="44"/>
      <c r="N1357" s="45"/>
      <c r="O1357" s="1"/>
      <c r="P1357" s="3"/>
      <c r="Q1357" s="1"/>
      <c r="R1357" s="1"/>
      <c r="S1357" s="1"/>
      <c r="T1357" s="1"/>
      <c r="U1357" s="4"/>
    </row>
    <row r="1358" spans="1:21" ht="18.75" hidden="1" customHeight="1">
      <c r="A1358" s="46" t="s">
        <v>37</v>
      </c>
      <c r="B1358" s="47" t="s">
        <v>132</v>
      </c>
      <c r="C1358" s="48">
        <f>D1343</f>
        <v>0</v>
      </c>
      <c r="D1358" s="47" t="s">
        <v>44</v>
      </c>
      <c r="E1358" s="49"/>
      <c r="F1358" s="84"/>
      <c r="G1358" s="85"/>
      <c r="H1358" s="49"/>
      <c r="I1358" s="53" t="s">
        <v>46</v>
      </c>
      <c r="J1358" s="54"/>
      <c r="K1358" s="50"/>
      <c r="L1358" s="55"/>
      <c r="M1358" s="63"/>
      <c r="N1358" s="64"/>
      <c r="O1358" s="1"/>
      <c r="P1358" s="3"/>
      <c r="Q1358" s="1"/>
      <c r="R1358" s="1"/>
      <c r="S1358" s="1"/>
      <c r="T1358" s="1"/>
      <c r="U1358" s="4"/>
    </row>
    <row r="1359" spans="1:21" ht="18.75" hidden="1" customHeight="1" thickBot="1">
      <c r="A1359" s="56" t="s">
        <v>48</v>
      </c>
      <c r="B1359" s="57" t="s">
        <v>133</v>
      </c>
      <c r="C1359" s="58">
        <f>ROUND(F1357/10000,0)</f>
        <v>0</v>
      </c>
      <c r="D1359" s="57" t="s">
        <v>50</v>
      </c>
      <c r="E1359" s="52">
        <f>IF(C1359&gt;=8000,5200000,IF(C1359&gt;=5000,2700000,IF(C1359&gt;=200,200000,0)))</f>
        <v>0</v>
      </c>
      <c r="F1359" s="86"/>
      <c r="G1359" s="87"/>
      <c r="H1359" s="52"/>
      <c r="I1359" s="59"/>
      <c r="J1359" s="61"/>
      <c r="K1359" s="59"/>
      <c r="L1359" s="62"/>
      <c r="M1359" s="63"/>
      <c r="N1359" s="64"/>
      <c r="O1359" s="1"/>
      <c r="P1359" s="3"/>
      <c r="Q1359" s="1"/>
      <c r="R1359" s="1"/>
      <c r="S1359" s="1"/>
      <c r="T1359" s="1"/>
      <c r="U1359" s="4"/>
    </row>
    <row r="1360" spans="1:21" ht="18.75" hidden="1" customHeight="1" thickBot="1">
      <c r="A1360" s="566" t="s">
        <v>52</v>
      </c>
      <c r="B1360" s="567"/>
      <c r="C1360" s="567"/>
      <c r="D1360" s="568"/>
      <c r="E1360" s="65"/>
      <c r="F1360" s="569" t="s">
        <v>53</v>
      </c>
      <c r="G1360" s="568"/>
      <c r="H1360" s="66">
        <f>H1357-J1358</f>
        <v>0</v>
      </c>
      <c r="I1360" s="67">
        <f>H1360*3.3%</f>
        <v>0</v>
      </c>
      <c r="J1360" s="68">
        <f>SUM(J1357)</f>
        <v>0</v>
      </c>
      <c r="K1360" s="69">
        <f>H1360-I1360-J1360</f>
        <v>0</v>
      </c>
      <c r="L1360" s="70">
        <f>L1357+SUM(H1358:H1359)+J1359</f>
        <v>0</v>
      </c>
      <c r="M1360" s="570">
        <f>K1360+L1360</f>
        <v>0</v>
      </c>
      <c r="N1360" s="571"/>
      <c r="O1360" s="1"/>
      <c r="P1360" s="3"/>
      <c r="Q1360" s="1"/>
      <c r="R1360" s="1"/>
      <c r="S1360" s="1"/>
      <c r="T1360" s="1"/>
      <c r="U1360" s="4"/>
    </row>
    <row r="1361" spans="1:21" ht="18.75" hidden="1" customHeight="1">
      <c r="A1361" s="1"/>
      <c r="B1361" s="1"/>
      <c r="C1361" s="1"/>
      <c r="D1361" s="1"/>
      <c r="E1361" s="1"/>
      <c r="F1361" s="1"/>
      <c r="G1361" s="1"/>
      <c r="H1361" s="82"/>
      <c r="I1361" s="1"/>
      <c r="J1361" s="1"/>
      <c r="K1361" s="1"/>
      <c r="L1361" s="1"/>
      <c r="M1361" s="1"/>
      <c r="N1361" s="1"/>
      <c r="O1361" s="1"/>
      <c r="P1361" s="3"/>
      <c r="Q1361" s="1"/>
      <c r="R1361" s="1"/>
      <c r="S1361" s="1"/>
      <c r="T1361" s="1"/>
      <c r="U1361" s="4"/>
    </row>
    <row r="1362" spans="1:21" ht="18.75" hidden="1" customHeight="1">
      <c r="A1362" s="6"/>
      <c r="B1362" s="7" t="str">
        <f>$B$34</f>
        <v>1월</v>
      </c>
      <c r="C1362" s="8" t="s">
        <v>1</v>
      </c>
      <c r="D1362" s="9">
        <f>COUNTIF($C1364:$C1373,"계약")+(COUNTIF($C1364:$C1373,"계약2")*2)</f>
        <v>0</v>
      </c>
      <c r="E1362" s="3">
        <f>COUNTIF(C1364:C1373,"낙찰수수료")</f>
        <v>0</v>
      </c>
      <c r="F1362" s="3"/>
      <c r="G1362" s="1" t="s">
        <v>148</v>
      </c>
      <c r="H1362" s="123">
        <v>0.4</v>
      </c>
      <c r="I1362" s="12">
        <v>3.3000000000000002E-2</v>
      </c>
      <c r="J1362" s="1"/>
      <c r="K1362" s="1"/>
      <c r="L1362" s="1"/>
      <c r="M1362" s="1"/>
      <c r="N1362" s="1"/>
      <c r="O1362" s="1"/>
      <c r="P1362" s="3"/>
      <c r="Q1362" s="1"/>
      <c r="R1362" s="1"/>
      <c r="S1362" s="1"/>
      <c r="T1362" s="1"/>
      <c r="U1362" s="4"/>
    </row>
    <row r="1363" spans="1:21" ht="18.75" hidden="1" customHeight="1">
      <c r="A1363" s="13" t="s">
        <v>3</v>
      </c>
      <c r="B1363" s="14" t="s">
        <v>4</v>
      </c>
      <c r="C1363" s="14" t="s">
        <v>5</v>
      </c>
      <c r="D1363" s="101" t="s">
        <v>6</v>
      </c>
      <c r="E1363" s="16" t="s">
        <v>7</v>
      </c>
      <c r="F1363" s="17" t="s">
        <v>8</v>
      </c>
      <c r="G1363" s="14" t="s">
        <v>9</v>
      </c>
      <c r="H1363" s="15" t="s">
        <v>10</v>
      </c>
      <c r="I1363" s="14" t="s">
        <v>11</v>
      </c>
      <c r="J1363" s="15" t="s">
        <v>12</v>
      </c>
      <c r="K1363" s="14" t="s">
        <v>13</v>
      </c>
      <c r="L1363" s="14" t="s">
        <v>14</v>
      </c>
      <c r="M1363" s="579" t="s">
        <v>15</v>
      </c>
      <c r="N1363" s="577"/>
      <c r="O1363" s="1"/>
      <c r="P1363" s="3"/>
      <c r="Q1363" s="73"/>
      <c r="R1363" s="1"/>
      <c r="S1363" s="1"/>
      <c r="T1363" s="1"/>
      <c r="U1363" s="4"/>
    </row>
    <row r="1364" spans="1:21" ht="18.75" hidden="1" customHeight="1">
      <c r="A1364" s="28"/>
      <c r="B1364" s="29"/>
      <c r="C1364" s="30"/>
      <c r="D1364" s="38"/>
      <c r="E1364" s="27"/>
      <c r="F1364" s="31">
        <f t="shared" ref="F1364:F1372" si="675">IF(D1364="no",E1364,E1364/1.1)</f>
        <v>0</v>
      </c>
      <c r="G1364" s="27">
        <f t="shared" ref="G1364:G1372" si="676">IF(D1364="no",0,F1364*0.1)</f>
        <v>0</v>
      </c>
      <c r="H1364" s="32">
        <f>IF(D1364="no",0,F1364*H1362)</f>
        <v>0</v>
      </c>
      <c r="I1364" s="33">
        <f t="shared" ref="I1364:I1373" si="677">IF(D1364="no",0,H1364*3.3%)</f>
        <v>0</v>
      </c>
      <c r="J1364" s="26"/>
      <c r="K1364" s="27">
        <f t="shared" ref="K1364:K1373" si="678">IF(D1364="no",0,H1364-I1364-J1364)</f>
        <v>0</v>
      </c>
      <c r="L1364" s="27">
        <f>IF(D1364="no",F1364*H1362-J1364,0)</f>
        <v>0</v>
      </c>
      <c r="M1364" s="578"/>
      <c r="N1364" s="564"/>
      <c r="O1364" s="1"/>
      <c r="P1364" s="3"/>
      <c r="Q1364" s="1"/>
      <c r="R1364" s="1"/>
      <c r="S1364" s="1"/>
      <c r="T1364" s="1"/>
      <c r="U1364" s="4"/>
    </row>
    <row r="1365" spans="1:21" ht="18.75" hidden="1" customHeight="1">
      <c r="A1365" s="28"/>
      <c r="B1365" s="29"/>
      <c r="C1365" s="30"/>
      <c r="D1365" s="38"/>
      <c r="E1365" s="27"/>
      <c r="F1365" s="31">
        <f t="shared" si="675"/>
        <v>0</v>
      </c>
      <c r="G1365" s="27">
        <f t="shared" si="676"/>
        <v>0</v>
      </c>
      <c r="H1365" s="32">
        <f>IF(D1365="no",0,F1365*H1362)</f>
        <v>0</v>
      </c>
      <c r="I1365" s="33">
        <f t="shared" si="677"/>
        <v>0</v>
      </c>
      <c r="J1365" s="26"/>
      <c r="K1365" s="27">
        <f t="shared" si="678"/>
        <v>0</v>
      </c>
      <c r="L1365" s="27">
        <f>IF(D1365="no",F1365*H1362-J1365,0)</f>
        <v>0</v>
      </c>
      <c r="M1365" s="572"/>
      <c r="N1365" s="564"/>
      <c r="O1365" s="1"/>
      <c r="P1365" s="3"/>
      <c r="Q1365" s="1"/>
      <c r="R1365" s="1"/>
      <c r="S1365" s="1"/>
      <c r="T1365" s="1"/>
      <c r="U1365" s="4"/>
    </row>
    <row r="1366" spans="1:21" ht="18.75" hidden="1" customHeight="1">
      <c r="A1366" s="28"/>
      <c r="B1366" s="29"/>
      <c r="C1366" s="30"/>
      <c r="D1366" s="38"/>
      <c r="E1366" s="27"/>
      <c r="F1366" s="31">
        <f t="shared" si="675"/>
        <v>0</v>
      </c>
      <c r="G1366" s="27">
        <f t="shared" si="676"/>
        <v>0</v>
      </c>
      <c r="H1366" s="32">
        <f>IF(D1366="no",0,F1366*H1361)</f>
        <v>0</v>
      </c>
      <c r="I1366" s="33">
        <f t="shared" si="677"/>
        <v>0</v>
      </c>
      <c r="J1366" s="26"/>
      <c r="K1366" s="27">
        <f t="shared" si="678"/>
        <v>0</v>
      </c>
      <c r="L1366" s="27">
        <f>IF(D1366="no",F1366*H1362-J1366,0)</f>
        <v>0</v>
      </c>
      <c r="M1366" s="578"/>
      <c r="N1366" s="564"/>
      <c r="O1366" s="1"/>
      <c r="P1366" s="3"/>
      <c r="Q1366" s="1"/>
      <c r="R1366" s="1"/>
      <c r="S1366" s="1"/>
      <c r="T1366" s="1"/>
      <c r="U1366" s="4"/>
    </row>
    <row r="1367" spans="1:21" ht="18.75" hidden="1" customHeight="1">
      <c r="A1367" s="28"/>
      <c r="B1367" s="29"/>
      <c r="C1367" s="30"/>
      <c r="D1367" s="38"/>
      <c r="E1367" s="27"/>
      <c r="F1367" s="31">
        <f t="shared" si="675"/>
        <v>0</v>
      </c>
      <c r="G1367" s="27">
        <f t="shared" si="676"/>
        <v>0</v>
      </c>
      <c r="H1367" s="32">
        <f t="shared" ref="H1367:H1368" si="679">IF(D1367="no",0,F1367*H1361)</f>
        <v>0</v>
      </c>
      <c r="I1367" s="33">
        <f t="shared" si="677"/>
        <v>0</v>
      </c>
      <c r="J1367" s="26"/>
      <c r="K1367" s="27">
        <f t="shared" si="678"/>
        <v>0</v>
      </c>
      <c r="L1367" s="27">
        <f>IF(D1367="no",F1367*H1362-J1367,0)</f>
        <v>0</v>
      </c>
      <c r="M1367" s="563"/>
      <c r="N1367" s="564"/>
      <c r="O1367" s="1"/>
      <c r="P1367" s="3"/>
      <c r="Q1367" s="1"/>
      <c r="R1367" s="1"/>
      <c r="S1367" s="1"/>
      <c r="T1367" s="1"/>
      <c r="U1367" s="4"/>
    </row>
    <row r="1368" spans="1:21" ht="18.75" hidden="1" customHeight="1">
      <c r="A1368" s="28"/>
      <c r="B1368" s="29"/>
      <c r="C1368" s="30"/>
      <c r="D1368" s="38"/>
      <c r="E1368" s="27"/>
      <c r="F1368" s="31">
        <f t="shared" si="675"/>
        <v>0</v>
      </c>
      <c r="G1368" s="27">
        <f t="shared" si="676"/>
        <v>0</v>
      </c>
      <c r="H1368" s="32">
        <f t="shared" si="679"/>
        <v>0</v>
      </c>
      <c r="I1368" s="33">
        <f t="shared" si="677"/>
        <v>0</v>
      </c>
      <c r="J1368" s="26"/>
      <c r="K1368" s="27">
        <f t="shared" si="678"/>
        <v>0</v>
      </c>
      <c r="L1368" s="27">
        <f>IF(D1368="no",F1368*H1362-J1368,0)</f>
        <v>0</v>
      </c>
      <c r="M1368" s="585"/>
      <c r="N1368" s="564"/>
      <c r="O1368" s="1"/>
      <c r="P1368" s="3"/>
      <c r="Q1368" s="1"/>
      <c r="R1368" s="1"/>
      <c r="S1368" s="1"/>
      <c r="T1368" s="1"/>
      <c r="U1368" s="4"/>
    </row>
    <row r="1369" spans="1:21" ht="18.75" hidden="1" customHeight="1">
      <c r="A1369" s="28"/>
      <c r="B1369" s="29"/>
      <c r="C1369" s="30"/>
      <c r="D1369" s="21"/>
      <c r="E1369" s="27"/>
      <c r="F1369" s="31">
        <f t="shared" si="675"/>
        <v>0</v>
      </c>
      <c r="G1369" s="27">
        <f t="shared" si="676"/>
        <v>0</v>
      </c>
      <c r="H1369" s="32"/>
      <c r="I1369" s="33">
        <f t="shared" si="677"/>
        <v>0</v>
      </c>
      <c r="J1369" s="26"/>
      <c r="K1369" s="27">
        <f t="shared" si="678"/>
        <v>0</v>
      </c>
      <c r="L1369" s="1"/>
      <c r="M1369" s="573"/>
      <c r="N1369" s="564"/>
      <c r="O1369" s="1"/>
      <c r="P1369" s="3"/>
      <c r="Q1369" s="1"/>
      <c r="R1369" s="1"/>
      <c r="S1369" s="1"/>
      <c r="T1369" s="1"/>
      <c r="U1369" s="4"/>
    </row>
    <row r="1370" spans="1:21" ht="18.75" hidden="1" customHeight="1">
      <c r="A1370" s="28"/>
      <c r="B1370" s="29"/>
      <c r="C1370" s="30"/>
      <c r="D1370" s="21"/>
      <c r="E1370" s="27"/>
      <c r="F1370" s="31">
        <f t="shared" si="675"/>
        <v>0</v>
      </c>
      <c r="G1370" s="27">
        <f t="shared" si="676"/>
        <v>0</v>
      </c>
      <c r="H1370" s="32">
        <f>IF(D1370="no",0,F1370*H1362)</f>
        <v>0</v>
      </c>
      <c r="I1370" s="33">
        <f t="shared" si="677"/>
        <v>0</v>
      </c>
      <c r="J1370" s="26"/>
      <c r="K1370" s="27">
        <f t="shared" si="678"/>
        <v>0</v>
      </c>
      <c r="L1370" s="27">
        <f>IF(D1370="no",F1370*H1364-J1370,0)</f>
        <v>0</v>
      </c>
      <c r="M1370" s="572"/>
      <c r="N1370" s="564"/>
      <c r="O1370" s="1"/>
      <c r="P1370" s="3"/>
      <c r="Q1370" s="1"/>
      <c r="R1370" s="1"/>
      <c r="S1370" s="1"/>
      <c r="T1370" s="1"/>
      <c r="U1370" s="4"/>
    </row>
    <row r="1371" spans="1:21" ht="18.75" hidden="1" customHeight="1">
      <c r="A1371" s="28" t="s">
        <v>149</v>
      </c>
      <c r="B1371" s="29" t="s">
        <v>61</v>
      </c>
      <c r="C1371" s="30"/>
      <c r="D1371" s="21"/>
      <c r="E1371" s="27"/>
      <c r="F1371" s="31">
        <f t="shared" si="675"/>
        <v>0</v>
      </c>
      <c r="G1371" s="27">
        <f t="shared" si="676"/>
        <v>0</v>
      </c>
      <c r="H1371" s="37">
        <f>(E1375+E1376+N1375)/0.967</f>
        <v>0</v>
      </c>
      <c r="I1371" s="33">
        <f t="shared" si="677"/>
        <v>0</v>
      </c>
      <c r="J1371" s="26"/>
      <c r="K1371" s="27">
        <f t="shared" si="678"/>
        <v>0</v>
      </c>
      <c r="L1371" s="27"/>
      <c r="M1371" s="572"/>
      <c r="N1371" s="564"/>
      <c r="O1371" s="1"/>
      <c r="P1371" s="3"/>
      <c r="Q1371" s="1"/>
      <c r="R1371" s="1"/>
      <c r="S1371" s="1"/>
      <c r="T1371" s="1"/>
      <c r="U1371" s="4"/>
    </row>
    <row r="1372" spans="1:21" ht="18.75" hidden="1" customHeight="1">
      <c r="A1372" s="39" t="s">
        <v>149</v>
      </c>
      <c r="B1372" s="29" t="s">
        <v>35</v>
      </c>
      <c r="C1372" s="30"/>
      <c r="D1372" s="38"/>
      <c r="E1372" s="27"/>
      <c r="F1372" s="31">
        <f t="shared" si="675"/>
        <v>0</v>
      </c>
      <c r="G1372" s="27">
        <f t="shared" si="676"/>
        <v>0</v>
      </c>
      <c r="H1372" s="37">
        <f t="shared" ref="H1372:H1373" si="680">L1376/0.967</f>
        <v>0</v>
      </c>
      <c r="I1372" s="33">
        <f t="shared" si="677"/>
        <v>0</v>
      </c>
      <c r="J1372" s="26"/>
      <c r="K1372" s="27">
        <f t="shared" si="678"/>
        <v>0</v>
      </c>
      <c r="L1372" s="27">
        <f>IF(D1372="no",F1372*H1160-J1372,0)</f>
        <v>0</v>
      </c>
      <c r="M1372" s="563"/>
      <c r="N1372" s="564"/>
      <c r="O1372" s="1"/>
      <c r="P1372" s="3"/>
      <c r="Q1372" s="1"/>
      <c r="R1372" s="1"/>
      <c r="S1372" s="1"/>
      <c r="T1372" s="1"/>
      <c r="U1372" s="4"/>
    </row>
    <row r="1373" spans="1:21" ht="18.75" hidden="1" customHeight="1">
      <c r="A1373" s="39" t="s">
        <v>149</v>
      </c>
      <c r="B1373" s="29" t="s">
        <v>37</v>
      </c>
      <c r="C1373" s="30"/>
      <c r="D1373" s="38"/>
      <c r="E1373" s="27"/>
      <c r="F1373" s="31"/>
      <c r="G1373" s="27"/>
      <c r="H1373" s="37">
        <f t="shared" si="680"/>
        <v>0</v>
      </c>
      <c r="I1373" s="33">
        <f t="shared" si="677"/>
        <v>0</v>
      </c>
      <c r="J1373" s="26"/>
      <c r="K1373" s="27">
        <f t="shared" si="678"/>
        <v>0</v>
      </c>
      <c r="L1373" s="27"/>
      <c r="M1373" s="563"/>
      <c r="N1373" s="564"/>
      <c r="O1373" s="1"/>
      <c r="P1373" s="3"/>
      <c r="Q1373" s="1"/>
      <c r="R1373" s="1"/>
      <c r="S1373" s="1"/>
      <c r="T1373" s="1"/>
      <c r="U1373" s="4"/>
    </row>
    <row r="1374" spans="1:21" ht="18.75" hidden="1" customHeight="1">
      <c r="A1374" s="575" t="s">
        <v>42</v>
      </c>
      <c r="B1374" s="576"/>
      <c r="C1374" s="576"/>
      <c r="D1374" s="577"/>
      <c r="E1374" s="42">
        <f t="shared" ref="E1374:L1374" si="681">SUM(E1364:E1373)</f>
        <v>0</v>
      </c>
      <c r="F1374" s="17">
        <f t="shared" si="681"/>
        <v>0</v>
      </c>
      <c r="G1374" s="42">
        <f t="shared" si="681"/>
        <v>0</v>
      </c>
      <c r="H1374" s="43">
        <f t="shared" si="681"/>
        <v>0</v>
      </c>
      <c r="I1374" s="42">
        <f t="shared" si="681"/>
        <v>0</v>
      </c>
      <c r="J1374" s="43">
        <f t="shared" si="681"/>
        <v>0</v>
      </c>
      <c r="K1374" s="42">
        <f t="shared" si="681"/>
        <v>0</v>
      </c>
      <c r="L1374" s="42">
        <f t="shared" si="681"/>
        <v>0</v>
      </c>
      <c r="M1374" s="44"/>
      <c r="N1374" s="45"/>
      <c r="O1374" s="1"/>
      <c r="P1374" s="3"/>
      <c r="Q1374" s="1"/>
      <c r="R1374" s="1"/>
      <c r="S1374" s="1"/>
      <c r="T1374" s="1"/>
      <c r="U1374" s="4"/>
    </row>
    <row r="1375" spans="1:21" ht="18.75" hidden="1" customHeight="1">
      <c r="A1375" s="46" t="s">
        <v>37</v>
      </c>
      <c r="B1375" s="47" t="s">
        <v>43</v>
      </c>
      <c r="C1375" s="48">
        <f>D1362</f>
        <v>0</v>
      </c>
      <c r="D1375" s="47" t="s">
        <v>44</v>
      </c>
      <c r="E1375" s="49"/>
      <c r="F1375" s="84"/>
      <c r="G1375" s="85"/>
      <c r="H1375" s="49"/>
      <c r="I1375" s="53" t="s">
        <v>46</v>
      </c>
      <c r="J1375" s="54"/>
      <c r="K1375" s="50"/>
      <c r="L1375" s="55"/>
      <c r="M1375" s="59"/>
      <c r="N1375" s="64"/>
      <c r="O1375" s="1"/>
      <c r="P1375" s="3"/>
      <c r="Q1375" s="1"/>
      <c r="R1375" s="1"/>
      <c r="S1375" s="1"/>
      <c r="T1375" s="1"/>
      <c r="U1375" s="4"/>
    </row>
    <row r="1376" spans="1:21" ht="18.75" hidden="1" customHeight="1" thickBot="1">
      <c r="A1376" s="56" t="s">
        <v>48</v>
      </c>
      <c r="B1376" s="57" t="s">
        <v>49</v>
      </c>
      <c r="C1376" s="58">
        <f>ROUND(F1374/10000,0)</f>
        <v>0</v>
      </c>
      <c r="D1376" s="57" t="s">
        <v>50</v>
      </c>
      <c r="E1376" s="52"/>
      <c r="F1376" s="86"/>
      <c r="G1376" s="87"/>
      <c r="H1376" s="52"/>
      <c r="I1376" s="59"/>
      <c r="J1376" s="61"/>
      <c r="K1376" s="59"/>
      <c r="L1376" s="62">
        <f>IF(C1376&gt;=1000,500000,0)</f>
        <v>0</v>
      </c>
      <c r="M1376" s="63"/>
      <c r="N1376" s="64"/>
      <c r="O1376" s="1"/>
      <c r="P1376" s="3"/>
      <c r="Q1376" s="1"/>
      <c r="R1376" s="1"/>
      <c r="S1376" s="1"/>
      <c r="T1376" s="1"/>
      <c r="U1376" s="4"/>
    </row>
    <row r="1377" spans="1:21" ht="18.75" hidden="1" customHeight="1" thickBot="1">
      <c r="A1377" s="566" t="s">
        <v>52</v>
      </c>
      <c r="B1377" s="567"/>
      <c r="C1377" s="567"/>
      <c r="D1377" s="568"/>
      <c r="E1377" s="65"/>
      <c r="F1377" s="569" t="s">
        <v>53</v>
      </c>
      <c r="G1377" s="568"/>
      <c r="H1377" s="66">
        <f>H1374-J1375</f>
        <v>0</v>
      </c>
      <c r="I1377" s="67">
        <f>H1377*3.3%</f>
        <v>0</v>
      </c>
      <c r="J1377" s="68">
        <f>SUM(J1374)</f>
        <v>0</v>
      </c>
      <c r="K1377" s="69">
        <f>H1377-I1377-J1377</f>
        <v>0</v>
      </c>
      <c r="L1377" s="70">
        <f>L1374+SUM(H1375:H1376)+J1376</f>
        <v>0</v>
      </c>
      <c r="M1377" s="570">
        <f>K1377+L1377</f>
        <v>0</v>
      </c>
      <c r="N1377" s="571"/>
      <c r="O1377" s="1"/>
      <c r="P1377" s="3"/>
      <c r="Q1377" s="1"/>
      <c r="R1377" s="1"/>
      <c r="S1377" s="1"/>
      <c r="T1377" s="1"/>
      <c r="U1377" s="4"/>
    </row>
    <row r="1378" spans="1:21" ht="18.75" hidden="1" customHeight="1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3"/>
      <c r="Q1378" s="1"/>
      <c r="R1378" s="1"/>
      <c r="S1378" s="1"/>
      <c r="T1378" s="1"/>
      <c r="U1378" s="4"/>
    </row>
    <row r="1379" spans="1:21" ht="18.75" hidden="1" customHeight="1">
      <c r="A1379" s="6"/>
      <c r="B1379" s="7" t="str">
        <f>$B$34</f>
        <v>1월</v>
      </c>
      <c r="C1379" s="8" t="s">
        <v>1</v>
      </c>
      <c r="D1379" s="9">
        <f>COUNTIF($C1381:$C1388,"계약")+(COUNTIF($C1381:$C1388,"계약2")*2)</f>
        <v>0</v>
      </c>
      <c r="E1379" s="3">
        <f>COUNTIF(C1381:C1388,"낙찰수수료")</f>
        <v>0</v>
      </c>
      <c r="F1379" s="3"/>
      <c r="G1379" s="1" t="s">
        <v>120</v>
      </c>
      <c r="H1379" s="123">
        <v>0.4</v>
      </c>
      <c r="I1379" s="12">
        <v>3.3000000000000002E-2</v>
      </c>
      <c r="J1379" s="1"/>
      <c r="K1379" s="1"/>
      <c r="L1379" s="1"/>
      <c r="M1379" s="1"/>
      <c r="N1379" s="1"/>
      <c r="O1379" s="1"/>
      <c r="P1379" s="3"/>
      <c r="Q1379" s="1"/>
      <c r="R1379" s="1"/>
      <c r="S1379" s="1"/>
      <c r="T1379" s="1"/>
      <c r="U1379" s="4"/>
    </row>
    <row r="1380" spans="1:21" ht="18.75" hidden="1" customHeight="1">
      <c r="A1380" s="13" t="s">
        <v>3</v>
      </c>
      <c r="B1380" s="14" t="s">
        <v>4</v>
      </c>
      <c r="C1380" s="14" t="s">
        <v>5</v>
      </c>
      <c r="D1380" s="101" t="s">
        <v>6</v>
      </c>
      <c r="E1380" s="16" t="s">
        <v>7</v>
      </c>
      <c r="F1380" s="17" t="s">
        <v>8</v>
      </c>
      <c r="G1380" s="14" t="s">
        <v>9</v>
      </c>
      <c r="H1380" s="15" t="s">
        <v>10</v>
      </c>
      <c r="I1380" s="14" t="s">
        <v>11</v>
      </c>
      <c r="J1380" s="15" t="s">
        <v>12</v>
      </c>
      <c r="K1380" s="14" t="s">
        <v>13</v>
      </c>
      <c r="L1380" s="14" t="s">
        <v>14</v>
      </c>
      <c r="M1380" s="579" t="s">
        <v>15</v>
      </c>
      <c r="N1380" s="577"/>
      <c r="O1380" s="1"/>
      <c r="P1380" s="3"/>
      <c r="Q1380" s="73"/>
      <c r="R1380" s="1"/>
      <c r="S1380" s="1"/>
      <c r="T1380" s="1"/>
      <c r="U1380" s="4"/>
    </row>
    <row r="1381" spans="1:21" ht="18.75" hidden="1" customHeight="1">
      <c r="A1381" s="28"/>
      <c r="B1381" s="29"/>
      <c r="C1381" s="30"/>
      <c r="D1381" s="38"/>
      <c r="E1381" s="27"/>
      <c r="F1381" s="31">
        <f t="shared" ref="F1381:F1388" si="682">IF(D1381="no",E1381,E1381/1.1)</f>
        <v>0</v>
      </c>
      <c r="G1381" s="27">
        <f t="shared" ref="G1381:G1388" si="683">IF(D1381="no",0,F1381*0.1)</f>
        <v>0</v>
      </c>
      <c r="H1381" s="32">
        <f>IF(D1381="no",0,F1381*H1379)</f>
        <v>0</v>
      </c>
      <c r="I1381" s="33">
        <f t="shared" ref="I1381:I1388" si="684">IF(D1381="no",0,H1381*3.3%)</f>
        <v>0</v>
      </c>
      <c r="J1381" s="26"/>
      <c r="K1381" s="27">
        <f t="shared" ref="K1381:K1388" si="685">IF(D1381="no",0,H1381-I1381-J1381)</f>
        <v>0</v>
      </c>
      <c r="L1381" s="27">
        <f>IF(D1381="no",F1381*H1379-J1381,0)</f>
        <v>0</v>
      </c>
      <c r="M1381" s="572"/>
      <c r="N1381" s="564"/>
      <c r="O1381" s="1"/>
      <c r="P1381" s="3"/>
      <c r="Q1381" s="1"/>
      <c r="R1381" s="1"/>
      <c r="S1381" s="1"/>
      <c r="T1381" s="1"/>
      <c r="U1381" s="4"/>
    </row>
    <row r="1382" spans="1:21" ht="18.75" hidden="1" customHeight="1">
      <c r="A1382" s="28"/>
      <c r="B1382" s="29"/>
      <c r="C1382" s="30"/>
      <c r="D1382" s="38"/>
      <c r="E1382" s="27"/>
      <c r="F1382" s="31">
        <f t="shared" si="682"/>
        <v>0</v>
      </c>
      <c r="G1382" s="27">
        <f t="shared" si="683"/>
        <v>0</v>
      </c>
      <c r="H1382" s="32">
        <f>IF(D1382="no",0,F1382*H1379)</f>
        <v>0</v>
      </c>
      <c r="I1382" s="33">
        <f t="shared" si="684"/>
        <v>0</v>
      </c>
      <c r="J1382" s="26"/>
      <c r="K1382" s="27">
        <f t="shared" si="685"/>
        <v>0</v>
      </c>
      <c r="L1382" s="27">
        <f>IF(D1382="no",F1382*H1379-J1382,0)</f>
        <v>0</v>
      </c>
      <c r="M1382" s="572"/>
      <c r="N1382" s="564"/>
      <c r="O1382" s="1"/>
      <c r="P1382" s="3"/>
      <c r="Q1382" s="1"/>
      <c r="R1382" s="1"/>
      <c r="S1382" s="1"/>
      <c r="T1382" s="1"/>
      <c r="U1382" s="4"/>
    </row>
    <row r="1383" spans="1:21" ht="18.75" hidden="1" customHeight="1">
      <c r="A1383" s="39"/>
      <c r="B1383" s="127"/>
      <c r="C1383" s="30"/>
      <c r="D1383" s="95"/>
      <c r="E1383" s="102"/>
      <c r="F1383" s="31">
        <f t="shared" si="682"/>
        <v>0</v>
      </c>
      <c r="G1383" s="27">
        <f t="shared" si="683"/>
        <v>0</v>
      </c>
      <c r="H1383" s="32">
        <f>IF(D1383="no",0,F1383*H1379)</f>
        <v>0</v>
      </c>
      <c r="I1383" s="33">
        <f t="shared" si="684"/>
        <v>0</v>
      </c>
      <c r="J1383" s="26"/>
      <c r="K1383" s="27">
        <f t="shared" si="685"/>
        <v>0</v>
      </c>
      <c r="L1383" s="27">
        <f>IF(D1383="no",F1383*H1379-J1383,0)</f>
        <v>0</v>
      </c>
      <c r="M1383" s="563"/>
      <c r="N1383" s="564"/>
      <c r="O1383" s="1"/>
      <c r="P1383" s="3"/>
      <c r="Q1383" s="1"/>
      <c r="R1383" s="1"/>
      <c r="S1383" s="1"/>
      <c r="T1383" s="1"/>
      <c r="U1383" s="4"/>
    </row>
    <row r="1384" spans="1:21" ht="18.75" hidden="1" customHeight="1">
      <c r="A1384" s="39"/>
      <c r="B1384" s="29"/>
      <c r="C1384" s="30"/>
      <c r="D1384" s="38"/>
      <c r="E1384" s="27"/>
      <c r="F1384" s="31">
        <f t="shared" si="682"/>
        <v>0</v>
      </c>
      <c r="G1384" s="27">
        <f t="shared" si="683"/>
        <v>0</v>
      </c>
      <c r="H1384" s="32">
        <f>IF(D1384="no",0,F1384*H1379)</f>
        <v>0</v>
      </c>
      <c r="I1384" s="33">
        <f t="shared" si="684"/>
        <v>0</v>
      </c>
      <c r="J1384" s="26"/>
      <c r="K1384" s="27">
        <f t="shared" si="685"/>
        <v>0</v>
      </c>
      <c r="L1384" s="27">
        <f>IF(D1384="no",F1384*H1379-J1384,0)</f>
        <v>0</v>
      </c>
      <c r="M1384" s="572"/>
      <c r="N1384" s="564"/>
      <c r="O1384" s="1"/>
      <c r="P1384" s="3"/>
      <c r="Q1384" s="1"/>
      <c r="R1384" s="1"/>
      <c r="S1384" s="1"/>
      <c r="T1384" s="1"/>
      <c r="U1384" s="4"/>
    </row>
    <row r="1385" spans="1:21" ht="18.75" hidden="1" customHeight="1">
      <c r="A1385" s="28"/>
      <c r="B1385" s="29"/>
      <c r="C1385" s="30"/>
      <c r="D1385" s="38"/>
      <c r="E1385" s="27"/>
      <c r="F1385" s="31">
        <f t="shared" si="682"/>
        <v>0</v>
      </c>
      <c r="G1385" s="27">
        <f t="shared" si="683"/>
        <v>0</v>
      </c>
      <c r="H1385" s="32">
        <f>IF(D1385="no",0,F1385*H1379)</f>
        <v>0</v>
      </c>
      <c r="I1385" s="33">
        <f t="shared" si="684"/>
        <v>0</v>
      </c>
      <c r="J1385" s="26"/>
      <c r="K1385" s="27">
        <f t="shared" si="685"/>
        <v>0</v>
      </c>
      <c r="L1385" s="27">
        <f t="shared" ref="L1385:L1386" si="686">IF(D1385="no",F1385*H1379-J1385,0)</f>
        <v>0</v>
      </c>
      <c r="M1385" s="563"/>
      <c r="N1385" s="564"/>
      <c r="O1385" s="1"/>
      <c r="P1385" s="3"/>
      <c r="Q1385" s="1"/>
      <c r="R1385" s="1"/>
      <c r="S1385" s="1"/>
      <c r="T1385" s="1"/>
      <c r="U1385" s="4"/>
    </row>
    <row r="1386" spans="1:21" ht="18.75" hidden="1" customHeight="1">
      <c r="A1386" s="28"/>
      <c r="B1386" s="29"/>
      <c r="C1386" s="30"/>
      <c r="D1386" s="21"/>
      <c r="E1386" s="27"/>
      <c r="F1386" s="31">
        <f t="shared" si="682"/>
        <v>0</v>
      </c>
      <c r="G1386" s="27">
        <f t="shared" si="683"/>
        <v>0</v>
      </c>
      <c r="H1386" s="32">
        <f>IF(D1386="no",0,F1386*H1379)</f>
        <v>0</v>
      </c>
      <c r="I1386" s="33">
        <f t="shared" si="684"/>
        <v>0</v>
      </c>
      <c r="J1386" s="26"/>
      <c r="K1386" s="27">
        <f t="shared" si="685"/>
        <v>0</v>
      </c>
      <c r="L1386" s="27">
        <f t="shared" si="686"/>
        <v>0</v>
      </c>
      <c r="M1386" s="572"/>
      <c r="N1386" s="564"/>
      <c r="O1386" s="1"/>
      <c r="P1386" s="3"/>
      <c r="Q1386" s="1"/>
      <c r="R1386" s="1"/>
      <c r="S1386" s="1"/>
      <c r="T1386" s="1"/>
      <c r="U1386" s="4"/>
    </row>
    <row r="1387" spans="1:21" ht="18.75" hidden="1" customHeight="1">
      <c r="A1387" s="28" t="s">
        <v>150</v>
      </c>
      <c r="B1387" s="29" t="s">
        <v>61</v>
      </c>
      <c r="C1387" s="30"/>
      <c r="D1387" s="38"/>
      <c r="E1387" s="27"/>
      <c r="F1387" s="31">
        <f t="shared" si="682"/>
        <v>0</v>
      </c>
      <c r="G1387" s="27">
        <f t="shared" si="683"/>
        <v>0</v>
      </c>
      <c r="H1387" s="32">
        <f>IF(D1387="no",0,F1387*H1379)</f>
        <v>0</v>
      </c>
      <c r="I1387" s="33">
        <f t="shared" si="684"/>
        <v>0</v>
      </c>
      <c r="J1387" s="26"/>
      <c r="K1387" s="27">
        <f t="shared" si="685"/>
        <v>0</v>
      </c>
      <c r="L1387" s="27">
        <f>IF(D1387="no",F1387*H1379-J1387,0)</f>
        <v>0</v>
      </c>
      <c r="M1387" s="563"/>
      <c r="N1387" s="564"/>
      <c r="O1387" s="1"/>
      <c r="P1387" s="3"/>
      <c r="Q1387" s="1"/>
      <c r="R1387" s="1"/>
      <c r="S1387" s="1"/>
      <c r="T1387" s="1"/>
      <c r="U1387" s="4"/>
    </row>
    <row r="1388" spans="1:21" ht="18.75" hidden="1" customHeight="1">
      <c r="A1388" s="28" t="s">
        <v>150</v>
      </c>
      <c r="B1388" s="29" t="s">
        <v>35</v>
      </c>
      <c r="C1388" s="30"/>
      <c r="D1388" s="38"/>
      <c r="E1388" s="27"/>
      <c r="F1388" s="31">
        <f t="shared" si="682"/>
        <v>0</v>
      </c>
      <c r="G1388" s="27">
        <f t="shared" si="683"/>
        <v>0</v>
      </c>
      <c r="H1388" s="32">
        <f>IF(D1388="no",0,F1388*H1379)</f>
        <v>0</v>
      </c>
      <c r="I1388" s="33">
        <f t="shared" si="684"/>
        <v>0</v>
      </c>
      <c r="J1388" s="26"/>
      <c r="K1388" s="27">
        <f t="shared" si="685"/>
        <v>0</v>
      </c>
      <c r="L1388" s="27">
        <f>IF(D1388="no",F1388*H1379-J1388,0)</f>
        <v>0</v>
      </c>
      <c r="M1388" s="572"/>
      <c r="N1388" s="564"/>
      <c r="O1388" s="1"/>
      <c r="P1388" s="3"/>
      <c r="Q1388" s="1"/>
      <c r="R1388" s="1"/>
      <c r="S1388" s="1"/>
      <c r="T1388" s="1"/>
      <c r="U1388" s="4"/>
    </row>
    <row r="1389" spans="1:21" ht="18.75" hidden="1" customHeight="1">
      <c r="A1389" s="575" t="s">
        <v>42</v>
      </c>
      <c r="B1389" s="576"/>
      <c r="C1389" s="576"/>
      <c r="D1389" s="577"/>
      <c r="E1389" s="42">
        <f t="shared" ref="E1389:L1389" si="687">SUM(E1381:E1388)</f>
        <v>0</v>
      </c>
      <c r="F1389" s="17">
        <f t="shared" si="687"/>
        <v>0</v>
      </c>
      <c r="G1389" s="42">
        <f t="shared" si="687"/>
        <v>0</v>
      </c>
      <c r="H1389" s="43">
        <f t="shared" si="687"/>
        <v>0</v>
      </c>
      <c r="I1389" s="42">
        <f t="shared" si="687"/>
        <v>0</v>
      </c>
      <c r="J1389" s="43">
        <f t="shared" si="687"/>
        <v>0</v>
      </c>
      <c r="K1389" s="42">
        <f t="shared" si="687"/>
        <v>0</v>
      </c>
      <c r="L1389" s="42">
        <f t="shared" si="687"/>
        <v>0</v>
      </c>
      <c r="M1389" s="44"/>
      <c r="N1389" s="45"/>
      <c r="O1389" s="1"/>
      <c r="P1389" s="3"/>
      <c r="Q1389" s="1"/>
      <c r="R1389" s="1"/>
      <c r="S1389" s="1"/>
      <c r="T1389" s="1"/>
      <c r="U1389" s="4"/>
    </row>
    <row r="1390" spans="1:21" ht="18.75" hidden="1" customHeight="1">
      <c r="A1390" s="46" t="s">
        <v>37</v>
      </c>
      <c r="B1390" s="47" t="s">
        <v>132</v>
      </c>
      <c r="C1390" s="48">
        <f>D1379</f>
        <v>0</v>
      </c>
      <c r="D1390" s="47" t="s">
        <v>44</v>
      </c>
      <c r="E1390" s="49"/>
      <c r="F1390" s="84"/>
      <c r="G1390" s="85"/>
      <c r="H1390" s="49"/>
      <c r="I1390" s="53" t="s">
        <v>46</v>
      </c>
      <c r="J1390" s="54"/>
      <c r="K1390" s="50"/>
      <c r="L1390" s="55"/>
      <c r="M1390" s="63"/>
      <c r="N1390" s="64"/>
      <c r="O1390" s="1"/>
      <c r="P1390" s="3"/>
      <c r="Q1390" s="1"/>
      <c r="R1390" s="1"/>
      <c r="S1390" s="1"/>
      <c r="T1390" s="1"/>
      <c r="U1390" s="4"/>
    </row>
    <row r="1391" spans="1:21" ht="18.75" hidden="1" customHeight="1" thickBot="1">
      <c r="A1391" s="56" t="s">
        <v>48</v>
      </c>
      <c r="B1391" s="57" t="s">
        <v>133</v>
      </c>
      <c r="C1391" s="58">
        <f>ROUND(F1389/10000,0)</f>
        <v>0</v>
      </c>
      <c r="D1391" s="57" t="s">
        <v>50</v>
      </c>
      <c r="E1391" s="52">
        <f>IF(C1391&gt;=8000,5200000,IF(C1391&gt;=5000,2700000,IF(C1391&gt;=200,200000,0)))</f>
        <v>0</v>
      </c>
      <c r="F1391" s="86"/>
      <c r="G1391" s="87"/>
      <c r="H1391" s="52"/>
      <c r="I1391" s="59"/>
      <c r="J1391" s="61"/>
      <c r="K1391" s="59"/>
      <c r="L1391" s="62">
        <f>IF(C1391&gt;=1000,500000,0)</f>
        <v>0</v>
      </c>
      <c r="M1391" s="59"/>
      <c r="N1391" s="64"/>
      <c r="O1391" s="1"/>
      <c r="P1391" s="3"/>
      <c r="Q1391" s="1"/>
      <c r="R1391" s="1"/>
      <c r="S1391" s="1"/>
      <c r="T1391" s="1"/>
      <c r="U1391" s="4"/>
    </row>
    <row r="1392" spans="1:21" ht="18.75" hidden="1" customHeight="1" thickBot="1">
      <c r="A1392" s="566" t="s">
        <v>52</v>
      </c>
      <c r="B1392" s="567"/>
      <c r="C1392" s="567"/>
      <c r="D1392" s="568"/>
      <c r="E1392" s="65"/>
      <c r="F1392" s="569" t="s">
        <v>53</v>
      </c>
      <c r="G1392" s="568"/>
      <c r="H1392" s="66">
        <f>H1389-J1390</f>
        <v>0</v>
      </c>
      <c r="I1392" s="67">
        <f>H1392*3.3%</f>
        <v>0</v>
      </c>
      <c r="J1392" s="68">
        <f>SUM(J1389)</f>
        <v>0</v>
      </c>
      <c r="K1392" s="69">
        <f>H1392-I1392</f>
        <v>0</v>
      </c>
      <c r="L1392" s="70">
        <f>L1389+SUM(H1390:H1391)+J1391</f>
        <v>0</v>
      </c>
      <c r="M1392" s="570">
        <f>K1392+L1392</f>
        <v>0</v>
      </c>
      <c r="N1392" s="571"/>
      <c r="O1392" s="1"/>
      <c r="P1392" s="3"/>
      <c r="Q1392" s="1"/>
      <c r="R1392" s="1"/>
      <c r="S1392" s="1"/>
      <c r="T1392" s="1"/>
      <c r="U1392" s="4"/>
    </row>
    <row r="1393" spans="1:21" ht="18.75" hidden="1" customHeight="1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3"/>
      <c r="Q1393" s="1"/>
      <c r="R1393" s="1"/>
      <c r="S1393" s="1"/>
      <c r="T1393" s="1"/>
      <c r="U1393" s="4"/>
    </row>
    <row r="1394" spans="1:21" ht="18.75" customHeight="1">
      <c r="A1394" s="6" t="s">
        <v>433</v>
      </c>
      <c r="B1394" s="7" t="str">
        <f>$B$34</f>
        <v>1월</v>
      </c>
      <c r="C1394" s="8" t="s">
        <v>1</v>
      </c>
      <c r="D1394" s="9">
        <f>COUNTIF($C1396:$C1412,"계약")+(COUNTIF($C1396:$C1412,"계약2")*2)</f>
        <v>2</v>
      </c>
      <c r="E1394" s="3">
        <f>COUNTIF(C1396:C1412,"낙찰수수료")</f>
        <v>0</v>
      </c>
      <c r="F1394" s="3"/>
      <c r="G1394" s="89" t="s">
        <v>112</v>
      </c>
      <c r="H1394" s="162">
        <v>0.5</v>
      </c>
      <c r="I1394" s="12">
        <v>3.3000000000000002E-2</v>
      </c>
      <c r="J1394" s="1"/>
      <c r="K1394" s="1"/>
      <c r="L1394" s="1"/>
      <c r="M1394" s="1"/>
      <c r="N1394" s="1"/>
      <c r="O1394" s="1"/>
      <c r="P1394" s="3"/>
      <c r="Q1394" s="1"/>
      <c r="R1394" s="1"/>
      <c r="S1394" s="1"/>
      <c r="T1394" s="1"/>
      <c r="U1394" s="4"/>
    </row>
    <row r="1395" spans="1:21" ht="18.75" customHeight="1">
      <c r="A1395" s="13" t="s">
        <v>3</v>
      </c>
      <c r="B1395" s="14" t="s">
        <v>4</v>
      </c>
      <c r="C1395" s="14" t="s">
        <v>5</v>
      </c>
      <c r="D1395" s="101" t="s">
        <v>6</v>
      </c>
      <c r="E1395" s="16" t="s">
        <v>7</v>
      </c>
      <c r="F1395" s="17" t="s">
        <v>8</v>
      </c>
      <c r="G1395" s="14" t="s">
        <v>9</v>
      </c>
      <c r="H1395" s="15" t="s">
        <v>10</v>
      </c>
      <c r="I1395" s="14" t="s">
        <v>11</v>
      </c>
      <c r="J1395" s="15" t="s">
        <v>12</v>
      </c>
      <c r="K1395" s="14" t="s">
        <v>13</v>
      </c>
      <c r="L1395" s="14" t="s">
        <v>14</v>
      </c>
      <c r="M1395" s="579" t="s">
        <v>15</v>
      </c>
      <c r="N1395" s="577"/>
      <c r="O1395" s="1"/>
      <c r="P1395" s="3"/>
      <c r="Q1395" s="1"/>
      <c r="R1395" s="1"/>
      <c r="S1395" s="1"/>
      <c r="T1395" s="1"/>
      <c r="U1395" s="4"/>
    </row>
    <row r="1396" spans="1:21" ht="18.75" customHeight="1">
      <c r="A1396" s="28">
        <v>46050</v>
      </c>
      <c r="B1396" s="29" t="s">
        <v>661</v>
      </c>
      <c r="C1396" s="30" t="s">
        <v>662</v>
      </c>
      <c r="D1396" s="161"/>
      <c r="E1396" s="27">
        <v>1100000</v>
      </c>
      <c r="F1396" s="31">
        <f t="shared" ref="F1396:F1410" si="688">IF(D1396="no",E1396,E1396/1.1)</f>
        <v>999999.99999999988</v>
      </c>
      <c r="G1396" s="27">
        <f t="shared" ref="G1396:G1410" si="689">IF(D1396="no",0,F1396*0.1)</f>
        <v>100000</v>
      </c>
      <c r="H1396" s="32">
        <f>IF(D1396="no",0,F1396*H1394)</f>
        <v>499999.99999999994</v>
      </c>
      <c r="I1396" s="33">
        <f t="shared" ref="I1396:I1412" si="690">IF(D1396="no",0,H1396*3.3%)</f>
        <v>16500</v>
      </c>
      <c r="J1396" s="26"/>
      <c r="K1396" s="27">
        <f t="shared" ref="K1396:K1412" si="691">IF(D1396="no",0,H1396-I1396-J1396)</f>
        <v>483499.99999999994</v>
      </c>
      <c r="L1396" s="27">
        <f>IF(D1396="no",F1396*H1394-J1396,0)</f>
        <v>0</v>
      </c>
      <c r="M1396" s="582"/>
      <c r="N1396" s="581"/>
      <c r="O1396" s="1"/>
      <c r="P1396" s="3"/>
      <c r="Q1396" s="1"/>
      <c r="R1396" s="1"/>
      <c r="S1396" s="1"/>
      <c r="T1396" s="1"/>
      <c r="U1396" s="4"/>
    </row>
    <row r="1397" spans="1:21" ht="18.75" customHeight="1">
      <c r="A1397" s="28">
        <v>46051</v>
      </c>
      <c r="B1397" s="29" t="s">
        <v>809</v>
      </c>
      <c r="C1397" s="30" t="s">
        <v>810</v>
      </c>
      <c r="D1397" s="161"/>
      <c r="E1397" s="27">
        <v>550000</v>
      </c>
      <c r="F1397" s="31">
        <f t="shared" si="688"/>
        <v>499999.99999999994</v>
      </c>
      <c r="G1397" s="27">
        <f t="shared" si="689"/>
        <v>50000</v>
      </c>
      <c r="H1397" s="32">
        <f>IF(D1397="no",0,F1397*H1394)</f>
        <v>249999.99999999997</v>
      </c>
      <c r="I1397" s="33">
        <f t="shared" si="690"/>
        <v>8250</v>
      </c>
      <c r="J1397" s="26"/>
      <c r="K1397" s="27">
        <f t="shared" si="691"/>
        <v>241749.99999999997</v>
      </c>
      <c r="L1397" s="27">
        <f>IF(D1397="no",F1397*H1394-J1397,0)</f>
        <v>0</v>
      </c>
      <c r="M1397" s="572"/>
      <c r="N1397" s="564"/>
      <c r="O1397" s="1"/>
      <c r="P1397" s="3"/>
      <c r="Q1397" s="1"/>
      <c r="R1397" s="1"/>
      <c r="S1397" s="1"/>
      <c r="T1397" s="1"/>
      <c r="U1397" s="4"/>
    </row>
    <row r="1398" spans="1:21" ht="18.75" customHeight="1">
      <c r="A1398" s="39"/>
      <c r="B1398" s="127"/>
      <c r="C1398" s="30"/>
      <c r="D1398" s="161"/>
      <c r="E1398" s="102"/>
      <c r="F1398" s="31">
        <f t="shared" si="688"/>
        <v>0</v>
      </c>
      <c r="G1398" s="27">
        <f t="shared" si="689"/>
        <v>0</v>
      </c>
      <c r="H1398" s="32">
        <f>IF(D1398="no",0,F1398*H1394)</f>
        <v>0</v>
      </c>
      <c r="I1398" s="33">
        <f t="shared" si="690"/>
        <v>0</v>
      </c>
      <c r="J1398" s="26"/>
      <c r="K1398" s="27">
        <f t="shared" si="691"/>
        <v>0</v>
      </c>
      <c r="L1398" s="27">
        <f>IF(D1398="no",F1398*H1394-J1398,0)</f>
        <v>0</v>
      </c>
      <c r="M1398" s="563"/>
      <c r="N1398" s="564"/>
      <c r="O1398" s="1"/>
      <c r="P1398" s="3"/>
      <c r="Q1398" s="1"/>
      <c r="R1398" s="1"/>
      <c r="S1398" s="1"/>
      <c r="T1398" s="1"/>
      <c r="U1398" s="4"/>
    </row>
    <row r="1399" spans="1:21" ht="18.75" hidden="1" customHeight="1">
      <c r="A1399" s="39"/>
      <c r="B1399" s="108"/>
      <c r="C1399" s="109"/>
      <c r="D1399" s="122"/>
      <c r="E1399" s="111"/>
      <c r="F1399" s="31">
        <f t="shared" si="688"/>
        <v>0</v>
      </c>
      <c r="G1399" s="27">
        <f t="shared" si="689"/>
        <v>0</v>
      </c>
      <c r="H1399" s="32">
        <f>IF(D1399="no",0,F1399*H1394)</f>
        <v>0</v>
      </c>
      <c r="I1399" s="33">
        <f t="shared" si="690"/>
        <v>0</v>
      </c>
      <c r="J1399" s="26"/>
      <c r="K1399" s="27">
        <f t="shared" si="691"/>
        <v>0</v>
      </c>
      <c r="L1399" s="27">
        <f>IF(D1399="no",F1399*H1394-J1399,0)</f>
        <v>0</v>
      </c>
      <c r="M1399" s="572"/>
      <c r="N1399" s="564"/>
      <c r="O1399" s="1"/>
      <c r="P1399" s="3"/>
      <c r="Q1399" s="1"/>
      <c r="R1399" s="1"/>
      <c r="S1399" s="1"/>
      <c r="T1399" s="1"/>
      <c r="U1399" s="4"/>
    </row>
    <row r="1400" spans="1:21" ht="18.75" hidden="1" customHeight="1">
      <c r="A1400" s="39"/>
      <c r="B1400" s="108"/>
      <c r="C1400" s="109"/>
      <c r="D1400" s="122"/>
      <c r="E1400" s="111"/>
      <c r="F1400" s="31">
        <f t="shared" si="688"/>
        <v>0</v>
      </c>
      <c r="G1400" s="27">
        <f t="shared" si="689"/>
        <v>0</v>
      </c>
      <c r="H1400" s="32">
        <f>IF(D1400="no",0,F1400*H1394)</f>
        <v>0</v>
      </c>
      <c r="I1400" s="33">
        <f t="shared" si="690"/>
        <v>0</v>
      </c>
      <c r="J1400" s="26"/>
      <c r="K1400" s="27">
        <f t="shared" si="691"/>
        <v>0</v>
      </c>
      <c r="L1400" s="27">
        <f t="shared" ref="L1400:L1401" si="692">IF(D1400="no",F1400*H1394-J1400,0)</f>
        <v>0</v>
      </c>
      <c r="M1400" s="563"/>
      <c r="N1400" s="564"/>
      <c r="O1400" s="1"/>
      <c r="P1400" s="3"/>
      <c r="Q1400" s="1"/>
      <c r="R1400" s="1"/>
      <c r="S1400" s="1"/>
      <c r="T1400" s="1"/>
      <c r="U1400" s="4"/>
    </row>
    <row r="1401" spans="1:21" ht="18.75" hidden="1" customHeight="1">
      <c r="A1401" s="28"/>
      <c r="B1401" s="108"/>
      <c r="C1401" s="109"/>
      <c r="D1401" s="122"/>
      <c r="E1401" s="111"/>
      <c r="F1401" s="31">
        <f t="shared" si="688"/>
        <v>0</v>
      </c>
      <c r="G1401" s="27">
        <f t="shared" si="689"/>
        <v>0</v>
      </c>
      <c r="H1401" s="32">
        <f>IF(D1401="no",0,F1401*H1394)</f>
        <v>0</v>
      </c>
      <c r="I1401" s="33">
        <f t="shared" si="690"/>
        <v>0</v>
      </c>
      <c r="J1401" s="26"/>
      <c r="K1401" s="27">
        <f t="shared" si="691"/>
        <v>0</v>
      </c>
      <c r="L1401" s="27">
        <f t="shared" si="692"/>
        <v>0</v>
      </c>
      <c r="M1401" s="572"/>
      <c r="N1401" s="564"/>
      <c r="O1401" s="1"/>
      <c r="P1401" s="3"/>
      <c r="Q1401" s="1"/>
      <c r="R1401" s="1"/>
      <c r="S1401" s="1"/>
      <c r="T1401" s="1"/>
      <c r="U1401" s="4"/>
    </row>
    <row r="1402" spans="1:21" ht="18.75" hidden="1" customHeight="1">
      <c r="A1402" s="28"/>
      <c r="B1402" s="29"/>
      <c r="C1402" s="30"/>
      <c r="D1402" s="38"/>
      <c r="E1402" s="27"/>
      <c r="F1402" s="31">
        <f t="shared" si="688"/>
        <v>0</v>
      </c>
      <c r="G1402" s="27">
        <f t="shared" si="689"/>
        <v>0</v>
      </c>
      <c r="H1402" s="32">
        <f>IF(D1402="no",0,F1402*H1394)</f>
        <v>0</v>
      </c>
      <c r="I1402" s="33">
        <f t="shared" si="690"/>
        <v>0</v>
      </c>
      <c r="J1402" s="26"/>
      <c r="K1402" s="27">
        <f t="shared" si="691"/>
        <v>0</v>
      </c>
      <c r="L1402" s="27">
        <f>IF(D1402="no",F1402*H1394-J1402,0)</f>
        <v>0</v>
      </c>
      <c r="M1402" s="563"/>
      <c r="N1402" s="564"/>
      <c r="O1402" s="1"/>
      <c r="P1402" s="3"/>
      <c r="Q1402" s="1"/>
      <c r="R1402" s="1"/>
      <c r="S1402" s="1"/>
      <c r="T1402" s="1"/>
      <c r="U1402" s="4"/>
    </row>
    <row r="1403" spans="1:21" ht="18.75" hidden="1" customHeight="1">
      <c r="A1403" s="28"/>
      <c r="B1403" s="29"/>
      <c r="C1403" s="30"/>
      <c r="D1403" s="38"/>
      <c r="E1403" s="27"/>
      <c r="F1403" s="31">
        <f t="shared" si="688"/>
        <v>0</v>
      </c>
      <c r="G1403" s="27">
        <f t="shared" si="689"/>
        <v>0</v>
      </c>
      <c r="H1403" s="32">
        <f>IF(D1403="no",0,F1403*H1394)</f>
        <v>0</v>
      </c>
      <c r="I1403" s="33">
        <f t="shared" si="690"/>
        <v>0</v>
      </c>
      <c r="J1403" s="26"/>
      <c r="K1403" s="27">
        <f t="shared" si="691"/>
        <v>0</v>
      </c>
      <c r="L1403" s="27">
        <f t="shared" ref="L1403:L1404" si="693">IF(D1403="no",F1403*H1394-J1403,0)</f>
        <v>0</v>
      </c>
      <c r="M1403" s="572"/>
      <c r="N1403" s="564"/>
      <c r="O1403" s="1"/>
      <c r="P1403" s="3"/>
      <c r="Q1403" s="1"/>
      <c r="R1403" s="1"/>
      <c r="S1403" s="1"/>
      <c r="T1403" s="1"/>
      <c r="U1403" s="4"/>
    </row>
    <row r="1404" spans="1:21" ht="18.75" hidden="1" customHeight="1">
      <c r="A1404" s="28"/>
      <c r="B1404" s="29"/>
      <c r="C1404" s="30"/>
      <c r="D1404" s="38"/>
      <c r="E1404" s="27"/>
      <c r="F1404" s="31">
        <f t="shared" si="688"/>
        <v>0</v>
      </c>
      <c r="G1404" s="27">
        <f t="shared" si="689"/>
        <v>0</v>
      </c>
      <c r="H1404" s="32">
        <f>IF(D1404="no",0,F1404*H1394)</f>
        <v>0</v>
      </c>
      <c r="I1404" s="33">
        <f t="shared" si="690"/>
        <v>0</v>
      </c>
      <c r="J1404" s="26"/>
      <c r="K1404" s="27">
        <f t="shared" si="691"/>
        <v>0</v>
      </c>
      <c r="L1404" s="27">
        <f t="shared" si="693"/>
        <v>0</v>
      </c>
      <c r="M1404" s="572"/>
      <c r="N1404" s="564"/>
      <c r="O1404" s="1"/>
      <c r="P1404" s="3"/>
      <c r="Q1404" s="1"/>
      <c r="R1404" s="1"/>
      <c r="S1404" s="1"/>
      <c r="T1404" s="1"/>
      <c r="U1404" s="4"/>
    </row>
    <row r="1405" spans="1:21" ht="18.75" hidden="1" customHeight="1">
      <c r="A1405" s="28"/>
      <c r="B1405" s="29"/>
      <c r="C1405" s="30"/>
      <c r="D1405" s="38"/>
      <c r="E1405" s="27"/>
      <c r="F1405" s="31">
        <f t="shared" si="688"/>
        <v>0</v>
      </c>
      <c r="G1405" s="27">
        <f t="shared" si="689"/>
        <v>0</v>
      </c>
      <c r="H1405" s="32">
        <f>IF(D1405="no",0,F1405*H1394)</f>
        <v>0</v>
      </c>
      <c r="I1405" s="33">
        <f t="shared" si="690"/>
        <v>0</v>
      </c>
      <c r="J1405" s="26"/>
      <c r="K1405" s="27">
        <f t="shared" si="691"/>
        <v>0</v>
      </c>
      <c r="L1405" s="27">
        <f t="shared" ref="L1405:L1406" si="694">IF(D1405="no",F1405*H1393-J1405,0)</f>
        <v>0</v>
      </c>
      <c r="M1405" s="572"/>
      <c r="N1405" s="564"/>
      <c r="O1405" s="1"/>
      <c r="P1405" s="3"/>
      <c r="Q1405" s="1"/>
      <c r="R1405" s="1"/>
      <c r="S1405" s="1"/>
      <c r="T1405" s="1"/>
      <c r="U1405" s="4"/>
    </row>
    <row r="1406" spans="1:21" ht="18.75" hidden="1" customHeight="1">
      <c r="A1406" s="28"/>
      <c r="B1406" s="29"/>
      <c r="C1406" s="30"/>
      <c r="D1406" s="38"/>
      <c r="E1406" s="27"/>
      <c r="F1406" s="31">
        <f t="shared" si="688"/>
        <v>0</v>
      </c>
      <c r="G1406" s="27">
        <f t="shared" si="689"/>
        <v>0</v>
      </c>
      <c r="H1406" s="32">
        <f>IF(D1406="no",0,F1406*H1394)</f>
        <v>0</v>
      </c>
      <c r="I1406" s="33">
        <f t="shared" si="690"/>
        <v>0</v>
      </c>
      <c r="J1406" s="26"/>
      <c r="K1406" s="27">
        <f t="shared" si="691"/>
        <v>0</v>
      </c>
      <c r="L1406" s="27">
        <f t="shared" si="694"/>
        <v>0</v>
      </c>
      <c r="M1406" s="572"/>
      <c r="N1406" s="564"/>
      <c r="O1406" s="1"/>
      <c r="P1406" s="3"/>
      <c r="Q1406" s="1"/>
      <c r="R1406" s="1"/>
      <c r="S1406" s="1"/>
      <c r="T1406" s="1"/>
      <c r="U1406" s="4"/>
    </row>
    <row r="1407" spans="1:21" ht="18.75" hidden="1" customHeight="1">
      <c r="A1407" s="28"/>
      <c r="B1407" s="29"/>
      <c r="C1407" s="30"/>
      <c r="D1407" s="38"/>
      <c r="E1407" s="27"/>
      <c r="F1407" s="31">
        <f t="shared" si="688"/>
        <v>0</v>
      </c>
      <c r="G1407" s="27">
        <f t="shared" si="689"/>
        <v>0</v>
      </c>
      <c r="H1407" s="32">
        <f>IF(D1407="no",0,F1407*H1394)</f>
        <v>0</v>
      </c>
      <c r="I1407" s="33">
        <f t="shared" si="690"/>
        <v>0</v>
      </c>
      <c r="J1407" s="26"/>
      <c r="K1407" s="27">
        <f t="shared" si="691"/>
        <v>0</v>
      </c>
      <c r="L1407" s="27">
        <f>IF(D1407="no",F1407*H1394-J1407,0)</f>
        <v>0</v>
      </c>
      <c r="M1407" s="578"/>
      <c r="N1407" s="564"/>
      <c r="O1407" s="1"/>
      <c r="P1407" s="3"/>
      <c r="Q1407" s="1"/>
      <c r="R1407" s="1"/>
      <c r="S1407" s="1"/>
      <c r="T1407" s="1"/>
      <c r="U1407" s="4"/>
    </row>
    <row r="1408" spans="1:21" ht="18.75" customHeight="1">
      <c r="A1408" s="39" t="s">
        <v>616</v>
      </c>
      <c r="B1408" s="29" t="s">
        <v>482</v>
      </c>
      <c r="C1408" s="30"/>
      <c r="D1408" s="38"/>
      <c r="E1408" s="27"/>
      <c r="F1408" s="31">
        <f t="shared" si="688"/>
        <v>0</v>
      </c>
      <c r="G1408" s="27">
        <f t="shared" si="689"/>
        <v>0</v>
      </c>
      <c r="H1408" s="112"/>
      <c r="I1408" s="113">
        <f t="shared" si="690"/>
        <v>0</v>
      </c>
      <c r="J1408" s="114"/>
      <c r="K1408" s="111">
        <f t="shared" si="691"/>
        <v>0</v>
      </c>
      <c r="L1408" s="111">
        <f t="shared" ref="L1408:L1409" si="695">IF(D1408="no",F1408*H1393-J1408,0)</f>
        <v>0</v>
      </c>
      <c r="M1408" s="612"/>
      <c r="N1408" s="623"/>
      <c r="O1408" s="1"/>
      <c r="P1408" s="3"/>
      <c r="Q1408" s="1"/>
      <c r="R1408" s="1"/>
      <c r="S1408" s="1"/>
      <c r="T1408" s="1"/>
      <c r="U1408" s="4"/>
    </row>
    <row r="1409" spans="1:21" s="330" customFormat="1" ht="18.75" customHeight="1">
      <c r="A1409" s="39" t="s">
        <v>616</v>
      </c>
      <c r="B1409" s="29" t="s">
        <v>378</v>
      </c>
      <c r="C1409" s="30"/>
      <c r="D1409" s="103"/>
      <c r="E1409" s="27"/>
      <c r="F1409" s="31"/>
      <c r="G1409" s="27"/>
      <c r="H1409" s="112"/>
      <c r="I1409" s="113">
        <f t="shared" si="690"/>
        <v>0</v>
      </c>
      <c r="J1409" s="114"/>
      <c r="K1409" s="111">
        <f t="shared" si="691"/>
        <v>0</v>
      </c>
      <c r="L1409" s="111">
        <f t="shared" si="695"/>
        <v>0</v>
      </c>
      <c r="M1409" s="586"/>
      <c r="N1409" s="624"/>
      <c r="O1409" s="1"/>
      <c r="P1409" s="3"/>
      <c r="Q1409" s="1"/>
      <c r="R1409" s="1"/>
      <c r="S1409" s="1"/>
      <c r="T1409" s="1"/>
      <c r="U1409" s="4"/>
    </row>
    <row r="1410" spans="1:21" ht="18.75" customHeight="1">
      <c r="A1410" s="39" t="s">
        <v>616</v>
      </c>
      <c r="B1410" s="29" t="s">
        <v>405</v>
      </c>
      <c r="C1410" s="30"/>
      <c r="D1410" s="21"/>
      <c r="E1410" s="27"/>
      <c r="F1410" s="31">
        <f t="shared" si="688"/>
        <v>0</v>
      </c>
      <c r="G1410" s="27">
        <f t="shared" si="689"/>
        <v>0</v>
      </c>
      <c r="H1410" s="32"/>
      <c r="I1410" s="33">
        <f t="shared" si="690"/>
        <v>0</v>
      </c>
      <c r="J1410" s="26"/>
      <c r="K1410" s="27">
        <f t="shared" si="691"/>
        <v>0</v>
      </c>
      <c r="L1410" s="27">
        <f>IF(D1410="no",F1410*H1394-J1410,0)</f>
        <v>0</v>
      </c>
      <c r="M1410" s="621"/>
      <c r="N1410" s="622"/>
      <c r="O1410" s="1"/>
      <c r="P1410" s="3"/>
      <c r="Q1410" s="1"/>
      <c r="R1410" s="1"/>
      <c r="S1410" s="1"/>
      <c r="T1410" s="1"/>
      <c r="U1410" s="4"/>
    </row>
    <row r="1411" spans="1:21" ht="18.75" customHeight="1">
      <c r="A1411" s="39" t="s">
        <v>616</v>
      </c>
      <c r="B1411" s="29" t="s">
        <v>61</v>
      </c>
      <c r="C1411" s="30"/>
      <c r="D1411" s="21"/>
      <c r="E1411" s="27"/>
      <c r="F1411" s="31"/>
      <c r="G1411" s="111"/>
      <c r="H1411" s="112"/>
      <c r="I1411" s="113">
        <f t="shared" si="690"/>
        <v>0</v>
      </c>
      <c r="J1411" s="114"/>
      <c r="K1411" s="111">
        <f t="shared" si="691"/>
        <v>0</v>
      </c>
      <c r="L1411" s="111"/>
      <c r="M1411" s="572"/>
      <c r="N1411" s="564"/>
      <c r="O1411" s="1"/>
      <c r="P1411" s="3"/>
      <c r="Q1411" s="1"/>
      <c r="R1411" s="1"/>
      <c r="S1411" s="1"/>
      <c r="T1411" s="1"/>
      <c r="U1411" s="4"/>
    </row>
    <row r="1412" spans="1:21" ht="18.75" customHeight="1">
      <c r="A1412" s="39" t="s">
        <v>616</v>
      </c>
      <c r="B1412" s="29" t="s">
        <v>35</v>
      </c>
      <c r="C1412" s="30"/>
      <c r="D1412" s="21"/>
      <c r="E1412" s="27"/>
      <c r="F1412" s="31">
        <f>IF(D1412="no",E1412,E1412/1.1)</f>
        <v>0</v>
      </c>
      <c r="G1412" s="27">
        <f>IF(D1412="no",0,F1412*0.1)</f>
        <v>0</v>
      </c>
      <c r="H1412" s="37"/>
      <c r="I1412" s="33">
        <f t="shared" si="690"/>
        <v>0</v>
      </c>
      <c r="J1412" s="26"/>
      <c r="K1412" s="27">
        <f t="shared" si="691"/>
        <v>0</v>
      </c>
      <c r="L1412" s="27">
        <f>IF(D1412="no",F1412*H1397-J1412,0)</f>
        <v>0</v>
      </c>
      <c r="M1412" s="584"/>
      <c r="N1412" s="564"/>
      <c r="O1412" s="1"/>
      <c r="P1412" s="3"/>
      <c r="Q1412" s="1"/>
      <c r="R1412" s="1"/>
      <c r="S1412" s="1"/>
      <c r="T1412" s="1"/>
      <c r="U1412" s="4"/>
    </row>
    <row r="1413" spans="1:21" ht="18.75" customHeight="1">
      <c r="A1413" s="575" t="s">
        <v>42</v>
      </c>
      <c r="B1413" s="576"/>
      <c r="C1413" s="576"/>
      <c r="D1413" s="577"/>
      <c r="E1413" s="42">
        <f t="shared" ref="E1413:L1413" si="696">SUM(E1396:E1412)</f>
        <v>1650000</v>
      </c>
      <c r="F1413" s="17">
        <f t="shared" si="696"/>
        <v>1499999.9999999998</v>
      </c>
      <c r="G1413" s="42">
        <f t="shared" si="696"/>
        <v>150000</v>
      </c>
      <c r="H1413" s="43">
        <f t="shared" si="696"/>
        <v>749999.99999999988</v>
      </c>
      <c r="I1413" s="42">
        <f>SUM(I1396:I1412)</f>
        <v>24750</v>
      </c>
      <c r="J1413" s="43">
        <f t="shared" si="696"/>
        <v>0</v>
      </c>
      <c r="K1413" s="42">
        <f>SUM(K1396:K1412)</f>
        <v>725249.99999999988</v>
      </c>
      <c r="L1413" s="42">
        <f t="shared" si="696"/>
        <v>0</v>
      </c>
      <c r="M1413" s="44"/>
      <c r="N1413" s="45"/>
      <c r="O1413" s="1"/>
      <c r="P1413" s="3"/>
      <c r="Q1413" s="1"/>
      <c r="R1413" s="1"/>
      <c r="S1413" s="1"/>
      <c r="T1413" s="1"/>
      <c r="U1413" s="4"/>
    </row>
    <row r="1414" spans="1:21" ht="18.75" customHeight="1">
      <c r="A1414" s="46" t="s">
        <v>37</v>
      </c>
      <c r="B1414" s="47" t="s">
        <v>132</v>
      </c>
      <c r="C1414" s="48">
        <f>D1394</f>
        <v>2</v>
      </c>
      <c r="D1414" s="47" t="s">
        <v>44</v>
      </c>
      <c r="E1414" s="49"/>
      <c r="F1414" s="84"/>
      <c r="G1414" s="85"/>
      <c r="H1414" s="49"/>
      <c r="I1414" s="53" t="s">
        <v>137</v>
      </c>
      <c r="J1414" s="54">
        <v>38000</v>
      </c>
      <c r="K1414" s="50"/>
      <c r="L1414" s="55"/>
      <c r="M1414" s="63"/>
      <c r="N1414" s="64"/>
      <c r="O1414" s="1"/>
      <c r="P1414" s="3"/>
      <c r="Q1414" s="1"/>
      <c r="R1414" s="1"/>
      <c r="S1414" s="1"/>
      <c r="T1414" s="1"/>
      <c r="U1414" s="4"/>
    </row>
    <row r="1415" spans="1:21" ht="18.75" customHeight="1" thickBot="1">
      <c r="A1415" s="56" t="s">
        <v>48</v>
      </c>
      <c r="B1415" s="57" t="s">
        <v>133</v>
      </c>
      <c r="C1415" s="58">
        <f>ROUND(F1413/10000,0)</f>
        <v>150</v>
      </c>
      <c r="D1415" s="57" t="s">
        <v>50</v>
      </c>
      <c r="E1415" s="52"/>
      <c r="F1415" s="86"/>
      <c r="G1415" s="87"/>
      <c r="H1415" s="52"/>
      <c r="I1415" s="59"/>
      <c r="J1415" s="61"/>
      <c r="K1415" s="59"/>
      <c r="L1415" s="62">
        <v>0</v>
      </c>
      <c r="M1415" s="63"/>
      <c r="N1415" s="64"/>
      <c r="O1415" s="1"/>
      <c r="P1415" s="3"/>
      <c r="Q1415" s="1"/>
      <c r="R1415" s="1"/>
      <c r="S1415" s="1"/>
      <c r="T1415" s="1"/>
      <c r="U1415" s="4"/>
    </row>
    <row r="1416" spans="1:21" ht="18.75" customHeight="1" thickBot="1">
      <c r="A1416" s="566" t="s">
        <v>152</v>
      </c>
      <c r="B1416" s="567"/>
      <c r="C1416" s="567"/>
      <c r="D1416" s="568"/>
      <c r="E1416" s="65"/>
      <c r="F1416" s="569" t="s">
        <v>53</v>
      </c>
      <c r="G1416" s="568"/>
      <c r="H1416" s="66">
        <f>H1413-J1414</f>
        <v>711999.99999999988</v>
      </c>
      <c r="I1416" s="67">
        <f>H1416*3.3%</f>
        <v>23495.999999999996</v>
      </c>
      <c r="J1416" s="68">
        <f>SUM(J1413)</f>
        <v>0</v>
      </c>
      <c r="K1416" s="69">
        <f>H1416-I1416</f>
        <v>688503.99999999988</v>
      </c>
      <c r="L1416" s="70">
        <f>L1413+SUM(H1414:H1415)+J1415</f>
        <v>0</v>
      </c>
      <c r="M1416" s="570">
        <f>K1416+L1416</f>
        <v>688503.99999999988</v>
      </c>
      <c r="N1416" s="571"/>
      <c r="O1416" s="1"/>
      <c r="P1416" s="3"/>
      <c r="Q1416" s="1"/>
      <c r="R1416" s="1"/>
      <c r="S1416" s="1"/>
      <c r="T1416" s="1"/>
      <c r="U1416" s="4"/>
    </row>
    <row r="1417" spans="1:21" ht="18.75" customHeight="1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3"/>
      <c r="Q1417" s="1"/>
      <c r="R1417" s="1"/>
      <c r="S1417" s="1"/>
      <c r="T1417" s="1"/>
      <c r="U1417" s="4"/>
    </row>
    <row r="1418" spans="1:21" ht="18.75" customHeight="1">
      <c r="A1418" s="6" t="s">
        <v>153</v>
      </c>
      <c r="B1418" s="7" t="str">
        <f>$B$34</f>
        <v>1월</v>
      </c>
      <c r="C1418" s="8" t="s">
        <v>1</v>
      </c>
      <c r="D1418" s="9">
        <f>COUNTIF($C1420:$C1435,"계약")+(COUNTIF($C1420:$C1435,"계약2")*2)</f>
        <v>1</v>
      </c>
      <c r="E1418" s="163">
        <f>COUNTIF(C1420:C1435,"낙찰수수료")</f>
        <v>0</v>
      </c>
      <c r="F1418" s="164"/>
      <c r="G1418" s="1" t="s">
        <v>154</v>
      </c>
      <c r="H1418" s="162">
        <v>0.5</v>
      </c>
      <c r="I1418" s="12">
        <v>3.3000000000000002E-2</v>
      </c>
      <c r="J1418" s="165"/>
      <c r="K1418" s="166"/>
      <c r="L1418" s="166"/>
      <c r="M1418" s="166"/>
      <c r="N1418" s="166"/>
      <c r="O1418" s="166"/>
      <c r="P1418" s="167"/>
      <c r="Q1418" s="166"/>
      <c r="R1418" s="166"/>
      <c r="S1418" s="166"/>
      <c r="T1418" s="166"/>
      <c r="U1418" s="4"/>
    </row>
    <row r="1419" spans="1:21" ht="18.75" customHeight="1">
      <c r="A1419" s="13" t="s">
        <v>3</v>
      </c>
      <c r="B1419" s="14" t="s">
        <v>4</v>
      </c>
      <c r="C1419" s="14" t="s">
        <v>5</v>
      </c>
      <c r="D1419" s="101" t="s">
        <v>6</v>
      </c>
      <c r="E1419" s="16" t="s">
        <v>7</v>
      </c>
      <c r="F1419" s="17" t="s">
        <v>8</v>
      </c>
      <c r="G1419" s="14" t="s">
        <v>9</v>
      </c>
      <c r="H1419" s="15" t="s">
        <v>10</v>
      </c>
      <c r="I1419" s="14" t="s">
        <v>11</v>
      </c>
      <c r="J1419" s="15" t="s">
        <v>12</v>
      </c>
      <c r="K1419" s="168" t="s">
        <v>13</v>
      </c>
      <c r="L1419" s="168" t="s">
        <v>14</v>
      </c>
      <c r="M1419" s="579" t="s">
        <v>15</v>
      </c>
      <c r="N1419" s="577"/>
      <c r="O1419" s="166"/>
      <c r="P1419" s="167"/>
      <c r="Q1419" s="166"/>
      <c r="R1419" s="166"/>
      <c r="S1419" s="166"/>
      <c r="T1419" s="166"/>
      <c r="U1419" s="4"/>
    </row>
    <row r="1420" spans="1:21" ht="18.75" customHeight="1">
      <c r="A1420" s="28">
        <v>46042</v>
      </c>
      <c r="B1420" s="342" t="s">
        <v>663</v>
      </c>
      <c r="C1420" s="30" t="s">
        <v>621</v>
      </c>
      <c r="D1420" s="165"/>
      <c r="E1420" s="27">
        <v>550000</v>
      </c>
      <c r="F1420" s="169">
        <f t="shared" ref="F1420:F1423" si="697">IF(D1420="no",E1420,E1420/1.1)</f>
        <v>499999.99999999994</v>
      </c>
      <c r="G1420" s="27">
        <f t="shared" ref="G1420:G1433" si="698">IF(D1420="no",0,F1420*0.1)</f>
        <v>50000</v>
      </c>
      <c r="H1420" s="170">
        <f>IF(D1420="no",0,F1420*H1418)</f>
        <v>249999.99999999997</v>
      </c>
      <c r="I1420" s="171">
        <f t="shared" ref="I1420:I1435" si="699">IF(D1420="no",0,H1420*3.3%)</f>
        <v>8250</v>
      </c>
      <c r="J1420" s="164"/>
      <c r="K1420" s="27">
        <f t="shared" ref="K1420:K1435" si="700">IF(D1420="no",0,H1420-I1420-J1420)</f>
        <v>241749.99999999997</v>
      </c>
      <c r="L1420" s="27">
        <f>IF(D1420="no",F1420*H1418-J1420,0)</f>
        <v>0</v>
      </c>
      <c r="M1420" s="620"/>
      <c r="N1420" s="581"/>
      <c r="O1420" s="166"/>
      <c r="P1420" s="167"/>
      <c r="Q1420" s="166"/>
      <c r="R1420" s="166"/>
      <c r="S1420" s="166"/>
      <c r="T1420" s="166"/>
      <c r="U1420" s="4"/>
    </row>
    <row r="1421" spans="1:21" ht="18.75" customHeight="1">
      <c r="A1421" s="39"/>
      <c r="B1421" s="127"/>
      <c r="C1421" s="30"/>
      <c r="D1421" s="161"/>
      <c r="E1421" s="102"/>
      <c r="F1421" s="169">
        <f t="shared" si="697"/>
        <v>0</v>
      </c>
      <c r="G1421" s="27">
        <f t="shared" si="698"/>
        <v>0</v>
      </c>
      <c r="H1421" s="170">
        <f>IF(D1421="no",0,F1421*H1418)</f>
        <v>0</v>
      </c>
      <c r="I1421" s="171">
        <f t="shared" si="699"/>
        <v>0</v>
      </c>
      <c r="J1421" s="164"/>
      <c r="K1421" s="27">
        <f t="shared" si="700"/>
        <v>0</v>
      </c>
      <c r="L1421" s="27">
        <f>IF(D1421="no",F1421*H1418-J1421,0)</f>
        <v>0</v>
      </c>
      <c r="M1421" s="617"/>
      <c r="N1421" s="564"/>
      <c r="O1421" s="166"/>
      <c r="P1421" s="167"/>
      <c r="Q1421" s="166"/>
      <c r="R1421" s="166"/>
      <c r="S1421" s="166"/>
      <c r="T1421" s="166"/>
      <c r="U1421" s="4"/>
    </row>
    <row r="1422" spans="1:21" ht="18.75" hidden="1" customHeight="1">
      <c r="A1422" s="39"/>
      <c r="B1422" s="29"/>
      <c r="C1422" s="30"/>
      <c r="D1422" s="161"/>
      <c r="E1422" s="27"/>
      <c r="F1422" s="169">
        <f t="shared" si="697"/>
        <v>0</v>
      </c>
      <c r="G1422" s="27">
        <f t="shared" si="698"/>
        <v>0</v>
      </c>
      <c r="H1422" s="170">
        <f>IF(D1422="no",0,F1422*H1418)</f>
        <v>0</v>
      </c>
      <c r="I1422" s="171">
        <f t="shared" si="699"/>
        <v>0</v>
      </c>
      <c r="J1422" s="164"/>
      <c r="K1422" s="27">
        <f t="shared" si="700"/>
        <v>0</v>
      </c>
      <c r="L1422" s="27">
        <f>IF(D1422="no",F1422*H1418-J1422,0)</f>
        <v>0</v>
      </c>
      <c r="M1422" s="617"/>
      <c r="N1422" s="564"/>
      <c r="O1422" s="166"/>
      <c r="P1422" s="167"/>
      <c r="Q1422" s="166"/>
      <c r="R1422" s="166"/>
      <c r="S1422" s="166"/>
      <c r="T1422" s="166"/>
      <c r="U1422" s="4"/>
    </row>
    <row r="1423" spans="1:21" ht="18.75" hidden="1" customHeight="1">
      <c r="A1423" s="305"/>
      <c r="B1423" s="256"/>
      <c r="C1423" s="257"/>
      <c r="D1423" s="161"/>
      <c r="E1423" s="174"/>
      <c r="F1423" s="169">
        <f t="shared" si="697"/>
        <v>0</v>
      </c>
      <c r="G1423" s="27">
        <f t="shared" si="698"/>
        <v>0</v>
      </c>
      <c r="H1423" s="170">
        <f>IF(D1423="no",0,F1423*H1418)</f>
        <v>0</v>
      </c>
      <c r="I1423" s="171">
        <f t="shared" si="699"/>
        <v>0</v>
      </c>
      <c r="J1423" s="164"/>
      <c r="K1423" s="27">
        <f t="shared" si="700"/>
        <v>0</v>
      </c>
      <c r="L1423" s="27">
        <f>IF(D1423="no",F1423*H1418-J1423,0)</f>
        <v>0</v>
      </c>
      <c r="M1423" s="617"/>
      <c r="N1423" s="564"/>
      <c r="O1423" s="166"/>
      <c r="P1423" s="167"/>
      <c r="Q1423" s="166"/>
      <c r="R1423" s="166"/>
      <c r="S1423" s="166"/>
      <c r="T1423" s="166"/>
      <c r="U1423" s="4"/>
    </row>
    <row r="1424" spans="1:21" ht="18.75" hidden="1" customHeight="1">
      <c r="A1424" s="305"/>
      <c r="B1424" s="256"/>
      <c r="C1424" s="257"/>
      <c r="D1424" s="161"/>
      <c r="E1424" s="174"/>
      <c r="F1424" s="169">
        <f t="shared" ref="F1424:F1433" si="701">IF(D1424="no",E1424,E1424/1.1)</f>
        <v>0</v>
      </c>
      <c r="G1424" s="27">
        <f t="shared" si="698"/>
        <v>0</v>
      </c>
      <c r="H1424" s="170">
        <f>IF(D1424="no",0,F1424*H1418)</f>
        <v>0</v>
      </c>
      <c r="I1424" s="171">
        <f t="shared" si="699"/>
        <v>0</v>
      </c>
      <c r="J1424" s="164"/>
      <c r="K1424" s="27">
        <f t="shared" si="700"/>
        <v>0</v>
      </c>
      <c r="L1424" s="27">
        <f t="shared" ref="L1424:L1425" si="702">IF(D1424="no",F1424*H1418-J1424,0)</f>
        <v>0</v>
      </c>
      <c r="M1424" s="617"/>
      <c r="N1424" s="564"/>
      <c r="O1424" s="166"/>
      <c r="P1424" s="167"/>
      <c r="Q1424" s="166"/>
      <c r="R1424" s="166"/>
      <c r="S1424" s="166"/>
      <c r="T1424" s="166"/>
      <c r="U1424" s="4"/>
    </row>
    <row r="1425" spans="1:21" ht="18.75" hidden="1" customHeight="1">
      <c r="A1425" s="176"/>
      <c r="B1425" s="172"/>
      <c r="C1425" s="173"/>
      <c r="D1425" s="161"/>
      <c r="E1425" s="174"/>
      <c r="F1425" s="169">
        <f t="shared" si="701"/>
        <v>0</v>
      </c>
      <c r="G1425" s="27">
        <f t="shared" si="698"/>
        <v>0</v>
      </c>
      <c r="H1425" s="170">
        <f>IF(D1425="no",0,F1425*H1418)</f>
        <v>0</v>
      </c>
      <c r="I1425" s="171">
        <f t="shared" si="699"/>
        <v>0</v>
      </c>
      <c r="J1425" s="164"/>
      <c r="K1425" s="27">
        <f t="shared" si="700"/>
        <v>0</v>
      </c>
      <c r="L1425" s="27">
        <f t="shared" si="702"/>
        <v>0</v>
      </c>
      <c r="M1425" s="617"/>
      <c r="N1425" s="564"/>
      <c r="O1425" s="166"/>
      <c r="P1425" s="167"/>
      <c r="Q1425" s="166"/>
      <c r="R1425" s="166"/>
      <c r="S1425" s="166"/>
      <c r="T1425" s="166"/>
      <c r="U1425" s="4"/>
    </row>
    <row r="1426" spans="1:21" ht="18.75" hidden="1" customHeight="1">
      <c r="A1426" s="176"/>
      <c r="B1426" s="172"/>
      <c r="C1426" s="173"/>
      <c r="D1426" s="161"/>
      <c r="E1426" s="174"/>
      <c r="F1426" s="169">
        <f t="shared" si="701"/>
        <v>0</v>
      </c>
      <c r="G1426" s="27">
        <f t="shared" si="698"/>
        <v>0</v>
      </c>
      <c r="H1426" s="170">
        <f>IF(D1426="no",0,F1426*H1418)</f>
        <v>0</v>
      </c>
      <c r="I1426" s="171">
        <f t="shared" si="699"/>
        <v>0</v>
      </c>
      <c r="J1426" s="164"/>
      <c r="K1426" s="27">
        <f t="shared" si="700"/>
        <v>0</v>
      </c>
      <c r="L1426" s="27">
        <f>IF(D1426="no",F1426*H1418-J1426,0)</f>
        <v>0</v>
      </c>
      <c r="M1426" s="619"/>
      <c r="N1426" s="564"/>
      <c r="O1426" s="166"/>
      <c r="P1426" s="167"/>
      <c r="Q1426" s="166"/>
      <c r="R1426" s="166"/>
      <c r="S1426" s="166"/>
      <c r="T1426" s="166"/>
      <c r="U1426" s="4"/>
    </row>
    <row r="1427" spans="1:21" ht="18.75" hidden="1" customHeight="1">
      <c r="A1427" s="176"/>
      <c r="B1427" s="172"/>
      <c r="C1427" s="173"/>
      <c r="D1427" s="161"/>
      <c r="E1427" s="174"/>
      <c r="F1427" s="169">
        <f t="shared" si="701"/>
        <v>0</v>
      </c>
      <c r="G1427" s="27">
        <f t="shared" si="698"/>
        <v>0</v>
      </c>
      <c r="H1427" s="170">
        <f>IF(D1427="no",0,F1427*H1418)</f>
        <v>0</v>
      </c>
      <c r="I1427" s="171">
        <f t="shared" si="699"/>
        <v>0</v>
      </c>
      <c r="J1427" s="164"/>
      <c r="K1427" s="27">
        <f t="shared" si="700"/>
        <v>0</v>
      </c>
      <c r="L1427" s="27">
        <f t="shared" ref="L1427:L1428" si="703">IF(D1427="no",F1427*H1418-J1427,0)</f>
        <v>0</v>
      </c>
      <c r="M1427" s="617"/>
      <c r="N1427" s="564"/>
      <c r="O1427" s="166"/>
      <c r="P1427" s="167"/>
      <c r="Q1427" s="166"/>
      <c r="R1427" s="166"/>
      <c r="S1427" s="166"/>
      <c r="T1427" s="166"/>
      <c r="U1427" s="4"/>
    </row>
    <row r="1428" spans="1:21" ht="18.75" hidden="1" customHeight="1">
      <c r="A1428" s="176"/>
      <c r="B1428" s="172"/>
      <c r="C1428" s="173"/>
      <c r="D1428" s="161"/>
      <c r="E1428" s="174"/>
      <c r="F1428" s="169">
        <f t="shared" si="701"/>
        <v>0</v>
      </c>
      <c r="G1428" s="27">
        <f t="shared" si="698"/>
        <v>0</v>
      </c>
      <c r="H1428" s="170">
        <f>IF(D1428="no",0,F1428*H1418)</f>
        <v>0</v>
      </c>
      <c r="I1428" s="171">
        <f t="shared" si="699"/>
        <v>0</v>
      </c>
      <c r="J1428" s="164"/>
      <c r="K1428" s="27">
        <f t="shared" si="700"/>
        <v>0</v>
      </c>
      <c r="L1428" s="27">
        <f t="shared" si="703"/>
        <v>0</v>
      </c>
      <c r="M1428" s="619"/>
      <c r="N1428" s="564"/>
      <c r="O1428" s="166"/>
      <c r="P1428" s="167"/>
      <c r="Q1428" s="166"/>
      <c r="R1428" s="166"/>
      <c r="S1428" s="166"/>
      <c r="T1428" s="166"/>
      <c r="U1428" s="4"/>
    </row>
    <row r="1429" spans="1:21" ht="18.75" hidden="1" customHeight="1">
      <c r="A1429" s="176"/>
      <c r="B1429" s="172"/>
      <c r="C1429" s="173"/>
      <c r="D1429" s="161"/>
      <c r="E1429" s="174"/>
      <c r="F1429" s="169">
        <f t="shared" si="701"/>
        <v>0</v>
      </c>
      <c r="G1429" s="27">
        <f t="shared" si="698"/>
        <v>0</v>
      </c>
      <c r="H1429" s="170">
        <f>IF(D1429="no",0,F1429*H1418)</f>
        <v>0</v>
      </c>
      <c r="I1429" s="171">
        <f t="shared" si="699"/>
        <v>0</v>
      </c>
      <c r="J1429" s="164"/>
      <c r="K1429" s="27">
        <f t="shared" si="700"/>
        <v>0</v>
      </c>
      <c r="L1429" s="27">
        <f t="shared" ref="L1429:L1430" si="704">IF(D1429="no",F1429*H1417-J1429,0)</f>
        <v>0</v>
      </c>
      <c r="M1429" s="617"/>
      <c r="N1429" s="564"/>
      <c r="O1429" s="166"/>
      <c r="P1429" s="167"/>
      <c r="Q1429" s="166"/>
      <c r="R1429" s="166"/>
      <c r="S1429" s="166"/>
      <c r="T1429" s="166"/>
      <c r="U1429" s="4"/>
    </row>
    <row r="1430" spans="1:21" ht="18.75" hidden="1" customHeight="1">
      <c r="A1430" s="176"/>
      <c r="B1430" s="177"/>
      <c r="C1430" s="178"/>
      <c r="D1430" s="161"/>
      <c r="E1430" s="33"/>
      <c r="F1430" s="169">
        <f t="shared" si="701"/>
        <v>0</v>
      </c>
      <c r="G1430" s="27">
        <f t="shared" si="698"/>
        <v>0</v>
      </c>
      <c r="H1430" s="170">
        <f>IF(D1430="no",0,F1430*H1418)</f>
        <v>0</v>
      </c>
      <c r="I1430" s="171">
        <f t="shared" si="699"/>
        <v>0</v>
      </c>
      <c r="J1430" s="164"/>
      <c r="K1430" s="27">
        <f t="shared" si="700"/>
        <v>0</v>
      </c>
      <c r="L1430" s="27">
        <f t="shared" si="704"/>
        <v>0</v>
      </c>
      <c r="M1430" s="619"/>
      <c r="N1430" s="564"/>
      <c r="O1430" s="166"/>
      <c r="P1430" s="167"/>
      <c r="Q1430" s="166"/>
      <c r="R1430" s="166"/>
      <c r="S1430" s="166"/>
      <c r="T1430" s="166"/>
      <c r="U1430" s="4"/>
    </row>
    <row r="1431" spans="1:21" ht="18.75" hidden="1" customHeight="1">
      <c r="A1431" s="176"/>
      <c r="B1431" s="172"/>
      <c r="C1431" s="173"/>
      <c r="D1431" s="161"/>
      <c r="E1431" s="174"/>
      <c r="F1431" s="169">
        <f t="shared" si="701"/>
        <v>0</v>
      </c>
      <c r="G1431" s="27">
        <f t="shared" si="698"/>
        <v>0</v>
      </c>
      <c r="H1431" s="170">
        <f>IF(D1431="no",0,F1431*H1418)</f>
        <v>0</v>
      </c>
      <c r="I1431" s="171">
        <f t="shared" si="699"/>
        <v>0</v>
      </c>
      <c r="J1431" s="164"/>
      <c r="K1431" s="27">
        <f t="shared" si="700"/>
        <v>0</v>
      </c>
      <c r="L1431" s="27">
        <f>IF(D1431="no",F1431*H1418-J1431,0)</f>
        <v>0</v>
      </c>
      <c r="M1431" s="617"/>
      <c r="N1431" s="564"/>
      <c r="O1431" s="166"/>
      <c r="P1431" s="167"/>
      <c r="Q1431" s="166"/>
      <c r="R1431" s="166"/>
      <c r="S1431" s="166"/>
      <c r="T1431" s="166"/>
      <c r="U1431" s="4"/>
    </row>
    <row r="1432" spans="1:21" ht="18.75" customHeight="1">
      <c r="A1432" s="39" t="s">
        <v>616</v>
      </c>
      <c r="B1432" s="256" t="s">
        <v>339</v>
      </c>
      <c r="C1432" s="173"/>
      <c r="D1432" s="161"/>
      <c r="E1432" s="174"/>
      <c r="F1432" s="169">
        <f t="shared" si="701"/>
        <v>0</v>
      </c>
      <c r="G1432" s="27">
        <f t="shared" si="698"/>
        <v>0</v>
      </c>
      <c r="H1432" s="164"/>
      <c r="I1432" s="171">
        <f t="shared" si="699"/>
        <v>0</v>
      </c>
      <c r="J1432" s="164"/>
      <c r="K1432" s="27">
        <f t="shared" si="700"/>
        <v>0</v>
      </c>
      <c r="L1432" s="27">
        <f t="shared" ref="L1432:L1434" si="705">IF(D1432="no",F1432*H1417-J1432,0)</f>
        <v>0</v>
      </c>
      <c r="M1432" s="617"/>
      <c r="N1432" s="564"/>
      <c r="O1432" s="166"/>
      <c r="P1432" s="167"/>
      <c r="Q1432" s="166"/>
      <c r="R1432" s="166"/>
      <c r="S1432" s="166"/>
      <c r="T1432" s="166"/>
      <c r="U1432" s="4"/>
    </row>
    <row r="1433" spans="1:21" ht="18.75" customHeight="1">
      <c r="A1433" s="39" t="s">
        <v>616</v>
      </c>
      <c r="B1433" s="29" t="s">
        <v>408</v>
      </c>
      <c r="C1433" s="173"/>
      <c r="D1433" s="165"/>
      <c r="E1433" s="174"/>
      <c r="F1433" s="169">
        <f t="shared" si="701"/>
        <v>0</v>
      </c>
      <c r="G1433" s="27">
        <f t="shared" si="698"/>
        <v>0</v>
      </c>
      <c r="H1433" s="32"/>
      <c r="I1433" s="171">
        <f t="shared" si="699"/>
        <v>0</v>
      </c>
      <c r="J1433" s="164"/>
      <c r="K1433" s="27">
        <f t="shared" si="700"/>
        <v>0</v>
      </c>
      <c r="L1433" s="27">
        <f t="shared" si="705"/>
        <v>0</v>
      </c>
      <c r="M1433" s="621"/>
      <c r="N1433" s="622"/>
      <c r="O1433" s="166"/>
      <c r="P1433" s="167"/>
      <c r="Q1433" s="166"/>
      <c r="R1433" s="166"/>
      <c r="S1433" s="166"/>
      <c r="T1433" s="166"/>
      <c r="U1433" s="4"/>
    </row>
    <row r="1434" spans="1:21" ht="18.75" customHeight="1">
      <c r="A1434" s="39" t="s">
        <v>616</v>
      </c>
      <c r="B1434" s="29" t="s">
        <v>61</v>
      </c>
      <c r="C1434" s="173"/>
      <c r="D1434" s="165"/>
      <c r="E1434" s="174"/>
      <c r="F1434" s="175"/>
      <c r="G1434" s="174"/>
      <c r="H1434" s="164"/>
      <c r="I1434" s="171">
        <f t="shared" si="699"/>
        <v>0</v>
      </c>
      <c r="J1434" s="164"/>
      <c r="K1434" s="27">
        <f t="shared" si="700"/>
        <v>0</v>
      </c>
      <c r="L1434" s="27">
        <f t="shared" si="705"/>
        <v>0</v>
      </c>
      <c r="M1434" s="617"/>
      <c r="N1434" s="564"/>
      <c r="O1434" s="166"/>
      <c r="P1434" s="167"/>
      <c r="Q1434" s="166"/>
      <c r="R1434" s="166"/>
      <c r="S1434" s="166"/>
      <c r="T1434" s="166"/>
      <c r="U1434" s="4"/>
    </row>
    <row r="1435" spans="1:21" ht="18.75" customHeight="1">
      <c r="A1435" s="39" t="s">
        <v>616</v>
      </c>
      <c r="B1435" s="29" t="s">
        <v>35</v>
      </c>
      <c r="C1435" s="173"/>
      <c r="D1435" s="165"/>
      <c r="E1435" s="174"/>
      <c r="F1435" s="169">
        <f>IF(D1435="no",E1435,E1435/1.1)</f>
        <v>0</v>
      </c>
      <c r="G1435" s="27">
        <f>IF(D1435="no",0,F1435*0.1)</f>
        <v>0</v>
      </c>
      <c r="H1435" s="174"/>
      <c r="I1435" s="171">
        <f t="shared" si="699"/>
        <v>0</v>
      </c>
      <c r="J1435" s="164"/>
      <c r="K1435" s="27">
        <f t="shared" si="700"/>
        <v>0</v>
      </c>
      <c r="L1435" s="27">
        <f>IF(D1435="no",F1435*H1421-J1435,0)</f>
        <v>0</v>
      </c>
      <c r="M1435" s="572"/>
      <c r="N1435" s="564"/>
      <c r="O1435" s="166"/>
      <c r="P1435" s="167"/>
      <c r="Q1435" s="166"/>
      <c r="R1435" s="166"/>
      <c r="S1435" s="166"/>
      <c r="T1435" s="166"/>
      <c r="U1435" s="4"/>
    </row>
    <row r="1436" spans="1:21" ht="18.75" customHeight="1">
      <c r="A1436" s="618" t="s">
        <v>42</v>
      </c>
      <c r="B1436" s="576"/>
      <c r="C1436" s="576"/>
      <c r="D1436" s="577"/>
      <c r="E1436" s="42">
        <f t="shared" ref="E1436:L1436" si="706">SUM(E1420:E1435)</f>
        <v>550000</v>
      </c>
      <c r="F1436" s="17">
        <f t="shared" si="706"/>
        <v>499999.99999999994</v>
      </c>
      <c r="G1436" s="42">
        <f t="shared" si="706"/>
        <v>50000</v>
      </c>
      <c r="H1436" s="43">
        <f>SUM(H1420:H1435)</f>
        <v>249999.99999999997</v>
      </c>
      <c r="I1436" s="42">
        <f t="shared" si="706"/>
        <v>8250</v>
      </c>
      <c r="J1436" s="43">
        <f t="shared" si="706"/>
        <v>0</v>
      </c>
      <c r="K1436" s="42">
        <f t="shared" si="706"/>
        <v>241749.99999999997</v>
      </c>
      <c r="L1436" s="42">
        <f t="shared" si="706"/>
        <v>0</v>
      </c>
      <c r="M1436" s="179"/>
      <c r="N1436" s="180"/>
      <c r="O1436" s="166"/>
      <c r="P1436" s="167"/>
      <c r="Q1436" s="166"/>
      <c r="R1436" s="166"/>
      <c r="S1436" s="166"/>
      <c r="T1436" s="166"/>
      <c r="U1436" s="4"/>
    </row>
    <row r="1437" spans="1:21" ht="18.75" customHeight="1">
      <c r="A1437" s="181" t="s">
        <v>37</v>
      </c>
      <c r="B1437" s="47" t="s">
        <v>132</v>
      </c>
      <c r="C1437" s="48">
        <f>D1418</f>
        <v>1</v>
      </c>
      <c r="D1437" s="47" t="s">
        <v>44</v>
      </c>
      <c r="E1437" s="182"/>
      <c r="F1437" s="183"/>
      <c r="G1437" s="184"/>
      <c r="H1437" s="182"/>
      <c r="I1437" s="185" t="s">
        <v>137</v>
      </c>
      <c r="J1437" s="54"/>
      <c r="K1437" s="183"/>
      <c r="L1437" s="184"/>
      <c r="M1437" s="186"/>
      <c r="N1437" s="187"/>
      <c r="O1437" s="166"/>
      <c r="P1437" s="167"/>
      <c r="Q1437" s="166"/>
      <c r="R1437" s="166"/>
      <c r="S1437" s="166"/>
      <c r="T1437" s="166"/>
      <c r="U1437" s="4"/>
    </row>
    <row r="1438" spans="1:21" ht="18.75" customHeight="1" thickBot="1">
      <c r="A1438" s="56" t="s">
        <v>48</v>
      </c>
      <c r="B1438" s="57" t="s">
        <v>133</v>
      </c>
      <c r="C1438" s="58">
        <f>ROUND(F1436/10000,0)</f>
        <v>50</v>
      </c>
      <c r="D1438" s="57" t="s">
        <v>50</v>
      </c>
      <c r="E1438" s="188"/>
      <c r="F1438" s="189"/>
      <c r="G1438" s="190"/>
      <c r="H1438" s="188"/>
      <c r="I1438" s="189"/>
      <c r="J1438" s="188"/>
      <c r="K1438" s="189"/>
      <c r="L1438" s="191">
        <f>IF(C1438&gt;=1000,500000,0)</f>
        <v>0</v>
      </c>
      <c r="M1438" s="189"/>
      <c r="N1438" s="187"/>
      <c r="O1438" s="166"/>
      <c r="P1438" s="167"/>
      <c r="Q1438" s="166"/>
      <c r="R1438" s="166"/>
      <c r="S1438" s="166"/>
      <c r="T1438" s="166"/>
      <c r="U1438" s="4"/>
    </row>
    <row r="1439" spans="1:21" ht="18.75" customHeight="1" thickBot="1">
      <c r="A1439" s="616" t="s">
        <v>152</v>
      </c>
      <c r="B1439" s="567"/>
      <c r="C1439" s="567"/>
      <c r="D1439" s="568"/>
      <c r="E1439" s="192"/>
      <c r="F1439" s="569" t="s">
        <v>53</v>
      </c>
      <c r="G1439" s="568"/>
      <c r="H1439" s="66">
        <f>H1436-J1437</f>
        <v>249999.99999999997</v>
      </c>
      <c r="I1439" s="67">
        <f>H1439*3.3%</f>
        <v>8250</v>
      </c>
      <c r="J1439" s="68">
        <f>SUM(J1436)</f>
        <v>0</v>
      </c>
      <c r="K1439" s="69">
        <f>H1439-I1439</f>
        <v>241749.99999999997</v>
      </c>
      <c r="L1439" s="70">
        <f>L1436+SUM(H1437:H1438)+J1438</f>
        <v>0</v>
      </c>
      <c r="M1439" s="570">
        <f>K1439+L1439</f>
        <v>241749.99999999997</v>
      </c>
      <c r="N1439" s="571"/>
      <c r="O1439" s="166"/>
      <c r="P1439" s="167"/>
      <c r="Q1439" s="166"/>
      <c r="R1439" s="166"/>
      <c r="S1439" s="166"/>
      <c r="T1439" s="166"/>
      <c r="U1439" s="4"/>
    </row>
    <row r="1440" spans="1:21" ht="18.75" customHeight="1">
      <c r="A1440" s="165"/>
      <c r="B1440" s="165"/>
      <c r="C1440" s="165"/>
      <c r="D1440" s="165"/>
      <c r="E1440" s="165"/>
      <c r="F1440" s="165"/>
      <c r="G1440" s="165"/>
      <c r="H1440" s="550">
        <v>1</v>
      </c>
      <c r="I1440" s="165"/>
      <c r="J1440" s="165"/>
      <c r="K1440" s="165"/>
      <c r="L1440" s="165"/>
      <c r="M1440" s="165"/>
      <c r="N1440" s="165"/>
      <c r="O1440" s="165"/>
      <c r="P1440" s="164"/>
      <c r="Q1440" s="165"/>
      <c r="R1440" s="165"/>
      <c r="S1440" s="165"/>
      <c r="T1440" s="165"/>
      <c r="U1440" s="4"/>
    </row>
    <row r="1441" spans="1:21" ht="18.75" customHeight="1">
      <c r="A1441" s="6" t="s">
        <v>155</v>
      </c>
      <c r="B1441" s="7" t="str">
        <f>$B$34</f>
        <v>1월</v>
      </c>
      <c r="C1441" s="8" t="s">
        <v>1</v>
      </c>
      <c r="D1441" s="9">
        <f>COUNTIF($C1443:$C1459,"계약")+(COUNTIF($C1443:$C1459,"계약2")*2)</f>
        <v>0</v>
      </c>
      <c r="E1441" s="163">
        <f>COUNTIF(C1443:C1459,"낙찰수수료")</f>
        <v>0</v>
      </c>
      <c r="F1441" s="164"/>
      <c r="G1441" s="1" t="s">
        <v>156</v>
      </c>
      <c r="H1441" s="162">
        <v>0.5</v>
      </c>
      <c r="I1441" s="12">
        <v>3.3000000000000002E-2</v>
      </c>
      <c r="J1441" s="165"/>
      <c r="K1441" s="166"/>
      <c r="L1441" s="166"/>
      <c r="M1441" s="166"/>
      <c r="N1441" s="166"/>
      <c r="O1441" s="165"/>
      <c r="P1441" s="164"/>
      <c r="Q1441" s="165"/>
      <c r="R1441" s="165"/>
      <c r="S1441" s="165"/>
      <c r="T1441" s="165"/>
      <c r="U1441" s="4"/>
    </row>
    <row r="1442" spans="1:21" ht="18.75" customHeight="1">
      <c r="A1442" s="13" t="s">
        <v>3</v>
      </c>
      <c r="B1442" s="14" t="s">
        <v>4</v>
      </c>
      <c r="C1442" s="14" t="s">
        <v>5</v>
      </c>
      <c r="D1442" s="101" t="s">
        <v>6</v>
      </c>
      <c r="E1442" s="16" t="s">
        <v>7</v>
      </c>
      <c r="F1442" s="17" t="s">
        <v>8</v>
      </c>
      <c r="G1442" s="14" t="s">
        <v>9</v>
      </c>
      <c r="H1442" s="15" t="s">
        <v>10</v>
      </c>
      <c r="I1442" s="14" t="s">
        <v>11</v>
      </c>
      <c r="J1442" s="15" t="s">
        <v>12</v>
      </c>
      <c r="K1442" s="168" t="s">
        <v>13</v>
      </c>
      <c r="L1442" s="168" t="s">
        <v>14</v>
      </c>
      <c r="M1442" s="579" t="s">
        <v>15</v>
      </c>
      <c r="N1442" s="577"/>
      <c r="O1442" s="164"/>
      <c r="P1442" s="164"/>
      <c r="Q1442" s="164"/>
      <c r="R1442" s="164"/>
      <c r="S1442" s="164"/>
      <c r="T1442" s="164"/>
      <c r="U1442" s="4"/>
    </row>
    <row r="1443" spans="1:21" ht="18.75" customHeight="1">
      <c r="A1443" s="28">
        <v>46045</v>
      </c>
      <c r="B1443" s="342" t="s">
        <v>664</v>
      </c>
      <c r="C1443" s="30" t="s">
        <v>632</v>
      </c>
      <c r="D1443" s="165"/>
      <c r="E1443" s="553">
        <v>60000</v>
      </c>
      <c r="F1443" s="169">
        <f t="shared" ref="F1443:F1446" si="707">IF(D1443="no",E1443,E1443/1.1)</f>
        <v>54545.454545454544</v>
      </c>
      <c r="G1443" s="27">
        <f t="shared" ref="G1443:G1457" si="708">IF(D1443="no",0,F1443*0.1)</f>
        <v>5454.545454545455</v>
      </c>
      <c r="H1443" s="558">
        <f>IF(D1443="no",0,F1443*H1440)</f>
        <v>54545.454545454544</v>
      </c>
      <c r="I1443" s="171">
        <f t="shared" ref="I1443:I1459" si="709">IF(D1443="no",0,H1443*3.3%)</f>
        <v>1800</v>
      </c>
      <c r="J1443" s="164"/>
      <c r="K1443" s="27">
        <f t="shared" ref="K1443:K1459" si="710">IF(D1443="no",0,H1443-I1443-J1443)</f>
        <v>52745.454545454544</v>
      </c>
      <c r="L1443" s="27">
        <f>IF(D1443="no",F1443*H1441-J1443,0)</f>
        <v>0</v>
      </c>
      <c r="M1443" s="620"/>
      <c r="N1443" s="581"/>
      <c r="O1443" s="165"/>
      <c r="P1443" s="164"/>
      <c r="Q1443" s="165"/>
      <c r="R1443" s="165"/>
      <c r="S1443" s="165"/>
      <c r="T1443" s="165"/>
      <c r="U1443" s="4"/>
    </row>
    <row r="1444" spans="1:21" ht="18.75" customHeight="1">
      <c r="A1444" s="39">
        <v>46050</v>
      </c>
      <c r="B1444" s="127" t="s">
        <v>665</v>
      </c>
      <c r="C1444" s="30" t="s">
        <v>659</v>
      </c>
      <c r="D1444" s="161"/>
      <c r="E1444" s="552">
        <v>30000</v>
      </c>
      <c r="F1444" s="169">
        <f t="shared" si="707"/>
        <v>27272.727272727272</v>
      </c>
      <c r="G1444" s="27">
        <f t="shared" si="708"/>
        <v>2727.2727272727275</v>
      </c>
      <c r="H1444" s="558">
        <f>IF(D1444="no",0,F1444*H1440)</f>
        <v>27272.727272727272</v>
      </c>
      <c r="I1444" s="171">
        <f t="shared" si="709"/>
        <v>900</v>
      </c>
      <c r="J1444" s="164"/>
      <c r="K1444" s="27">
        <f t="shared" si="710"/>
        <v>26372.727272727272</v>
      </c>
      <c r="L1444" s="27">
        <f>IF(D1444="no",F1444*H1441-J1444,0)</f>
        <v>0</v>
      </c>
      <c r="M1444" s="617"/>
      <c r="N1444" s="564"/>
      <c r="O1444" s="165"/>
      <c r="P1444" s="164"/>
      <c r="Q1444" s="165"/>
      <c r="R1444" s="165"/>
      <c r="S1444" s="165"/>
      <c r="T1444" s="165"/>
      <c r="U1444" s="4"/>
    </row>
    <row r="1445" spans="1:21" ht="18.75" customHeight="1">
      <c r="A1445" s="28"/>
      <c r="B1445" s="29"/>
      <c r="C1445" s="30"/>
      <c r="D1445" s="161"/>
      <c r="E1445" s="27"/>
      <c r="F1445" s="169">
        <f t="shared" si="707"/>
        <v>0</v>
      </c>
      <c r="G1445" s="27">
        <f t="shared" si="708"/>
        <v>0</v>
      </c>
      <c r="H1445" s="170">
        <f>IF(D1445="no",0,F1445*H1441)</f>
        <v>0</v>
      </c>
      <c r="I1445" s="171">
        <f t="shared" si="709"/>
        <v>0</v>
      </c>
      <c r="J1445" s="164"/>
      <c r="K1445" s="27">
        <f t="shared" si="710"/>
        <v>0</v>
      </c>
      <c r="L1445" s="27">
        <f>IF(D1445="no",F1445*H1441-J1445,0)</f>
        <v>0</v>
      </c>
      <c r="M1445" s="617"/>
      <c r="N1445" s="564"/>
      <c r="O1445" s="165"/>
      <c r="P1445" s="164"/>
      <c r="Q1445" s="165"/>
      <c r="R1445" s="165"/>
      <c r="S1445" s="165"/>
      <c r="T1445" s="165"/>
      <c r="U1445" s="4"/>
    </row>
    <row r="1446" spans="1:21" ht="18.75" hidden="1" customHeight="1">
      <c r="A1446" s="39"/>
      <c r="B1446" s="29"/>
      <c r="C1446" s="30"/>
      <c r="D1446" s="127"/>
      <c r="E1446" s="33"/>
      <c r="F1446" s="169">
        <f t="shared" si="707"/>
        <v>0</v>
      </c>
      <c r="G1446" s="27">
        <f t="shared" si="708"/>
        <v>0</v>
      </c>
      <c r="H1446" s="170">
        <f>IF(D1446="no",0,F1446*H1441)</f>
        <v>0</v>
      </c>
      <c r="I1446" s="171">
        <f t="shared" si="709"/>
        <v>0</v>
      </c>
      <c r="J1446" s="164"/>
      <c r="K1446" s="27">
        <f t="shared" si="710"/>
        <v>0</v>
      </c>
      <c r="L1446" s="27">
        <f>IF(D1446="no",F1446*H1441-J1446,0)</f>
        <v>0</v>
      </c>
      <c r="M1446" s="617"/>
      <c r="N1446" s="564"/>
      <c r="O1446" s="165"/>
      <c r="P1446" s="164"/>
      <c r="Q1446" s="165"/>
      <c r="R1446" s="165"/>
      <c r="S1446" s="165"/>
      <c r="T1446" s="165"/>
      <c r="U1446" s="4"/>
    </row>
    <row r="1447" spans="1:21" ht="18.75" hidden="1" customHeight="1">
      <c r="A1447" s="39"/>
      <c r="B1447" s="29"/>
      <c r="C1447" s="30"/>
      <c r="D1447" s="127"/>
      <c r="E1447" s="33"/>
      <c r="F1447" s="169">
        <f t="shared" ref="F1447:F1457" si="711">IF(D1447="no",E1447,E1447/1.1)</f>
        <v>0</v>
      </c>
      <c r="G1447" s="27">
        <f t="shared" si="708"/>
        <v>0</v>
      </c>
      <c r="H1447" s="170">
        <f>IF(D1447="no",0,F1447*H1441)</f>
        <v>0</v>
      </c>
      <c r="I1447" s="171">
        <f t="shared" si="709"/>
        <v>0</v>
      </c>
      <c r="J1447" s="164"/>
      <c r="K1447" s="27">
        <f t="shared" si="710"/>
        <v>0</v>
      </c>
      <c r="L1447" s="27">
        <f t="shared" ref="L1447:L1448" si="712">IF(D1447="no",F1447*H1441-J1447,0)</f>
        <v>0</v>
      </c>
      <c r="M1447" s="617"/>
      <c r="N1447" s="564"/>
      <c r="O1447" s="165"/>
      <c r="P1447" s="164"/>
      <c r="Q1447" s="165"/>
      <c r="R1447" s="165"/>
      <c r="S1447" s="165"/>
      <c r="T1447" s="165"/>
      <c r="U1447" s="4"/>
    </row>
    <row r="1448" spans="1:21" ht="18.75" hidden="1" customHeight="1">
      <c r="A1448" s="39"/>
      <c r="B1448" s="29"/>
      <c r="C1448" s="30"/>
      <c r="D1448" s="127"/>
      <c r="E1448" s="33"/>
      <c r="F1448" s="169">
        <f t="shared" si="711"/>
        <v>0</v>
      </c>
      <c r="G1448" s="27">
        <f t="shared" si="708"/>
        <v>0</v>
      </c>
      <c r="H1448" s="170">
        <f>IF(D1448="no",0,F1448*H1441)</f>
        <v>0</v>
      </c>
      <c r="I1448" s="171">
        <f t="shared" si="709"/>
        <v>0</v>
      </c>
      <c r="J1448" s="164"/>
      <c r="K1448" s="27">
        <f t="shared" si="710"/>
        <v>0</v>
      </c>
      <c r="L1448" s="27">
        <f t="shared" si="712"/>
        <v>0</v>
      </c>
      <c r="M1448" s="617"/>
      <c r="N1448" s="564"/>
      <c r="O1448" s="165"/>
      <c r="P1448" s="164"/>
      <c r="Q1448" s="165"/>
      <c r="R1448" s="165"/>
      <c r="S1448" s="165"/>
      <c r="T1448" s="165"/>
      <c r="U1448" s="4"/>
    </row>
    <row r="1449" spans="1:21" ht="18.75" hidden="1" customHeight="1">
      <c r="A1449" s="39"/>
      <c r="B1449" s="29"/>
      <c r="C1449" s="30"/>
      <c r="D1449" s="127"/>
      <c r="E1449" s="33"/>
      <c r="F1449" s="169">
        <f t="shared" si="711"/>
        <v>0</v>
      </c>
      <c r="G1449" s="27">
        <f t="shared" si="708"/>
        <v>0</v>
      </c>
      <c r="H1449" s="170">
        <f>IF(D1449="no",0,F1449*H1441)</f>
        <v>0</v>
      </c>
      <c r="I1449" s="171">
        <f t="shared" si="709"/>
        <v>0</v>
      </c>
      <c r="J1449" s="164"/>
      <c r="K1449" s="27">
        <f t="shared" si="710"/>
        <v>0</v>
      </c>
      <c r="L1449" s="27">
        <f>IF(D1449="no",F1449*H1441-J1449,0)</f>
        <v>0</v>
      </c>
      <c r="M1449" s="619"/>
      <c r="N1449" s="564"/>
      <c r="O1449" s="165"/>
      <c r="P1449" s="164"/>
      <c r="Q1449" s="165"/>
      <c r="R1449" s="165"/>
      <c r="S1449" s="165"/>
      <c r="T1449" s="165"/>
      <c r="U1449" s="4"/>
    </row>
    <row r="1450" spans="1:21" ht="18.75" hidden="1" customHeight="1">
      <c r="A1450" s="176"/>
      <c r="B1450" s="172"/>
      <c r="C1450" s="173"/>
      <c r="D1450" s="161"/>
      <c r="E1450" s="174"/>
      <c r="F1450" s="169">
        <f t="shared" si="711"/>
        <v>0</v>
      </c>
      <c r="G1450" s="27">
        <f t="shared" si="708"/>
        <v>0</v>
      </c>
      <c r="H1450" s="170">
        <f>IF(D1450="no",0,F1450*H1441)</f>
        <v>0</v>
      </c>
      <c r="I1450" s="171">
        <f t="shared" si="709"/>
        <v>0</v>
      </c>
      <c r="J1450" s="164"/>
      <c r="K1450" s="27">
        <f t="shared" si="710"/>
        <v>0</v>
      </c>
      <c r="L1450" s="27">
        <f t="shared" ref="L1450:L1451" si="713">IF(D1450="no",F1450*H1441-J1450,0)</f>
        <v>0</v>
      </c>
      <c r="M1450" s="617"/>
      <c r="N1450" s="564"/>
      <c r="O1450" s="165"/>
      <c r="P1450" s="164"/>
      <c r="Q1450" s="165"/>
      <c r="R1450" s="165"/>
      <c r="S1450" s="165"/>
      <c r="T1450" s="165"/>
      <c r="U1450" s="4"/>
    </row>
    <row r="1451" spans="1:21" ht="18.75" hidden="1" customHeight="1">
      <c r="A1451" s="176"/>
      <c r="B1451" s="172"/>
      <c r="C1451" s="173"/>
      <c r="D1451" s="161"/>
      <c r="E1451" s="174"/>
      <c r="F1451" s="169">
        <f t="shared" si="711"/>
        <v>0</v>
      </c>
      <c r="G1451" s="27">
        <f t="shared" si="708"/>
        <v>0</v>
      </c>
      <c r="H1451" s="170">
        <f>IF(D1451="no",0,F1451*H1441)</f>
        <v>0</v>
      </c>
      <c r="I1451" s="171">
        <f t="shared" si="709"/>
        <v>0</v>
      </c>
      <c r="J1451" s="164"/>
      <c r="K1451" s="27">
        <f t="shared" si="710"/>
        <v>0</v>
      </c>
      <c r="L1451" s="27">
        <f t="shared" si="713"/>
        <v>0</v>
      </c>
      <c r="M1451" s="619"/>
      <c r="N1451" s="564"/>
      <c r="O1451" s="165"/>
      <c r="P1451" s="164"/>
      <c r="Q1451" s="165"/>
      <c r="R1451" s="165"/>
      <c r="S1451" s="165"/>
      <c r="T1451" s="165"/>
      <c r="U1451" s="4"/>
    </row>
    <row r="1452" spans="1:21" ht="18.75" hidden="1" customHeight="1">
      <c r="A1452" s="176"/>
      <c r="B1452" s="172"/>
      <c r="C1452" s="173"/>
      <c r="D1452" s="161"/>
      <c r="E1452" s="174"/>
      <c r="F1452" s="169">
        <f t="shared" si="711"/>
        <v>0</v>
      </c>
      <c r="G1452" s="27">
        <f t="shared" si="708"/>
        <v>0</v>
      </c>
      <c r="H1452" s="170">
        <f>IF(D1452="no",0,F1452*H1441)</f>
        <v>0</v>
      </c>
      <c r="I1452" s="171">
        <f t="shared" si="709"/>
        <v>0</v>
      </c>
      <c r="J1452" s="164"/>
      <c r="K1452" s="27">
        <f t="shared" si="710"/>
        <v>0</v>
      </c>
      <c r="L1452" s="27">
        <f t="shared" ref="L1452:L1453" si="714">IF(D1452="no",F1452*H1440-J1452,0)</f>
        <v>0</v>
      </c>
      <c r="M1452" s="617"/>
      <c r="N1452" s="564"/>
      <c r="O1452" s="165"/>
      <c r="P1452" s="164"/>
      <c r="Q1452" s="165"/>
      <c r="R1452" s="165"/>
      <c r="S1452" s="165"/>
      <c r="T1452" s="165"/>
      <c r="U1452" s="4"/>
    </row>
    <row r="1453" spans="1:21" ht="18.75" hidden="1" customHeight="1">
      <c r="A1453" s="176"/>
      <c r="B1453" s="177"/>
      <c r="C1453" s="178"/>
      <c r="D1453" s="161"/>
      <c r="E1453" s="33"/>
      <c r="F1453" s="169">
        <f t="shared" si="711"/>
        <v>0</v>
      </c>
      <c r="G1453" s="27">
        <f t="shared" si="708"/>
        <v>0</v>
      </c>
      <c r="H1453" s="170">
        <f>IF(D1453="no",0,F1453*H1441)</f>
        <v>0</v>
      </c>
      <c r="I1453" s="171">
        <f t="shared" si="709"/>
        <v>0</v>
      </c>
      <c r="J1453" s="164"/>
      <c r="K1453" s="27">
        <f t="shared" si="710"/>
        <v>0</v>
      </c>
      <c r="L1453" s="27">
        <f t="shared" si="714"/>
        <v>0</v>
      </c>
      <c r="M1453" s="619"/>
      <c r="N1453" s="564"/>
      <c r="O1453" s="165"/>
      <c r="P1453" s="164"/>
      <c r="Q1453" s="165"/>
      <c r="R1453" s="165"/>
      <c r="S1453" s="165"/>
      <c r="T1453" s="165"/>
      <c r="U1453" s="4"/>
    </row>
    <row r="1454" spans="1:21" ht="18.75" hidden="1" customHeight="1">
      <c r="A1454" s="176"/>
      <c r="B1454" s="172"/>
      <c r="C1454" s="173"/>
      <c r="D1454" s="161"/>
      <c r="E1454" s="174"/>
      <c r="F1454" s="169">
        <f t="shared" si="711"/>
        <v>0</v>
      </c>
      <c r="G1454" s="27">
        <f t="shared" si="708"/>
        <v>0</v>
      </c>
      <c r="H1454" s="170">
        <f>IF(D1454="no",0,F1454*H1441)</f>
        <v>0</v>
      </c>
      <c r="I1454" s="171">
        <f t="shared" si="709"/>
        <v>0</v>
      </c>
      <c r="J1454" s="164"/>
      <c r="K1454" s="27">
        <f t="shared" si="710"/>
        <v>0</v>
      </c>
      <c r="L1454" s="27">
        <f>IF(D1454="no",F1454*H1441-J1454,0)</f>
        <v>0</v>
      </c>
      <c r="M1454" s="617"/>
      <c r="N1454" s="564"/>
      <c r="O1454" s="165"/>
      <c r="P1454" s="164"/>
      <c r="Q1454" s="165"/>
      <c r="R1454" s="165"/>
      <c r="S1454" s="165"/>
      <c r="T1454" s="165"/>
      <c r="U1454" s="4"/>
    </row>
    <row r="1455" spans="1:21" ht="18.75" hidden="1" customHeight="1">
      <c r="A1455" s="176"/>
      <c r="B1455" s="172"/>
      <c r="C1455" s="173"/>
      <c r="D1455" s="161"/>
      <c r="E1455" s="174"/>
      <c r="F1455" s="169">
        <f t="shared" si="711"/>
        <v>0</v>
      </c>
      <c r="G1455" s="27">
        <f t="shared" si="708"/>
        <v>0</v>
      </c>
      <c r="H1455" s="164"/>
      <c r="I1455" s="171">
        <f t="shared" si="709"/>
        <v>0</v>
      </c>
      <c r="J1455" s="164"/>
      <c r="K1455" s="27">
        <f t="shared" si="710"/>
        <v>0</v>
      </c>
      <c r="L1455" s="27">
        <f t="shared" ref="L1455:L1457" si="715">IF(D1455="no",F1455*H1440-J1455,0)</f>
        <v>0</v>
      </c>
      <c r="M1455" s="617"/>
      <c r="N1455" s="564"/>
      <c r="O1455" s="165"/>
      <c r="P1455" s="164"/>
      <c r="Q1455" s="165"/>
      <c r="R1455" s="165"/>
      <c r="S1455" s="165"/>
      <c r="T1455" s="165"/>
      <c r="U1455" s="4"/>
    </row>
    <row r="1456" spans="1:21" ht="18.75" customHeight="1">
      <c r="A1456" s="39" t="s">
        <v>616</v>
      </c>
      <c r="B1456" s="29" t="s">
        <v>409</v>
      </c>
      <c r="C1456" s="173"/>
      <c r="D1456" s="165"/>
      <c r="E1456" s="174"/>
      <c r="F1456" s="169">
        <f t="shared" si="711"/>
        <v>0</v>
      </c>
      <c r="G1456" s="27">
        <f t="shared" si="708"/>
        <v>0</v>
      </c>
      <c r="H1456" s="170"/>
      <c r="I1456" s="171">
        <f t="shared" si="709"/>
        <v>0</v>
      </c>
      <c r="J1456" s="164"/>
      <c r="K1456" s="27">
        <f t="shared" si="710"/>
        <v>0</v>
      </c>
      <c r="L1456" s="27">
        <f t="shared" si="715"/>
        <v>0</v>
      </c>
      <c r="M1456" s="578"/>
      <c r="N1456" s="593"/>
      <c r="O1456" s="165"/>
      <c r="P1456" s="164"/>
      <c r="Q1456" s="165"/>
      <c r="R1456" s="165"/>
      <c r="S1456" s="165"/>
      <c r="T1456" s="165"/>
      <c r="U1456" s="4"/>
    </row>
    <row r="1457" spans="1:21" s="329" customFormat="1" ht="18.75" customHeight="1">
      <c r="A1457" s="39" t="s">
        <v>616</v>
      </c>
      <c r="B1457" s="29" t="s">
        <v>402</v>
      </c>
      <c r="C1457" s="173"/>
      <c r="D1457" s="165"/>
      <c r="E1457" s="174"/>
      <c r="F1457" s="169">
        <f t="shared" si="711"/>
        <v>0</v>
      </c>
      <c r="G1457" s="27">
        <f t="shared" si="708"/>
        <v>0</v>
      </c>
      <c r="H1457" s="32"/>
      <c r="I1457" s="171">
        <f t="shared" si="709"/>
        <v>0</v>
      </c>
      <c r="J1457" s="164"/>
      <c r="K1457" s="27">
        <f t="shared" si="710"/>
        <v>0</v>
      </c>
      <c r="L1457" s="27">
        <f t="shared" si="715"/>
        <v>0</v>
      </c>
      <c r="M1457" s="572"/>
      <c r="N1457" s="564"/>
      <c r="O1457" s="166"/>
      <c r="P1457" s="167"/>
      <c r="Q1457" s="166"/>
      <c r="R1457" s="166"/>
      <c r="S1457" s="166"/>
      <c r="T1457" s="166"/>
      <c r="U1457" s="4"/>
    </row>
    <row r="1458" spans="1:21" ht="18.75" customHeight="1">
      <c r="A1458" s="39" t="s">
        <v>616</v>
      </c>
      <c r="B1458" s="29" t="s">
        <v>61</v>
      </c>
      <c r="C1458" s="173"/>
      <c r="D1458" s="165"/>
      <c r="E1458" s="174"/>
      <c r="F1458" s="175"/>
      <c r="G1458" s="174"/>
      <c r="H1458" s="164"/>
      <c r="I1458" s="171">
        <f t="shared" si="709"/>
        <v>0</v>
      </c>
      <c r="J1458" s="164"/>
      <c r="K1458" s="27">
        <f t="shared" si="710"/>
        <v>0</v>
      </c>
      <c r="L1458" s="174"/>
      <c r="M1458" s="617"/>
      <c r="N1458" s="564"/>
      <c r="O1458" s="165"/>
      <c r="P1458" s="164"/>
      <c r="Q1458" s="165"/>
      <c r="R1458" s="165"/>
      <c r="S1458" s="165"/>
      <c r="T1458" s="165"/>
      <c r="U1458" s="4"/>
    </row>
    <row r="1459" spans="1:21" ht="18.75" customHeight="1">
      <c r="A1459" s="39" t="s">
        <v>616</v>
      </c>
      <c r="B1459" s="29" t="s">
        <v>35</v>
      </c>
      <c r="C1459" s="173"/>
      <c r="D1459" s="165"/>
      <c r="E1459" s="174"/>
      <c r="F1459" s="169">
        <f>IF(D1459="no",E1459,E1459/1.1)</f>
        <v>0</v>
      </c>
      <c r="G1459" s="27">
        <f>IF(D1459="no",0,F1459*0.1)</f>
        <v>0</v>
      </c>
      <c r="H1459" s="174"/>
      <c r="I1459" s="171">
        <f t="shared" si="709"/>
        <v>0</v>
      </c>
      <c r="J1459" s="164"/>
      <c r="K1459" s="27">
        <f t="shared" si="710"/>
        <v>0</v>
      </c>
      <c r="L1459" s="27">
        <f>IF(D1459="no",F1459*H1444-J1459,0)</f>
        <v>0</v>
      </c>
      <c r="M1459" s="572"/>
      <c r="N1459" s="564"/>
      <c r="O1459" s="165"/>
      <c r="P1459" s="164"/>
      <c r="Q1459" s="165"/>
      <c r="R1459" s="165"/>
      <c r="S1459" s="165"/>
      <c r="T1459" s="165"/>
      <c r="U1459" s="4"/>
    </row>
    <row r="1460" spans="1:21" ht="18.75" customHeight="1">
      <c r="A1460" s="618" t="s">
        <v>42</v>
      </c>
      <c r="B1460" s="576"/>
      <c r="C1460" s="576"/>
      <c r="D1460" s="577"/>
      <c r="E1460" s="42">
        <f t="shared" ref="E1460:L1460" si="716">SUM(E1443:E1459)</f>
        <v>90000</v>
      </c>
      <c r="F1460" s="17">
        <f t="shared" si="716"/>
        <v>81818.181818181823</v>
      </c>
      <c r="G1460" s="42">
        <f t="shared" si="716"/>
        <v>8181.818181818182</v>
      </c>
      <c r="H1460" s="43">
        <f t="shared" si="716"/>
        <v>81818.181818181823</v>
      </c>
      <c r="I1460" s="42">
        <f t="shared" si="716"/>
        <v>2700</v>
      </c>
      <c r="J1460" s="43">
        <f t="shared" si="716"/>
        <v>0</v>
      </c>
      <c r="K1460" s="42">
        <f t="shared" si="716"/>
        <v>79118.181818181823</v>
      </c>
      <c r="L1460" s="42">
        <f t="shared" si="716"/>
        <v>0</v>
      </c>
      <c r="M1460" s="179"/>
      <c r="N1460" s="180"/>
      <c r="O1460" s="165"/>
      <c r="P1460" s="164"/>
      <c r="Q1460" s="165"/>
      <c r="R1460" s="165"/>
      <c r="S1460" s="165"/>
      <c r="T1460" s="165"/>
      <c r="U1460" s="4"/>
    </row>
    <row r="1461" spans="1:21" ht="18.75" customHeight="1">
      <c r="A1461" s="181" t="s">
        <v>37</v>
      </c>
      <c r="B1461" s="47" t="s">
        <v>132</v>
      </c>
      <c r="C1461" s="48">
        <f>D1441</f>
        <v>0</v>
      </c>
      <c r="D1461" s="47" t="s">
        <v>44</v>
      </c>
      <c r="E1461" s="182"/>
      <c r="F1461" s="183"/>
      <c r="G1461" s="184"/>
      <c r="H1461" s="182"/>
      <c r="I1461" s="185" t="s">
        <v>137</v>
      </c>
      <c r="J1461" s="343">
        <v>9000</v>
      </c>
      <c r="K1461" s="183"/>
      <c r="L1461" s="184"/>
      <c r="M1461" s="186"/>
      <c r="N1461" s="316"/>
      <c r="O1461" s="165"/>
      <c r="P1461" s="164"/>
      <c r="Q1461" s="165"/>
      <c r="R1461" s="165"/>
      <c r="S1461" s="165"/>
      <c r="T1461" s="165"/>
      <c r="U1461" s="4"/>
    </row>
    <row r="1462" spans="1:21" ht="18.75" customHeight="1" thickBot="1">
      <c r="A1462" s="56" t="s">
        <v>48</v>
      </c>
      <c r="B1462" s="57" t="s">
        <v>133</v>
      </c>
      <c r="C1462" s="58">
        <f>ROUND(F1460/10000,0)</f>
        <v>8</v>
      </c>
      <c r="D1462" s="57" t="s">
        <v>50</v>
      </c>
      <c r="E1462" s="188"/>
      <c r="F1462" s="189"/>
      <c r="G1462" s="190"/>
      <c r="H1462" s="188"/>
      <c r="I1462" s="189"/>
      <c r="J1462" s="188"/>
      <c r="K1462" s="189"/>
      <c r="L1462" s="191"/>
      <c r="M1462" s="189"/>
      <c r="N1462" s="187"/>
      <c r="O1462" s="165"/>
      <c r="P1462" s="164"/>
      <c r="Q1462" s="165"/>
      <c r="R1462" s="165"/>
      <c r="S1462" s="165"/>
      <c r="T1462" s="165"/>
      <c r="U1462" s="4"/>
    </row>
    <row r="1463" spans="1:21" ht="18.75" customHeight="1" thickBot="1">
      <c r="A1463" s="616" t="s">
        <v>152</v>
      </c>
      <c r="B1463" s="567"/>
      <c r="C1463" s="567"/>
      <c r="D1463" s="568"/>
      <c r="E1463" s="192"/>
      <c r="F1463" s="569" t="s">
        <v>53</v>
      </c>
      <c r="G1463" s="568"/>
      <c r="H1463" s="66">
        <f>H1460-J1461</f>
        <v>72818.181818181823</v>
      </c>
      <c r="I1463" s="67">
        <f>H1463*3.3%</f>
        <v>2403.0000000000005</v>
      </c>
      <c r="J1463" s="68">
        <f>SUM(J1460)</f>
        <v>0</v>
      </c>
      <c r="K1463" s="69">
        <f>H1463-I1463</f>
        <v>70415.181818181823</v>
      </c>
      <c r="L1463" s="70">
        <f>L1460+SUM(H1461:H1462)+J1462</f>
        <v>0</v>
      </c>
      <c r="M1463" s="570">
        <f>K1463+L1463</f>
        <v>70415.181818181823</v>
      </c>
      <c r="N1463" s="571"/>
      <c r="O1463" s="165"/>
      <c r="P1463" s="164"/>
      <c r="Q1463" s="165"/>
      <c r="R1463" s="165"/>
      <c r="S1463" s="165"/>
      <c r="T1463" s="165"/>
      <c r="U1463" s="4"/>
    </row>
    <row r="1464" spans="1:21" ht="18.75" customHeight="1">
      <c r="A1464" s="165"/>
      <c r="B1464" s="165"/>
      <c r="C1464" s="165"/>
      <c r="D1464" s="165"/>
      <c r="E1464" s="165"/>
      <c r="F1464" s="165"/>
      <c r="G1464" s="165"/>
      <c r="H1464" s="165"/>
      <c r="I1464" s="165"/>
      <c r="J1464" s="165"/>
      <c r="K1464" s="165"/>
      <c r="L1464" s="165"/>
      <c r="M1464" s="165"/>
      <c r="N1464" s="165"/>
      <c r="O1464" s="165"/>
      <c r="P1464" s="164"/>
      <c r="Q1464" s="165"/>
      <c r="R1464" s="165"/>
      <c r="S1464" s="165"/>
      <c r="T1464" s="165"/>
      <c r="U1464" s="4"/>
    </row>
    <row r="1465" spans="1:21" ht="18.75" customHeight="1">
      <c r="A1465" s="6" t="s">
        <v>585</v>
      </c>
      <c r="B1465" s="7" t="str">
        <f>$B$34</f>
        <v>1월</v>
      </c>
      <c r="C1465" s="8" t="s">
        <v>1</v>
      </c>
      <c r="D1465" s="9">
        <f>COUNTIF($C1467:$C1477,"계약")+(COUNTIF($C1467:$C1477,"계약2")*2)</f>
        <v>1</v>
      </c>
      <c r="E1465" s="3">
        <f>COUNTIF(C1467:C1477,"낙찰수수료")</f>
        <v>0</v>
      </c>
      <c r="F1465" s="3"/>
      <c r="G1465" s="89" t="s">
        <v>586</v>
      </c>
      <c r="H1465" s="367">
        <v>0.4</v>
      </c>
      <c r="I1465" s="12">
        <v>3.3000000000000002E-2</v>
      </c>
      <c r="J1465" s="1"/>
      <c r="K1465" s="1"/>
      <c r="L1465" s="1"/>
      <c r="M1465" s="1"/>
      <c r="N1465" s="1"/>
      <c r="O1465" s="1"/>
      <c r="P1465" s="3"/>
      <c r="Q1465" s="1"/>
      <c r="R1465" s="1"/>
      <c r="S1465" s="1"/>
      <c r="T1465" s="1"/>
      <c r="U1465" s="4"/>
    </row>
    <row r="1466" spans="1:21" ht="18.75" customHeight="1">
      <c r="A1466" s="13" t="s">
        <v>3</v>
      </c>
      <c r="B1466" s="14" t="s">
        <v>4</v>
      </c>
      <c r="C1466" s="14" t="s">
        <v>5</v>
      </c>
      <c r="D1466" s="101" t="s">
        <v>6</v>
      </c>
      <c r="E1466" s="16" t="s">
        <v>7</v>
      </c>
      <c r="F1466" s="17" t="s">
        <v>8</v>
      </c>
      <c r="G1466" s="14" t="s">
        <v>9</v>
      </c>
      <c r="H1466" s="15" t="s">
        <v>10</v>
      </c>
      <c r="I1466" s="14" t="s">
        <v>11</v>
      </c>
      <c r="J1466" s="15" t="s">
        <v>12</v>
      </c>
      <c r="K1466" s="14" t="s">
        <v>13</v>
      </c>
      <c r="L1466" s="14" t="s">
        <v>14</v>
      </c>
      <c r="M1466" s="579" t="s">
        <v>15</v>
      </c>
      <c r="N1466" s="577"/>
      <c r="O1466" s="1"/>
      <c r="P1466" s="3"/>
      <c r="Q1466" s="1"/>
      <c r="R1466" s="1"/>
      <c r="S1466" s="1"/>
      <c r="T1466" s="1"/>
      <c r="U1466" s="4"/>
    </row>
    <row r="1467" spans="1:21" ht="18.75" customHeight="1">
      <c r="A1467" s="28">
        <v>46041</v>
      </c>
      <c r="B1467" s="29" t="s">
        <v>666</v>
      </c>
      <c r="C1467" s="30" t="s">
        <v>645</v>
      </c>
      <c r="D1467" s="520"/>
      <c r="E1467" s="27">
        <v>550000</v>
      </c>
      <c r="F1467" s="31">
        <f t="shared" ref="F1467:F1477" si="717">IF(D1467="no",E1467,E1467/1.1)</f>
        <v>499999.99999999994</v>
      </c>
      <c r="G1467" s="27">
        <f t="shared" ref="G1467:G1477" si="718">IF(D1467="no",0,F1467*0.1)</f>
        <v>50000</v>
      </c>
      <c r="H1467" s="32">
        <f>IF(D1467="no",0,F1467*H1465)</f>
        <v>200000</v>
      </c>
      <c r="I1467" s="33">
        <f t="shared" ref="I1467:I1477" si="719">IF(D1467="no",0,H1467*3.3%)</f>
        <v>6600</v>
      </c>
      <c r="J1467" s="26"/>
      <c r="K1467" s="27">
        <f t="shared" ref="K1467:K1477" si="720">IF(D1467="no",0,H1467-I1467-J1467)</f>
        <v>193400</v>
      </c>
      <c r="L1467" s="27">
        <f>IF(D1467="no",F1467*H1465-J1467,0)</f>
        <v>0</v>
      </c>
      <c r="M1467" s="572"/>
      <c r="N1467" s="564"/>
      <c r="O1467" s="1"/>
      <c r="P1467" s="3"/>
      <c r="Q1467" s="1"/>
      <c r="R1467" s="1"/>
      <c r="S1467" s="1"/>
      <c r="T1467" s="1"/>
      <c r="U1467" s="4"/>
    </row>
    <row r="1468" spans="1:21" ht="18.75" customHeight="1">
      <c r="A1468" s="28"/>
      <c r="B1468" s="29"/>
      <c r="C1468" s="30"/>
      <c r="D1468" s="521"/>
      <c r="E1468" s="27"/>
      <c r="F1468" s="31">
        <f t="shared" si="717"/>
        <v>0</v>
      </c>
      <c r="G1468" s="27">
        <f t="shared" si="718"/>
        <v>0</v>
      </c>
      <c r="H1468" s="32">
        <f>IF(D1468="no",0,F1468*H1465)</f>
        <v>0</v>
      </c>
      <c r="I1468" s="33">
        <f t="shared" si="719"/>
        <v>0</v>
      </c>
      <c r="J1468" s="26"/>
      <c r="K1468" s="27">
        <f t="shared" si="720"/>
        <v>0</v>
      </c>
      <c r="L1468" s="27">
        <f>IF(D1468="no",F1468*H1465-J1468,0)</f>
        <v>0</v>
      </c>
      <c r="M1468" s="572"/>
      <c r="N1468" s="564"/>
      <c r="O1468" s="1"/>
      <c r="P1468" s="3"/>
      <c r="Q1468" s="1"/>
      <c r="R1468" s="1"/>
      <c r="S1468" s="1"/>
      <c r="T1468" s="1"/>
      <c r="U1468" s="4"/>
    </row>
    <row r="1469" spans="1:21" ht="18.75" hidden="1" customHeight="1">
      <c r="A1469" s="39"/>
      <c r="B1469" s="127"/>
      <c r="C1469" s="30"/>
      <c r="D1469" s="95"/>
      <c r="E1469" s="102"/>
      <c r="F1469" s="31">
        <f t="shared" si="717"/>
        <v>0</v>
      </c>
      <c r="G1469" s="27">
        <f t="shared" si="718"/>
        <v>0</v>
      </c>
      <c r="H1469" s="32">
        <f>IF(D1469="no",0,F1469*H1465)</f>
        <v>0</v>
      </c>
      <c r="I1469" s="33">
        <f t="shared" si="719"/>
        <v>0</v>
      </c>
      <c r="J1469" s="26"/>
      <c r="K1469" s="27">
        <f t="shared" si="720"/>
        <v>0</v>
      </c>
      <c r="L1469" s="27">
        <f>IF(D1469="no",F1469*H1465-J1469,0)</f>
        <v>0</v>
      </c>
      <c r="M1469" s="563"/>
      <c r="N1469" s="564"/>
      <c r="O1469" s="1"/>
      <c r="P1469" s="3"/>
      <c r="Q1469" s="1"/>
      <c r="R1469" s="1"/>
      <c r="S1469" s="1"/>
      <c r="T1469" s="1"/>
      <c r="U1469" s="4"/>
    </row>
    <row r="1470" spans="1:21" ht="18.75" hidden="1" customHeight="1">
      <c r="A1470" s="39"/>
      <c r="B1470" s="29"/>
      <c r="C1470" s="30"/>
      <c r="D1470" s="38"/>
      <c r="E1470" s="27"/>
      <c r="F1470" s="31">
        <f t="shared" si="717"/>
        <v>0</v>
      </c>
      <c r="G1470" s="27">
        <f t="shared" si="718"/>
        <v>0</v>
      </c>
      <c r="H1470" s="32">
        <f>IF(D1470="no",0,F1470*H1465)</f>
        <v>0</v>
      </c>
      <c r="I1470" s="33">
        <f t="shared" si="719"/>
        <v>0</v>
      </c>
      <c r="J1470" s="26"/>
      <c r="K1470" s="27">
        <f t="shared" si="720"/>
        <v>0</v>
      </c>
      <c r="L1470" s="27">
        <f>IF(D1470="no",F1470*H1465-J1470,0)</f>
        <v>0</v>
      </c>
      <c r="M1470" s="572"/>
      <c r="N1470" s="564"/>
      <c r="O1470" s="1"/>
      <c r="P1470" s="3"/>
      <c r="Q1470" s="1"/>
      <c r="R1470" s="1"/>
      <c r="S1470" s="1"/>
      <c r="T1470" s="1"/>
      <c r="U1470" s="4"/>
    </row>
    <row r="1471" spans="1:21" ht="18.75" hidden="1" customHeight="1">
      <c r="A1471" s="28"/>
      <c r="B1471" s="29"/>
      <c r="C1471" s="30"/>
      <c r="D1471" s="38"/>
      <c r="E1471" s="27"/>
      <c r="F1471" s="31">
        <f t="shared" si="717"/>
        <v>0</v>
      </c>
      <c r="G1471" s="27">
        <f t="shared" si="718"/>
        <v>0</v>
      </c>
      <c r="H1471" s="32">
        <f>IF(D1471="no",0,F1471*H1465)</f>
        <v>0</v>
      </c>
      <c r="I1471" s="33">
        <f t="shared" si="719"/>
        <v>0</v>
      </c>
      <c r="J1471" s="26"/>
      <c r="K1471" s="27">
        <f t="shared" si="720"/>
        <v>0</v>
      </c>
      <c r="L1471" s="27">
        <f>IF(D1471="no",F1471*H1465-J1471,0)</f>
        <v>0</v>
      </c>
      <c r="M1471" s="563"/>
      <c r="N1471" s="564"/>
      <c r="O1471" s="1"/>
      <c r="P1471" s="3"/>
      <c r="Q1471" s="1"/>
      <c r="R1471" s="1"/>
      <c r="S1471" s="1"/>
      <c r="T1471" s="1"/>
      <c r="U1471" s="4"/>
    </row>
    <row r="1472" spans="1:21" ht="18.75" hidden="1" customHeight="1">
      <c r="A1472" s="28"/>
      <c r="B1472" s="29"/>
      <c r="C1472" s="30"/>
      <c r="D1472" s="38"/>
      <c r="E1472" s="27"/>
      <c r="F1472" s="31">
        <f t="shared" si="717"/>
        <v>0</v>
      </c>
      <c r="G1472" s="27">
        <f t="shared" si="718"/>
        <v>0</v>
      </c>
      <c r="H1472" s="32">
        <f>IF(D1472="no",0,F1472*H1465)</f>
        <v>0</v>
      </c>
      <c r="I1472" s="33">
        <f t="shared" si="719"/>
        <v>0</v>
      </c>
      <c r="J1472" s="26"/>
      <c r="K1472" s="27">
        <f t="shared" si="720"/>
        <v>0</v>
      </c>
      <c r="L1472" s="27">
        <f>IF(D1472="no",F1472*H1466-J1472,0)</f>
        <v>0</v>
      </c>
      <c r="M1472" s="572"/>
      <c r="N1472" s="564"/>
      <c r="O1472" s="1"/>
      <c r="P1472" s="3"/>
      <c r="Q1472" s="1"/>
      <c r="R1472" s="1"/>
      <c r="S1472" s="1"/>
      <c r="T1472" s="1"/>
      <c r="U1472" s="4"/>
    </row>
    <row r="1473" spans="1:21" ht="18.75" customHeight="1">
      <c r="A1473" s="39" t="s">
        <v>616</v>
      </c>
      <c r="B1473" s="29" t="s">
        <v>406</v>
      </c>
      <c r="C1473" s="30"/>
      <c r="D1473" s="38"/>
      <c r="E1473" s="27"/>
      <c r="F1473" s="31">
        <f t="shared" si="717"/>
        <v>0</v>
      </c>
      <c r="G1473" s="27">
        <f t="shared" si="718"/>
        <v>0</v>
      </c>
      <c r="H1473" s="32"/>
      <c r="I1473" s="33">
        <f t="shared" si="719"/>
        <v>0</v>
      </c>
      <c r="J1473" s="26"/>
      <c r="K1473" s="27">
        <f t="shared" si="720"/>
        <v>0</v>
      </c>
      <c r="L1473" s="27">
        <f>IF(D1473="no",F1473*H1465-J1473,0)</f>
        <v>0</v>
      </c>
      <c r="M1473" s="572"/>
      <c r="N1473" s="564"/>
      <c r="O1473" s="1"/>
      <c r="P1473" s="3"/>
      <c r="Q1473" s="1"/>
      <c r="R1473" s="1"/>
      <c r="S1473" s="1"/>
      <c r="T1473" s="1"/>
      <c r="U1473" s="4"/>
    </row>
    <row r="1474" spans="1:21" ht="18.75" customHeight="1">
      <c r="A1474" s="39" t="s">
        <v>616</v>
      </c>
      <c r="B1474" s="29" t="s">
        <v>35</v>
      </c>
      <c r="C1474" s="30"/>
      <c r="D1474" s="38"/>
      <c r="E1474" s="27"/>
      <c r="F1474" s="31">
        <f t="shared" si="717"/>
        <v>0</v>
      </c>
      <c r="G1474" s="27">
        <f t="shared" si="718"/>
        <v>0</v>
      </c>
      <c r="H1474" s="32">
        <f>IF(D1474="no",0,F1474*H1465)</f>
        <v>0</v>
      </c>
      <c r="I1474" s="33">
        <f t="shared" si="719"/>
        <v>0</v>
      </c>
      <c r="J1474" s="26"/>
      <c r="K1474" s="27">
        <f t="shared" si="720"/>
        <v>0</v>
      </c>
      <c r="L1474" s="27">
        <f>IF(D1474="no",F1474*H1465-J1474,0)</f>
        <v>0</v>
      </c>
      <c r="M1474" s="572"/>
      <c r="N1474" s="564"/>
      <c r="O1474" s="1"/>
      <c r="P1474" s="3"/>
      <c r="Q1474" s="1"/>
      <c r="R1474" s="1"/>
      <c r="S1474" s="1"/>
      <c r="T1474" s="1"/>
      <c r="U1474" s="4"/>
    </row>
    <row r="1475" spans="1:21" ht="18.75" customHeight="1">
      <c r="A1475" s="39" t="s">
        <v>616</v>
      </c>
      <c r="B1475" s="29" t="s">
        <v>61</v>
      </c>
      <c r="C1475" s="30"/>
      <c r="D1475" s="38"/>
      <c r="E1475" s="27"/>
      <c r="F1475" s="31">
        <f t="shared" si="717"/>
        <v>0</v>
      </c>
      <c r="G1475" s="27">
        <f t="shared" si="718"/>
        <v>0</v>
      </c>
      <c r="H1475" s="32">
        <f>IF(D1475="no",0,F1475*H1465)</f>
        <v>0</v>
      </c>
      <c r="I1475" s="33">
        <f t="shared" si="719"/>
        <v>0</v>
      </c>
      <c r="J1475" s="26"/>
      <c r="K1475" s="27">
        <f t="shared" si="720"/>
        <v>0</v>
      </c>
      <c r="L1475" s="27">
        <f>IF(D1475="no",F1475*H1465-J1475,0)</f>
        <v>0</v>
      </c>
      <c r="M1475" s="563"/>
      <c r="N1475" s="564"/>
      <c r="O1475" s="1"/>
      <c r="P1475" s="3"/>
      <c r="Q1475" s="1"/>
      <c r="R1475" s="1"/>
      <c r="S1475" s="1"/>
      <c r="T1475" s="1"/>
      <c r="U1475" s="4"/>
    </row>
    <row r="1476" spans="1:21" s="533" customFormat="1" ht="18.75" customHeight="1">
      <c r="A1476" s="39" t="s">
        <v>616</v>
      </c>
      <c r="B1476" s="29" t="s">
        <v>403</v>
      </c>
      <c r="C1476" s="30"/>
      <c r="D1476" s="103"/>
      <c r="E1476" s="27"/>
      <c r="F1476" s="31"/>
      <c r="G1476" s="27"/>
      <c r="H1476" s="32"/>
      <c r="I1476" s="33"/>
      <c r="J1476" s="26"/>
      <c r="K1476" s="27"/>
      <c r="L1476" s="27"/>
      <c r="M1476" s="563"/>
      <c r="N1476" s="564"/>
      <c r="O1476" s="1"/>
      <c r="P1476" s="3"/>
      <c r="Q1476" s="1"/>
      <c r="R1476" s="1"/>
      <c r="S1476" s="1"/>
      <c r="T1476" s="1"/>
      <c r="U1476" s="4"/>
    </row>
    <row r="1477" spans="1:21" ht="18.75" customHeight="1">
      <c r="A1477" s="39" t="s">
        <v>616</v>
      </c>
      <c r="B1477" s="29" t="s">
        <v>340</v>
      </c>
      <c r="C1477" s="30"/>
      <c r="D1477" s="21"/>
      <c r="E1477" s="27"/>
      <c r="F1477" s="31">
        <f t="shared" si="717"/>
        <v>0</v>
      </c>
      <c r="G1477" s="27">
        <f t="shared" si="718"/>
        <v>0</v>
      </c>
      <c r="H1477" s="37"/>
      <c r="I1477" s="33">
        <f t="shared" si="719"/>
        <v>0</v>
      </c>
      <c r="J1477" s="26"/>
      <c r="K1477" s="27">
        <f t="shared" si="720"/>
        <v>0</v>
      </c>
      <c r="L1477" s="27"/>
      <c r="M1477" s="572"/>
      <c r="N1477" s="564"/>
      <c r="O1477" s="1"/>
      <c r="P1477" s="3"/>
      <c r="Q1477" s="1"/>
      <c r="R1477" s="1"/>
      <c r="S1477" s="1"/>
      <c r="T1477" s="1"/>
      <c r="U1477" s="4"/>
    </row>
    <row r="1478" spans="1:21" ht="18.75" customHeight="1">
      <c r="A1478" s="575" t="s">
        <v>42</v>
      </c>
      <c r="B1478" s="576"/>
      <c r="C1478" s="576"/>
      <c r="D1478" s="577"/>
      <c r="E1478" s="42">
        <f t="shared" ref="E1478:L1478" si="721">SUM(E1467:E1477)</f>
        <v>550000</v>
      </c>
      <c r="F1478" s="17">
        <f t="shared" si="721"/>
        <v>499999.99999999994</v>
      </c>
      <c r="G1478" s="42">
        <f t="shared" si="721"/>
        <v>50000</v>
      </c>
      <c r="H1478" s="43">
        <f t="shared" si="721"/>
        <v>200000</v>
      </c>
      <c r="I1478" s="42">
        <f t="shared" si="721"/>
        <v>6600</v>
      </c>
      <c r="J1478" s="43">
        <f t="shared" si="721"/>
        <v>0</v>
      </c>
      <c r="K1478" s="42">
        <f t="shared" si="721"/>
        <v>193400</v>
      </c>
      <c r="L1478" s="42">
        <f t="shared" si="721"/>
        <v>0</v>
      </c>
      <c r="M1478" s="44"/>
      <c r="N1478" s="45"/>
      <c r="O1478" s="1"/>
      <c r="P1478" s="3"/>
      <c r="Q1478" s="1"/>
      <c r="R1478" s="1"/>
      <c r="S1478" s="1"/>
      <c r="T1478" s="1"/>
      <c r="U1478" s="4"/>
    </row>
    <row r="1479" spans="1:21" ht="18.75" customHeight="1">
      <c r="A1479" s="46" t="s">
        <v>37</v>
      </c>
      <c r="B1479" s="47" t="s">
        <v>132</v>
      </c>
      <c r="C1479" s="48">
        <f>D1465</f>
        <v>1</v>
      </c>
      <c r="D1479" s="47" t="s">
        <v>44</v>
      </c>
      <c r="E1479" s="49"/>
      <c r="F1479" s="84"/>
      <c r="G1479" s="85"/>
      <c r="H1479" s="49"/>
      <c r="I1479" s="53" t="s">
        <v>46</v>
      </c>
      <c r="J1479" s="54"/>
      <c r="K1479" s="50"/>
      <c r="L1479" s="55"/>
      <c r="M1479" s="63"/>
      <c r="N1479" s="64"/>
      <c r="O1479" s="1"/>
      <c r="P1479" s="3"/>
      <c r="Q1479" s="1"/>
      <c r="R1479" s="1"/>
      <c r="S1479" s="1"/>
      <c r="T1479" s="1"/>
      <c r="U1479" s="4"/>
    </row>
    <row r="1480" spans="1:21" ht="18.75" customHeight="1" thickBot="1">
      <c r="A1480" s="56" t="s">
        <v>48</v>
      </c>
      <c r="B1480" s="57" t="s">
        <v>133</v>
      </c>
      <c r="C1480" s="58">
        <f>ROUND(F1478/10000,0)</f>
        <v>50</v>
      </c>
      <c r="D1480" s="57" t="s">
        <v>50</v>
      </c>
      <c r="E1480" s="52"/>
      <c r="F1480" s="86"/>
      <c r="G1480" s="87"/>
      <c r="H1480" s="52"/>
      <c r="I1480" s="59"/>
      <c r="J1480" s="61"/>
      <c r="K1480" s="59"/>
      <c r="L1480" s="62"/>
      <c r="M1480" s="63"/>
      <c r="N1480" s="64"/>
      <c r="O1480" s="1"/>
      <c r="P1480" s="3"/>
      <c r="Q1480" s="1"/>
      <c r="R1480" s="1"/>
      <c r="S1480" s="1"/>
      <c r="T1480" s="1"/>
      <c r="U1480" s="4"/>
    </row>
    <row r="1481" spans="1:21" ht="18.75" customHeight="1" thickBot="1">
      <c r="A1481" s="566" t="s">
        <v>52</v>
      </c>
      <c r="B1481" s="567"/>
      <c r="C1481" s="567"/>
      <c r="D1481" s="568"/>
      <c r="E1481" s="65"/>
      <c r="F1481" s="569" t="s">
        <v>53</v>
      </c>
      <c r="G1481" s="568"/>
      <c r="H1481" s="66">
        <f>H1478-J1479</f>
        <v>200000</v>
      </c>
      <c r="I1481" s="67">
        <f>H1481*3.3%</f>
        <v>6600</v>
      </c>
      <c r="J1481" s="68">
        <f>SUM(J1478)</f>
        <v>0</v>
      </c>
      <c r="K1481" s="69">
        <f>H1481-I1481-J1481</f>
        <v>193400</v>
      </c>
      <c r="L1481" s="70">
        <f>L1478+SUM(H1479:H1480)+J1480</f>
        <v>0</v>
      </c>
      <c r="M1481" s="570">
        <f>K1481+L1481</f>
        <v>193400</v>
      </c>
      <c r="N1481" s="571"/>
      <c r="O1481" s="1"/>
      <c r="P1481" s="3"/>
      <c r="Q1481" s="1"/>
      <c r="R1481" s="1"/>
      <c r="S1481" s="1"/>
      <c r="T1481" s="1"/>
      <c r="U1481" s="4"/>
    </row>
    <row r="1482" spans="1:21" s="364" customFormat="1" ht="18.75" customHeight="1">
      <c r="A1482" s="368"/>
      <c r="B1482" s="369"/>
      <c r="C1482" s="369"/>
      <c r="D1482" s="361"/>
      <c r="E1482" s="370"/>
      <c r="F1482" s="370"/>
      <c r="G1482" s="369"/>
      <c r="H1482" s="371"/>
      <c r="I1482" s="370"/>
      <c r="J1482" s="370"/>
      <c r="K1482" s="372"/>
      <c r="L1482" s="372"/>
      <c r="M1482" s="373"/>
      <c r="N1482" s="348"/>
      <c r="O1482" s="1"/>
      <c r="P1482" s="3"/>
      <c r="Q1482" s="1"/>
      <c r="R1482" s="1"/>
      <c r="S1482" s="1"/>
      <c r="T1482" s="1"/>
      <c r="U1482" s="4"/>
    </row>
    <row r="1483" spans="1:21" s="364" customFormat="1" ht="18.75" hidden="1" customHeight="1">
      <c r="A1483" s="6"/>
      <c r="B1483" s="7" t="str">
        <f>$B$34</f>
        <v>1월</v>
      </c>
      <c r="C1483" s="8" t="s">
        <v>1</v>
      </c>
      <c r="D1483" s="9">
        <f>COUNTIF($C1485:$C1501,"계약")+(COUNTIF($C1485:$C1501,"계약2")*2)</f>
        <v>0</v>
      </c>
      <c r="E1483" s="3">
        <f>COUNTIF(C1485:C1501,"낙찰수수료")</f>
        <v>0</v>
      </c>
      <c r="F1483" s="3"/>
      <c r="G1483" s="89"/>
      <c r="H1483" s="367">
        <v>0.4</v>
      </c>
      <c r="I1483" s="12">
        <v>3.3000000000000002E-2</v>
      </c>
      <c r="J1483" s="1"/>
      <c r="K1483" s="1"/>
      <c r="L1483" s="1"/>
      <c r="M1483" s="1"/>
      <c r="N1483" s="1"/>
      <c r="O1483" s="1"/>
      <c r="P1483" s="3"/>
      <c r="Q1483" s="1"/>
      <c r="R1483" s="1"/>
      <c r="S1483" s="1"/>
      <c r="T1483" s="1"/>
      <c r="U1483" s="4"/>
    </row>
    <row r="1484" spans="1:21" s="364" customFormat="1" ht="18.75" hidden="1" customHeight="1">
      <c r="A1484" s="358" t="s">
        <v>3</v>
      </c>
      <c r="B1484" s="14" t="s">
        <v>4</v>
      </c>
      <c r="C1484" s="14" t="s">
        <v>5</v>
      </c>
      <c r="D1484" s="101" t="s">
        <v>6</v>
      </c>
      <c r="E1484" s="16" t="s">
        <v>7</v>
      </c>
      <c r="F1484" s="17" t="s">
        <v>8</v>
      </c>
      <c r="G1484" s="14" t="s">
        <v>9</v>
      </c>
      <c r="H1484" s="15" t="s">
        <v>10</v>
      </c>
      <c r="I1484" s="14" t="s">
        <v>11</v>
      </c>
      <c r="J1484" s="15" t="s">
        <v>12</v>
      </c>
      <c r="K1484" s="14" t="s">
        <v>13</v>
      </c>
      <c r="L1484" s="14" t="s">
        <v>14</v>
      </c>
      <c r="M1484" s="579" t="s">
        <v>15</v>
      </c>
      <c r="N1484" s="577"/>
      <c r="O1484" s="1"/>
      <c r="P1484" s="3"/>
      <c r="Q1484" s="1"/>
      <c r="R1484" s="1"/>
      <c r="S1484" s="1"/>
      <c r="T1484" s="1"/>
      <c r="U1484" s="4"/>
    </row>
    <row r="1485" spans="1:21" s="364" customFormat="1" ht="18.75" hidden="1" customHeight="1">
      <c r="A1485" s="28"/>
      <c r="B1485" s="29"/>
      <c r="C1485" s="30"/>
      <c r="D1485" s="362"/>
      <c r="E1485" s="27"/>
      <c r="F1485" s="31">
        <f t="shared" ref="F1485:F1498" si="722">IF(D1485="no",E1485,E1485/1.1)</f>
        <v>0</v>
      </c>
      <c r="G1485" s="27">
        <f t="shared" ref="G1485:G1497" si="723">IF(D1485="no",0,F1485*0.1)</f>
        <v>0</v>
      </c>
      <c r="H1485" s="32">
        <f>IF(D1485="no",0,F1485*H1483)</f>
        <v>0</v>
      </c>
      <c r="I1485" s="33">
        <f t="shared" ref="I1485:I1501" si="724">IF(D1485="no",0,H1485*3.3%)</f>
        <v>0</v>
      </c>
      <c r="J1485" s="26"/>
      <c r="K1485" s="27">
        <f>IF(D1485="no",0,H1485-I1485-J1485)</f>
        <v>0</v>
      </c>
      <c r="L1485" s="27">
        <f>IF(D1485="no",F1485*H1483-J1485,0)</f>
        <v>0</v>
      </c>
      <c r="M1485" s="582"/>
      <c r="N1485" s="581"/>
      <c r="O1485" s="1"/>
      <c r="P1485" s="3"/>
      <c r="Q1485" s="1"/>
      <c r="R1485" s="1"/>
      <c r="S1485" s="1"/>
      <c r="T1485" s="1"/>
      <c r="U1485" s="4"/>
    </row>
    <row r="1486" spans="1:21" s="364" customFormat="1" ht="18.75" hidden="1" customHeight="1">
      <c r="A1486" s="28"/>
      <c r="B1486" s="29"/>
      <c r="C1486" s="30"/>
      <c r="D1486" s="362"/>
      <c r="E1486" s="27"/>
      <c r="F1486" s="31">
        <f t="shared" si="722"/>
        <v>0</v>
      </c>
      <c r="G1486" s="27">
        <f t="shared" si="723"/>
        <v>0</v>
      </c>
      <c r="H1486" s="32">
        <f>IF(D1486="no",0,F1486*H1483)</f>
        <v>0</v>
      </c>
      <c r="I1486" s="33">
        <f t="shared" si="724"/>
        <v>0</v>
      </c>
      <c r="J1486" s="26"/>
      <c r="K1486" s="27">
        <f t="shared" ref="K1486:K1501" si="725">IF(D1486="no",0,H1486-I1486-J1486)</f>
        <v>0</v>
      </c>
      <c r="L1486" s="27">
        <f>IF(D1486="no",F1486*H1483-J1486,0)</f>
        <v>0</v>
      </c>
      <c r="M1486" s="572"/>
      <c r="N1486" s="564"/>
      <c r="O1486" s="1"/>
      <c r="P1486" s="3"/>
      <c r="Q1486" s="1"/>
      <c r="R1486" s="1"/>
      <c r="S1486" s="1"/>
      <c r="T1486" s="1"/>
      <c r="U1486" s="4"/>
    </row>
    <row r="1487" spans="1:21" s="364" customFormat="1" ht="18.75" hidden="1" customHeight="1">
      <c r="A1487" s="39"/>
      <c r="B1487" s="127"/>
      <c r="C1487" s="30"/>
      <c r="D1487" s="360"/>
      <c r="E1487" s="102"/>
      <c r="F1487" s="31">
        <f t="shared" si="722"/>
        <v>0</v>
      </c>
      <c r="G1487" s="27">
        <f t="shared" si="723"/>
        <v>0</v>
      </c>
      <c r="H1487" s="32">
        <f>IF(D1487="no",0,F1487*H1483)</f>
        <v>0</v>
      </c>
      <c r="I1487" s="33">
        <f t="shared" si="724"/>
        <v>0</v>
      </c>
      <c r="J1487" s="26"/>
      <c r="K1487" s="27">
        <f t="shared" si="725"/>
        <v>0</v>
      </c>
      <c r="L1487" s="27">
        <f>IF(D1487="no",F1487*H1483-J1487,0)</f>
        <v>0</v>
      </c>
      <c r="M1487" s="563"/>
      <c r="N1487" s="564"/>
      <c r="O1487" s="1"/>
      <c r="P1487" s="3"/>
      <c r="Q1487" s="1"/>
      <c r="R1487" s="1"/>
      <c r="S1487" s="1"/>
      <c r="T1487" s="1"/>
      <c r="U1487" s="4"/>
    </row>
    <row r="1488" spans="1:21" s="364" customFormat="1" ht="18.75" hidden="1" customHeight="1">
      <c r="A1488" s="39"/>
      <c r="B1488" s="29"/>
      <c r="C1488" s="30"/>
      <c r="D1488" s="362"/>
      <c r="E1488" s="27"/>
      <c r="F1488" s="31">
        <f t="shared" si="722"/>
        <v>0</v>
      </c>
      <c r="G1488" s="27">
        <f t="shared" si="723"/>
        <v>0</v>
      </c>
      <c r="H1488" s="32">
        <f>IF(D1488="no",0,F1488*H1483)</f>
        <v>0</v>
      </c>
      <c r="I1488" s="33">
        <f t="shared" si="724"/>
        <v>0</v>
      </c>
      <c r="J1488" s="26"/>
      <c r="K1488" s="27">
        <f t="shared" si="725"/>
        <v>0</v>
      </c>
      <c r="L1488" s="27">
        <f>IF(D1488="no",F1488*H1483-J1488,0)</f>
        <v>0</v>
      </c>
      <c r="M1488" s="572"/>
      <c r="N1488" s="564"/>
      <c r="O1488" s="1"/>
      <c r="P1488" s="3"/>
      <c r="Q1488" s="1"/>
      <c r="R1488" s="1"/>
      <c r="S1488" s="1"/>
      <c r="T1488" s="1"/>
      <c r="U1488" s="4"/>
    </row>
    <row r="1489" spans="1:21" s="364" customFormat="1" ht="18.75" hidden="1" customHeight="1">
      <c r="A1489" s="39"/>
      <c r="B1489" s="29"/>
      <c r="C1489" s="30"/>
      <c r="D1489" s="362"/>
      <c r="E1489" s="27"/>
      <c r="F1489" s="31">
        <f t="shared" si="722"/>
        <v>0</v>
      </c>
      <c r="G1489" s="27">
        <f t="shared" si="723"/>
        <v>0</v>
      </c>
      <c r="H1489" s="32">
        <f>IF(D1489="no",0,F1489*H1483)</f>
        <v>0</v>
      </c>
      <c r="I1489" s="33">
        <f t="shared" si="724"/>
        <v>0</v>
      </c>
      <c r="J1489" s="26"/>
      <c r="K1489" s="27">
        <f t="shared" si="725"/>
        <v>0</v>
      </c>
      <c r="L1489" s="27">
        <f t="shared" ref="L1489:L1490" si="726">IF(D1489="no",F1489*H1483-J1489,0)</f>
        <v>0</v>
      </c>
      <c r="M1489" s="563"/>
      <c r="N1489" s="564"/>
      <c r="O1489" s="1"/>
      <c r="P1489" s="3"/>
      <c r="Q1489" s="1"/>
      <c r="R1489" s="1"/>
      <c r="S1489" s="1"/>
      <c r="T1489" s="1"/>
      <c r="U1489" s="4"/>
    </row>
    <row r="1490" spans="1:21" s="364" customFormat="1" ht="18.75" hidden="1" customHeight="1">
      <c r="A1490" s="28"/>
      <c r="B1490" s="29"/>
      <c r="C1490" s="30"/>
      <c r="D1490" s="362"/>
      <c r="E1490" s="27"/>
      <c r="F1490" s="31">
        <f t="shared" si="722"/>
        <v>0</v>
      </c>
      <c r="G1490" s="27">
        <f t="shared" si="723"/>
        <v>0</v>
      </c>
      <c r="H1490" s="32">
        <f>IF(D1490="no",0,F1490*H1483)</f>
        <v>0</v>
      </c>
      <c r="I1490" s="33">
        <f t="shared" si="724"/>
        <v>0</v>
      </c>
      <c r="J1490" s="26"/>
      <c r="K1490" s="27">
        <f t="shared" si="725"/>
        <v>0</v>
      </c>
      <c r="L1490" s="27">
        <f t="shared" si="726"/>
        <v>0</v>
      </c>
      <c r="M1490" s="572"/>
      <c r="N1490" s="564"/>
      <c r="O1490" s="1"/>
      <c r="P1490" s="3"/>
      <c r="Q1490" s="1"/>
      <c r="R1490" s="1"/>
      <c r="S1490" s="1"/>
      <c r="T1490" s="1"/>
      <c r="U1490" s="4"/>
    </row>
    <row r="1491" spans="1:21" s="364" customFormat="1" ht="18.75" hidden="1" customHeight="1">
      <c r="A1491" s="28"/>
      <c r="B1491" s="29"/>
      <c r="C1491" s="30"/>
      <c r="D1491" s="362"/>
      <c r="E1491" s="27"/>
      <c r="F1491" s="31">
        <f t="shared" si="722"/>
        <v>0</v>
      </c>
      <c r="G1491" s="27">
        <f t="shared" si="723"/>
        <v>0</v>
      </c>
      <c r="H1491" s="32">
        <f>IF(D1491="no",0,F1491*H1483)</f>
        <v>0</v>
      </c>
      <c r="I1491" s="33">
        <f t="shared" si="724"/>
        <v>0</v>
      </c>
      <c r="J1491" s="26"/>
      <c r="K1491" s="27">
        <f t="shared" si="725"/>
        <v>0</v>
      </c>
      <c r="L1491" s="27">
        <f>IF(D1491="no",F1491*H1483-J1491,0)</f>
        <v>0</v>
      </c>
      <c r="M1491" s="563"/>
      <c r="N1491" s="564"/>
      <c r="O1491" s="1"/>
      <c r="P1491" s="3"/>
      <c r="Q1491" s="1"/>
      <c r="R1491" s="1"/>
      <c r="S1491" s="1"/>
      <c r="T1491" s="1"/>
      <c r="U1491" s="4"/>
    </row>
    <row r="1492" spans="1:21" s="364" customFormat="1" ht="18.75" hidden="1" customHeight="1">
      <c r="A1492" s="28"/>
      <c r="B1492" s="29"/>
      <c r="C1492" s="30"/>
      <c r="D1492" s="362"/>
      <c r="E1492" s="27"/>
      <c r="F1492" s="31">
        <f t="shared" si="722"/>
        <v>0</v>
      </c>
      <c r="G1492" s="27">
        <f t="shared" si="723"/>
        <v>0</v>
      </c>
      <c r="H1492" s="32">
        <f>IF(D1492="no",0,F1492*H1483)</f>
        <v>0</v>
      </c>
      <c r="I1492" s="33">
        <f t="shared" si="724"/>
        <v>0</v>
      </c>
      <c r="J1492" s="26"/>
      <c r="K1492" s="27">
        <f t="shared" si="725"/>
        <v>0</v>
      </c>
      <c r="L1492" s="27">
        <f t="shared" ref="L1492:L1493" si="727">IF(D1492="no",F1492*H1483-J1492,0)</f>
        <v>0</v>
      </c>
      <c r="M1492" s="572"/>
      <c r="N1492" s="564"/>
      <c r="O1492" s="1"/>
      <c r="P1492" s="3"/>
      <c r="Q1492" s="1"/>
      <c r="R1492" s="1"/>
      <c r="S1492" s="1"/>
      <c r="T1492" s="1"/>
      <c r="U1492" s="4"/>
    </row>
    <row r="1493" spans="1:21" s="364" customFormat="1" ht="18.75" hidden="1" customHeight="1">
      <c r="A1493" s="28"/>
      <c r="B1493" s="29"/>
      <c r="C1493" s="30"/>
      <c r="D1493" s="362"/>
      <c r="E1493" s="27"/>
      <c r="F1493" s="31">
        <f t="shared" si="722"/>
        <v>0</v>
      </c>
      <c r="G1493" s="27">
        <f t="shared" si="723"/>
        <v>0</v>
      </c>
      <c r="H1493" s="32">
        <f>IF(D1493="no",0,F1493*H1483)</f>
        <v>0</v>
      </c>
      <c r="I1493" s="33">
        <f t="shared" si="724"/>
        <v>0</v>
      </c>
      <c r="J1493" s="26"/>
      <c r="K1493" s="27">
        <f t="shared" si="725"/>
        <v>0</v>
      </c>
      <c r="L1493" s="27">
        <f t="shared" si="727"/>
        <v>0</v>
      </c>
      <c r="M1493" s="572"/>
      <c r="N1493" s="564"/>
      <c r="O1493" s="1"/>
      <c r="P1493" s="3"/>
      <c r="Q1493" s="1"/>
      <c r="R1493" s="1"/>
      <c r="S1493" s="1"/>
      <c r="T1493" s="1"/>
      <c r="U1493" s="4"/>
    </row>
    <row r="1494" spans="1:21" s="364" customFormat="1" ht="18.75" hidden="1" customHeight="1">
      <c r="A1494" s="28"/>
      <c r="B1494" s="29"/>
      <c r="C1494" s="30"/>
      <c r="D1494" s="362"/>
      <c r="E1494" s="27"/>
      <c r="F1494" s="31">
        <f t="shared" si="722"/>
        <v>0</v>
      </c>
      <c r="G1494" s="27">
        <f t="shared" si="723"/>
        <v>0</v>
      </c>
      <c r="H1494" s="32">
        <f>IF(D1494="no",0,F1494*H1483)</f>
        <v>0</v>
      </c>
      <c r="I1494" s="33">
        <f t="shared" si="724"/>
        <v>0</v>
      </c>
      <c r="J1494" s="26"/>
      <c r="K1494" s="27">
        <f t="shared" si="725"/>
        <v>0</v>
      </c>
      <c r="L1494" s="27">
        <f>IF(D1494="no",F1494*H1483-J1494,0)</f>
        <v>0</v>
      </c>
      <c r="M1494" s="572"/>
      <c r="N1494" s="564"/>
      <c r="O1494" s="1"/>
      <c r="P1494" s="3"/>
      <c r="Q1494" s="1"/>
      <c r="R1494" s="1"/>
      <c r="S1494" s="1"/>
      <c r="T1494" s="1"/>
      <c r="U1494" s="4"/>
    </row>
    <row r="1495" spans="1:21" s="364" customFormat="1" ht="18.75" hidden="1" customHeight="1">
      <c r="A1495" s="28"/>
      <c r="B1495" s="29"/>
      <c r="C1495" s="30"/>
      <c r="D1495" s="362"/>
      <c r="E1495" s="27"/>
      <c r="F1495" s="31">
        <f t="shared" si="722"/>
        <v>0</v>
      </c>
      <c r="G1495" s="27">
        <f t="shared" si="723"/>
        <v>0</v>
      </c>
      <c r="H1495" s="32">
        <f>IF(D1495="no",0,F1495*H1483)</f>
        <v>0</v>
      </c>
      <c r="I1495" s="33">
        <f t="shared" si="724"/>
        <v>0</v>
      </c>
      <c r="J1495" s="26"/>
      <c r="K1495" s="27">
        <f t="shared" si="725"/>
        <v>0</v>
      </c>
      <c r="L1495" s="27">
        <f>IF(D1495="no",F1495*H1483-J1495,0)</f>
        <v>0</v>
      </c>
      <c r="M1495" s="572"/>
      <c r="N1495" s="564"/>
      <c r="O1495" s="1"/>
      <c r="P1495" s="3"/>
      <c r="Q1495" s="1"/>
      <c r="R1495" s="1"/>
      <c r="S1495" s="1"/>
      <c r="T1495" s="1"/>
      <c r="U1495" s="4"/>
    </row>
    <row r="1496" spans="1:21" s="364" customFormat="1" ht="18.75" hidden="1" customHeight="1">
      <c r="A1496" s="28"/>
      <c r="B1496" s="29"/>
      <c r="C1496" s="30"/>
      <c r="D1496" s="362"/>
      <c r="E1496" s="27"/>
      <c r="F1496" s="31">
        <f t="shared" si="722"/>
        <v>0</v>
      </c>
      <c r="G1496" s="27">
        <f t="shared" si="723"/>
        <v>0</v>
      </c>
      <c r="H1496" s="32">
        <f>IF(D1496="no",0,F1496*H1483)</f>
        <v>0</v>
      </c>
      <c r="I1496" s="33">
        <f t="shared" si="724"/>
        <v>0</v>
      </c>
      <c r="J1496" s="26"/>
      <c r="K1496" s="27">
        <f t="shared" si="725"/>
        <v>0</v>
      </c>
      <c r="L1496" s="27">
        <f>IF(D1496="no",F1496*H1483-J1496,0)</f>
        <v>0</v>
      </c>
      <c r="M1496" s="578"/>
      <c r="N1496" s="564"/>
      <c r="O1496" s="1"/>
      <c r="P1496" s="3"/>
      <c r="Q1496" s="1"/>
      <c r="R1496" s="1"/>
      <c r="S1496" s="1"/>
      <c r="T1496" s="1"/>
      <c r="U1496" s="4"/>
    </row>
    <row r="1497" spans="1:21" s="364" customFormat="1" ht="18.75" hidden="1" customHeight="1">
      <c r="A1497" s="28"/>
      <c r="B1497" s="29"/>
      <c r="C1497" s="30"/>
      <c r="D1497" s="362"/>
      <c r="E1497" s="27"/>
      <c r="F1497" s="31">
        <f t="shared" si="722"/>
        <v>0</v>
      </c>
      <c r="G1497" s="27">
        <f t="shared" si="723"/>
        <v>0</v>
      </c>
      <c r="H1497" s="32"/>
      <c r="I1497" s="33">
        <f t="shared" si="724"/>
        <v>0</v>
      </c>
      <c r="J1497" s="26"/>
      <c r="K1497" s="27">
        <f t="shared" si="725"/>
        <v>0</v>
      </c>
      <c r="L1497" s="27">
        <f>IF(D1497="no",F1497*H1481-J1497,0)</f>
        <v>0</v>
      </c>
      <c r="M1497" s="572"/>
      <c r="N1497" s="564"/>
      <c r="O1497" s="1"/>
      <c r="P1497" s="3"/>
      <c r="Q1497" s="1"/>
      <c r="R1497" s="1"/>
      <c r="S1497" s="1"/>
      <c r="T1497" s="1"/>
      <c r="U1497" s="4"/>
    </row>
    <row r="1498" spans="1:21" s="364" customFormat="1" ht="18.75" hidden="1" customHeight="1">
      <c r="A1498" s="28"/>
      <c r="B1498" s="29"/>
      <c r="C1498" s="30"/>
      <c r="D1498" s="363"/>
      <c r="E1498" s="27"/>
      <c r="F1498" s="31">
        <f t="shared" si="722"/>
        <v>0</v>
      </c>
      <c r="G1498" s="27"/>
      <c r="H1498" s="32"/>
      <c r="I1498" s="33">
        <f t="shared" si="724"/>
        <v>0</v>
      </c>
      <c r="J1498" s="26"/>
      <c r="K1498" s="27">
        <f t="shared" si="725"/>
        <v>0</v>
      </c>
      <c r="L1498" s="27">
        <f t="shared" ref="L1498" si="728">IF(D1498="no",F1498*H1483-J1498,0)</f>
        <v>0</v>
      </c>
      <c r="M1498" s="572"/>
      <c r="N1498" s="564"/>
      <c r="O1498" s="1"/>
      <c r="P1498" s="3"/>
      <c r="Q1498" s="1"/>
      <c r="R1498" s="1"/>
      <c r="S1498" s="1"/>
      <c r="T1498" s="1"/>
      <c r="U1498" s="4"/>
    </row>
    <row r="1499" spans="1:21" s="378" customFormat="1" ht="18.75" hidden="1" customHeight="1">
      <c r="A1499" s="39" t="s">
        <v>575</v>
      </c>
      <c r="B1499" s="29" t="s">
        <v>406</v>
      </c>
      <c r="C1499" s="30"/>
      <c r="D1499" s="379"/>
      <c r="E1499" s="27"/>
      <c r="F1499" s="31"/>
      <c r="G1499" s="27"/>
      <c r="H1499" s="32"/>
      <c r="I1499" s="33">
        <f t="shared" si="724"/>
        <v>0</v>
      </c>
      <c r="J1499" s="26"/>
      <c r="K1499" s="27"/>
      <c r="L1499" s="27"/>
      <c r="M1499" s="578"/>
      <c r="N1499" s="593"/>
      <c r="O1499" s="1"/>
      <c r="P1499" s="3"/>
      <c r="Q1499" s="1"/>
      <c r="R1499" s="1"/>
      <c r="S1499" s="1"/>
      <c r="T1499" s="1"/>
      <c r="U1499" s="4"/>
    </row>
    <row r="1500" spans="1:21" s="364" customFormat="1" ht="18.75" hidden="1" customHeight="1">
      <c r="A1500" s="39" t="s">
        <v>575</v>
      </c>
      <c r="B1500" s="29" t="s">
        <v>483</v>
      </c>
      <c r="C1500" s="30"/>
      <c r="D1500" s="363"/>
      <c r="E1500" s="27"/>
      <c r="F1500" s="31"/>
      <c r="G1500" s="27"/>
      <c r="H1500" s="32"/>
      <c r="I1500" s="33">
        <f t="shared" si="724"/>
        <v>0</v>
      </c>
      <c r="J1500" s="26"/>
      <c r="K1500" s="27">
        <f t="shared" si="725"/>
        <v>0</v>
      </c>
      <c r="L1500" s="27">
        <f t="shared" ref="L1500" si="729">IF(D1500="no",F1500*H1485-J1500,0)</f>
        <v>0</v>
      </c>
      <c r="M1500" s="614"/>
      <c r="N1500" s="615"/>
      <c r="O1500" s="1"/>
      <c r="P1500" s="3"/>
      <c r="Q1500" s="1"/>
      <c r="R1500" s="1"/>
      <c r="S1500" s="1"/>
      <c r="T1500" s="1"/>
      <c r="U1500" s="4"/>
    </row>
    <row r="1501" spans="1:21" s="364" customFormat="1" ht="18.75" hidden="1" customHeight="1">
      <c r="A1501" s="39" t="s">
        <v>575</v>
      </c>
      <c r="B1501" s="29" t="s">
        <v>35</v>
      </c>
      <c r="C1501" s="30"/>
      <c r="D1501" s="363"/>
      <c r="E1501" s="27"/>
      <c r="F1501" s="31">
        <f>IF(D1501="no",E1501,E1501/1.1)</f>
        <v>0</v>
      </c>
      <c r="G1501" s="27">
        <f>IF(D1501="no",0,F1501*0.1)</f>
        <v>0</v>
      </c>
      <c r="H1501" s="37"/>
      <c r="I1501" s="33">
        <f t="shared" si="724"/>
        <v>0</v>
      </c>
      <c r="J1501" s="26"/>
      <c r="K1501" s="27">
        <f t="shared" si="725"/>
        <v>0</v>
      </c>
      <c r="L1501" s="27">
        <f>IF(D1501="no",F1501*H1486-J1501,0)</f>
        <v>0</v>
      </c>
      <c r="M1501" s="584"/>
      <c r="N1501" s="564"/>
      <c r="O1501" s="1"/>
      <c r="P1501" s="3"/>
      <c r="Q1501" s="1"/>
      <c r="R1501" s="1"/>
      <c r="S1501" s="1"/>
      <c r="T1501" s="1"/>
      <c r="U1501" s="4"/>
    </row>
    <row r="1502" spans="1:21" s="364" customFormat="1" ht="18.75" hidden="1" customHeight="1">
      <c r="A1502" s="575" t="s">
        <v>42</v>
      </c>
      <c r="B1502" s="576"/>
      <c r="C1502" s="576"/>
      <c r="D1502" s="577"/>
      <c r="E1502" s="42">
        <f t="shared" ref="E1502:L1502" si="730">SUM(E1485:E1501)</f>
        <v>0</v>
      </c>
      <c r="F1502" s="17">
        <f t="shared" si="730"/>
        <v>0</v>
      </c>
      <c r="G1502" s="42">
        <f t="shared" si="730"/>
        <v>0</v>
      </c>
      <c r="H1502" s="43">
        <f t="shared" si="730"/>
        <v>0</v>
      </c>
      <c r="I1502" s="42">
        <f t="shared" si="730"/>
        <v>0</v>
      </c>
      <c r="J1502" s="43">
        <f t="shared" si="730"/>
        <v>0</v>
      </c>
      <c r="K1502" s="42">
        <f t="shared" si="730"/>
        <v>0</v>
      </c>
      <c r="L1502" s="42">
        <f t="shared" si="730"/>
        <v>0</v>
      </c>
      <c r="M1502" s="44"/>
      <c r="N1502" s="45"/>
      <c r="O1502" s="1"/>
      <c r="P1502" s="3"/>
      <c r="Q1502" s="1"/>
      <c r="R1502" s="1"/>
      <c r="S1502" s="1"/>
      <c r="T1502" s="1"/>
      <c r="U1502" s="4"/>
    </row>
    <row r="1503" spans="1:21" s="364" customFormat="1" ht="18.75" hidden="1" customHeight="1">
      <c r="A1503" s="46" t="s">
        <v>37</v>
      </c>
      <c r="B1503" s="47" t="s">
        <v>132</v>
      </c>
      <c r="C1503" s="48">
        <f>D1483</f>
        <v>0</v>
      </c>
      <c r="D1503" s="47" t="s">
        <v>44</v>
      </c>
      <c r="E1503" s="49"/>
      <c r="F1503" s="84"/>
      <c r="G1503" s="85"/>
      <c r="H1503" s="49"/>
      <c r="I1503" s="53" t="s">
        <v>46</v>
      </c>
      <c r="J1503" s="54"/>
      <c r="K1503" s="359"/>
      <c r="L1503" s="55"/>
      <c r="M1503" s="63"/>
      <c r="N1503" s="64"/>
      <c r="O1503" s="1"/>
      <c r="P1503" s="3"/>
      <c r="Q1503" s="1"/>
      <c r="R1503" s="1"/>
      <c r="S1503" s="1"/>
      <c r="T1503" s="1"/>
      <c r="U1503" s="4"/>
    </row>
    <row r="1504" spans="1:21" s="364" customFormat="1" ht="18.75" hidden="1" customHeight="1" thickBot="1">
      <c r="A1504" s="56" t="s">
        <v>48</v>
      </c>
      <c r="B1504" s="57" t="s">
        <v>133</v>
      </c>
      <c r="C1504" s="58">
        <f>ROUND(F1502/10000,0)</f>
        <v>0</v>
      </c>
      <c r="D1504" s="57" t="s">
        <v>50</v>
      </c>
      <c r="E1504" s="52"/>
      <c r="F1504" s="86"/>
      <c r="G1504" s="87"/>
      <c r="H1504" s="52"/>
      <c r="I1504" s="365"/>
      <c r="J1504" s="61"/>
      <c r="K1504" s="365"/>
      <c r="L1504" s="62"/>
      <c r="M1504" s="63"/>
      <c r="N1504" s="64"/>
      <c r="O1504" s="1"/>
      <c r="P1504" s="3"/>
      <c r="Q1504" s="1"/>
      <c r="R1504" s="1"/>
      <c r="S1504" s="1"/>
      <c r="T1504" s="1"/>
      <c r="U1504" s="4"/>
    </row>
    <row r="1505" spans="1:21" s="364" customFormat="1" ht="18.75" hidden="1" customHeight="1" thickBot="1">
      <c r="A1505" s="566" t="s">
        <v>52</v>
      </c>
      <c r="B1505" s="567"/>
      <c r="C1505" s="567"/>
      <c r="D1505" s="568"/>
      <c r="E1505" s="65"/>
      <c r="F1505" s="569" t="s">
        <v>53</v>
      </c>
      <c r="G1505" s="568"/>
      <c r="H1505" s="66">
        <f>H1502-J1503</f>
        <v>0</v>
      </c>
      <c r="I1505" s="67">
        <f>H1505*3.3%</f>
        <v>0</v>
      </c>
      <c r="J1505" s="68">
        <f>SUM(J1502)</f>
        <v>0</v>
      </c>
      <c r="K1505" s="69">
        <f>H1505-I1505</f>
        <v>0</v>
      </c>
      <c r="L1505" s="70">
        <f>L1502+SUM(H1503:H1504)+J1504</f>
        <v>0</v>
      </c>
      <c r="M1505" s="570">
        <f>K1505+L1505</f>
        <v>0</v>
      </c>
      <c r="N1505" s="571"/>
      <c r="O1505" s="1"/>
      <c r="P1505" s="3"/>
      <c r="Q1505" s="1"/>
      <c r="R1505" s="1"/>
      <c r="S1505" s="1"/>
      <c r="T1505" s="1"/>
      <c r="U1505" s="4"/>
    </row>
    <row r="1506" spans="1:21" s="483" customFormat="1" ht="18.75" hidden="1" customHeight="1">
      <c r="A1506" s="368"/>
      <c r="B1506" s="369"/>
      <c r="C1506" s="369"/>
      <c r="D1506" s="482"/>
      <c r="E1506" s="370"/>
      <c r="F1506" s="370"/>
      <c r="G1506" s="369"/>
      <c r="H1506" s="489">
        <v>1</v>
      </c>
      <c r="I1506" s="370"/>
      <c r="J1506" s="370"/>
      <c r="K1506" s="372"/>
      <c r="L1506" s="372"/>
      <c r="M1506" s="373"/>
      <c r="N1506" s="348"/>
      <c r="O1506" s="1"/>
      <c r="P1506" s="3"/>
      <c r="Q1506" s="1"/>
      <c r="R1506" s="1"/>
      <c r="S1506" s="1"/>
      <c r="T1506" s="1"/>
      <c r="U1506" s="4"/>
    </row>
    <row r="1507" spans="1:21" s="483" customFormat="1" ht="18.75" hidden="1" customHeight="1">
      <c r="A1507" s="6"/>
      <c r="B1507" s="7" t="str">
        <f>$B$34</f>
        <v>1월</v>
      </c>
      <c r="C1507" s="8" t="s">
        <v>1</v>
      </c>
      <c r="D1507" s="9">
        <f>COUNTIF($C1509:$C1525,"계약")+(COUNTIF($C1509:$C1525,"계약2")*2)</f>
        <v>0</v>
      </c>
      <c r="E1507" s="3">
        <f>COUNTIF(C1509:C1525,"낙찰수수료")</f>
        <v>0</v>
      </c>
      <c r="F1507" s="3"/>
      <c r="G1507" s="89"/>
      <c r="H1507" s="367">
        <v>0.4</v>
      </c>
      <c r="I1507" s="12">
        <v>3.3000000000000002E-2</v>
      </c>
      <c r="J1507" s="1"/>
      <c r="K1507" s="1"/>
      <c r="L1507" s="1"/>
      <c r="M1507" s="1"/>
      <c r="N1507" s="1"/>
      <c r="O1507" s="1"/>
      <c r="P1507" s="3"/>
      <c r="Q1507" s="1"/>
      <c r="R1507" s="1"/>
      <c r="S1507" s="1"/>
      <c r="T1507" s="1"/>
      <c r="U1507" s="4"/>
    </row>
    <row r="1508" spans="1:21" s="483" customFormat="1" ht="18.75" hidden="1" customHeight="1">
      <c r="A1508" s="481" t="s">
        <v>3</v>
      </c>
      <c r="B1508" s="14" t="s">
        <v>4</v>
      </c>
      <c r="C1508" s="14" t="s">
        <v>5</v>
      </c>
      <c r="D1508" s="101" t="s">
        <v>6</v>
      </c>
      <c r="E1508" s="16" t="s">
        <v>7</v>
      </c>
      <c r="F1508" s="17" t="s">
        <v>8</v>
      </c>
      <c r="G1508" s="14" t="s">
        <v>9</v>
      </c>
      <c r="H1508" s="15" t="s">
        <v>10</v>
      </c>
      <c r="I1508" s="14" t="s">
        <v>11</v>
      </c>
      <c r="J1508" s="15" t="s">
        <v>12</v>
      </c>
      <c r="K1508" s="14" t="s">
        <v>13</v>
      </c>
      <c r="L1508" s="14" t="s">
        <v>14</v>
      </c>
      <c r="M1508" s="579" t="s">
        <v>15</v>
      </c>
      <c r="N1508" s="577"/>
      <c r="O1508" s="1"/>
      <c r="P1508" s="3"/>
      <c r="Q1508" s="1"/>
      <c r="R1508" s="1"/>
      <c r="S1508" s="1"/>
      <c r="T1508" s="1"/>
      <c r="U1508" s="4"/>
    </row>
    <row r="1509" spans="1:21" s="483" customFormat="1" ht="18.75" hidden="1" customHeight="1">
      <c r="A1509" s="28"/>
      <c r="B1509" s="29"/>
      <c r="C1509" s="30"/>
      <c r="D1509" s="487"/>
      <c r="E1509" s="27"/>
      <c r="F1509" s="31">
        <f t="shared" ref="F1509:F1522" si="731">IF(D1509="no",E1509,E1509/1.1)</f>
        <v>0</v>
      </c>
      <c r="G1509" s="27">
        <f t="shared" ref="G1509:G1521" si="732">IF(D1509="no",0,F1509*0.1)</f>
        <v>0</v>
      </c>
      <c r="H1509" s="495">
        <f>IF(D1509="no",0,F1509*H1506)</f>
        <v>0</v>
      </c>
      <c r="I1509" s="33">
        <f t="shared" ref="I1509:I1525" si="733">IF(D1509="no",0,H1509*3.3%)</f>
        <v>0</v>
      </c>
      <c r="J1509" s="26"/>
      <c r="K1509" s="27">
        <f>IF(D1509="no",0,H1509-I1509-J1509)</f>
        <v>0</v>
      </c>
      <c r="L1509" s="27">
        <f>IF(D1509="no",F1509*H1507-J1509,0)</f>
        <v>0</v>
      </c>
      <c r="M1509" s="582"/>
      <c r="N1509" s="581"/>
      <c r="O1509" s="1"/>
      <c r="P1509" s="3"/>
      <c r="Q1509" s="1"/>
      <c r="R1509" s="1"/>
      <c r="S1509" s="1"/>
      <c r="T1509" s="1"/>
      <c r="U1509" s="4"/>
    </row>
    <row r="1510" spans="1:21" s="483" customFormat="1" ht="18.75" hidden="1" customHeight="1">
      <c r="A1510" s="28"/>
      <c r="B1510" s="29"/>
      <c r="C1510" s="30"/>
      <c r="D1510" s="487"/>
      <c r="E1510" s="27"/>
      <c r="F1510" s="31">
        <f t="shared" si="731"/>
        <v>0</v>
      </c>
      <c r="G1510" s="27">
        <f t="shared" si="732"/>
        <v>0</v>
      </c>
      <c r="H1510" s="32">
        <f>IF(D1510="no",0,F1510*H1507)</f>
        <v>0</v>
      </c>
      <c r="I1510" s="33">
        <f t="shared" si="733"/>
        <v>0</v>
      </c>
      <c r="J1510" s="26"/>
      <c r="K1510" s="27">
        <f t="shared" ref="K1510:K1522" si="734">IF(D1510="no",0,H1510-I1510-J1510)</f>
        <v>0</v>
      </c>
      <c r="L1510" s="27">
        <f>IF(D1510="no",F1510*H1507-J1510,0)</f>
        <v>0</v>
      </c>
      <c r="M1510" s="572"/>
      <c r="N1510" s="564"/>
      <c r="O1510" s="1"/>
      <c r="P1510" s="3"/>
      <c r="Q1510" s="1"/>
      <c r="R1510" s="1"/>
      <c r="S1510" s="1"/>
      <c r="T1510" s="1"/>
      <c r="U1510" s="4"/>
    </row>
    <row r="1511" spans="1:21" s="483" customFormat="1" ht="18.75" hidden="1" customHeight="1">
      <c r="A1511" s="39"/>
      <c r="B1511" s="127"/>
      <c r="C1511" s="30"/>
      <c r="D1511" s="485"/>
      <c r="E1511" s="102"/>
      <c r="F1511" s="31">
        <f t="shared" si="731"/>
        <v>0</v>
      </c>
      <c r="G1511" s="27">
        <f t="shared" si="732"/>
        <v>0</v>
      </c>
      <c r="H1511" s="32">
        <f>IF(D1511="no",0,F1511*H1507)</f>
        <v>0</v>
      </c>
      <c r="I1511" s="33">
        <f t="shared" si="733"/>
        <v>0</v>
      </c>
      <c r="J1511" s="26"/>
      <c r="K1511" s="27">
        <f t="shared" si="734"/>
        <v>0</v>
      </c>
      <c r="L1511" s="27">
        <f>IF(D1511="no",F1511*H1507-J1511,0)</f>
        <v>0</v>
      </c>
      <c r="M1511" s="563"/>
      <c r="N1511" s="564"/>
      <c r="O1511" s="1"/>
      <c r="P1511" s="3"/>
      <c r="Q1511" s="1"/>
      <c r="R1511" s="1"/>
      <c r="S1511" s="1"/>
      <c r="T1511" s="1"/>
      <c r="U1511" s="4"/>
    </row>
    <row r="1512" spans="1:21" s="483" customFormat="1" ht="18.75" hidden="1" customHeight="1">
      <c r="A1512" s="39"/>
      <c r="B1512" s="29"/>
      <c r="C1512" s="30"/>
      <c r="D1512" s="487"/>
      <c r="E1512" s="27"/>
      <c r="F1512" s="31">
        <f t="shared" si="731"/>
        <v>0</v>
      </c>
      <c r="G1512" s="27">
        <f t="shared" si="732"/>
        <v>0</v>
      </c>
      <c r="H1512" s="32">
        <f>IF(D1512="no",0,F1512*H1507)</f>
        <v>0</v>
      </c>
      <c r="I1512" s="33">
        <f t="shared" si="733"/>
        <v>0</v>
      </c>
      <c r="J1512" s="26"/>
      <c r="K1512" s="27">
        <f t="shared" si="734"/>
        <v>0</v>
      </c>
      <c r="L1512" s="27">
        <f>IF(D1512="no",F1512*H1507-J1512,0)</f>
        <v>0</v>
      </c>
      <c r="M1512" s="572"/>
      <c r="N1512" s="564"/>
      <c r="O1512" s="1"/>
      <c r="P1512" s="3"/>
      <c r="Q1512" s="1"/>
      <c r="R1512" s="1"/>
      <c r="S1512" s="1"/>
      <c r="T1512" s="1"/>
      <c r="U1512" s="4"/>
    </row>
    <row r="1513" spans="1:21" s="483" customFormat="1" ht="18.75" hidden="1" customHeight="1">
      <c r="A1513" s="39"/>
      <c r="B1513" s="29"/>
      <c r="C1513" s="30"/>
      <c r="D1513" s="487"/>
      <c r="E1513" s="27"/>
      <c r="F1513" s="31">
        <f t="shared" si="731"/>
        <v>0</v>
      </c>
      <c r="G1513" s="27">
        <f t="shared" si="732"/>
        <v>0</v>
      </c>
      <c r="H1513" s="32">
        <f>IF(D1513="no",0,F1513*H1507)</f>
        <v>0</v>
      </c>
      <c r="I1513" s="33">
        <f t="shared" si="733"/>
        <v>0</v>
      </c>
      <c r="J1513" s="26"/>
      <c r="K1513" s="27">
        <f t="shared" si="734"/>
        <v>0</v>
      </c>
      <c r="L1513" s="27">
        <f t="shared" ref="L1513:L1514" si="735">IF(D1513="no",F1513*H1507-J1513,0)</f>
        <v>0</v>
      </c>
      <c r="M1513" s="563"/>
      <c r="N1513" s="564"/>
      <c r="O1513" s="1"/>
      <c r="P1513" s="3"/>
      <c r="Q1513" s="1"/>
      <c r="R1513" s="1"/>
      <c r="S1513" s="1"/>
      <c r="T1513" s="1"/>
      <c r="U1513" s="4"/>
    </row>
    <row r="1514" spans="1:21" s="483" customFormat="1" ht="18.75" hidden="1" customHeight="1">
      <c r="A1514" s="28"/>
      <c r="B1514" s="29"/>
      <c r="C1514" s="30"/>
      <c r="D1514" s="487"/>
      <c r="E1514" s="27"/>
      <c r="F1514" s="31">
        <f t="shared" si="731"/>
        <v>0</v>
      </c>
      <c r="G1514" s="27">
        <f t="shared" si="732"/>
        <v>0</v>
      </c>
      <c r="H1514" s="32">
        <f>IF(D1514="no",0,F1514*H1507)</f>
        <v>0</v>
      </c>
      <c r="I1514" s="33">
        <f t="shared" si="733"/>
        <v>0</v>
      </c>
      <c r="J1514" s="26"/>
      <c r="K1514" s="27">
        <f t="shared" si="734"/>
        <v>0</v>
      </c>
      <c r="L1514" s="27">
        <f t="shared" si="735"/>
        <v>0</v>
      </c>
      <c r="M1514" s="572"/>
      <c r="N1514" s="564"/>
      <c r="O1514" s="1"/>
      <c r="P1514" s="3"/>
      <c r="Q1514" s="1"/>
      <c r="R1514" s="1"/>
      <c r="S1514" s="1"/>
      <c r="T1514" s="1"/>
      <c r="U1514" s="4"/>
    </row>
    <row r="1515" spans="1:21" s="483" customFormat="1" ht="18.75" hidden="1" customHeight="1">
      <c r="A1515" s="28"/>
      <c r="B1515" s="29"/>
      <c r="C1515" s="30"/>
      <c r="D1515" s="487"/>
      <c r="E1515" s="27"/>
      <c r="F1515" s="31">
        <f t="shared" si="731"/>
        <v>0</v>
      </c>
      <c r="G1515" s="27">
        <f t="shared" si="732"/>
        <v>0</v>
      </c>
      <c r="H1515" s="32">
        <f>IF(D1515="no",0,F1515*H1507)</f>
        <v>0</v>
      </c>
      <c r="I1515" s="33">
        <f t="shared" si="733"/>
        <v>0</v>
      </c>
      <c r="J1515" s="26"/>
      <c r="K1515" s="27">
        <f t="shared" si="734"/>
        <v>0</v>
      </c>
      <c r="L1515" s="27">
        <f>IF(D1515="no",F1515*H1507-J1515,0)</f>
        <v>0</v>
      </c>
      <c r="M1515" s="563"/>
      <c r="N1515" s="564"/>
      <c r="O1515" s="1"/>
      <c r="P1515" s="3"/>
      <c r="Q1515" s="1"/>
      <c r="R1515" s="1"/>
      <c r="S1515" s="1"/>
      <c r="T1515" s="1"/>
      <c r="U1515" s="4"/>
    </row>
    <row r="1516" spans="1:21" s="483" customFormat="1" ht="18.75" hidden="1" customHeight="1">
      <c r="A1516" s="28"/>
      <c r="B1516" s="29"/>
      <c r="C1516" s="30"/>
      <c r="D1516" s="487"/>
      <c r="E1516" s="27"/>
      <c r="F1516" s="31">
        <f t="shared" si="731"/>
        <v>0</v>
      </c>
      <c r="G1516" s="27">
        <f t="shared" si="732"/>
        <v>0</v>
      </c>
      <c r="H1516" s="32">
        <f>IF(D1516="no",0,F1516*H1507)</f>
        <v>0</v>
      </c>
      <c r="I1516" s="33">
        <f t="shared" si="733"/>
        <v>0</v>
      </c>
      <c r="J1516" s="26"/>
      <c r="K1516" s="27">
        <f t="shared" si="734"/>
        <v>0</v>
      </c>
      <c r="L1516" s="27">
        <f t="shared" ref="L1516:L1517" si="736">IF(D1516="no",F1516*H1507-J1516,0)</f>
        <v>0</v>
      </c>
      <c r="M1516" s="572"/>
      <c r="N1516" s="564"/>
      <c r="O1516" s="1"/>
      <c r="P1516" s="3"/>
      <c r="Q1516" s="1"/>
      <c r="R1516" s="1"/>
      <c r="S1516" s="1"/>
      <c r="T1516" s="1"/>
      <c r="U1516" s="4"/>
    </row>
    <row r="1517" spans="1:21" s="483" customFormat="1" ht="18.75" hidden="1" customHeight="1">
      <c r="A1517" s="28"/>
      <c r="B1517" s="29"/>
      <c r="C1517" s="30"/>
      <c r="D1517" s="487"/>
      <c r="E1517" s="27"/>
      <c r="F1517" s="31">
        <f t="shared" si="731"/>
        <v>0</v>
      </c>
      <c r="G1517" s="27">
        <f t="shared" si="732"/>
        <v>0</v>
      </c>
      <c r="H1517" s="32">
        <f>IF(D1517="no",0,F1517*H1507)</f>
        <v>0</v>
      </c>
      <c r="I1517" s="33">
        <f t="shared" si="733"/>
        <v>0</v>
      </c>
      <c r="J1517" s="26"/>
      <c r="K1517" s="27">
        <f t="shared" si="734"/>
        <v>0</v>
      </c>
      <c r="L1517" s="27">
        <f t="shared" si="736"/>
        <v>0</v>
      </c>
      <c r="M1517" s="572"/>
      <c r="N1517" s="564"/>
      <c r="O1517" s="1"/>
      <c r="P1517" s="3"/>
      <c r="Q1517" s="1"/>
      <c r="R1517" s="1"/>
      <c r="S1517" s="1"/>
      <c r="T1517" s="1"/>
      <c r="U1517" s="4"/>
    </row>
    <row r="1518" spans="1:21" s="483" customFormat="1" ht="18.75" hidden="1" customHeight="1">
      <c r="A1518" s="28"/>
      <c r="B1518" s="29"/>
      <c r="C1518" s="30"/>
      <c r="D1518" s="487"/>
      <c r="E1518" s="27"/>
      <c r="F1518" s="31">
        <f t="shared" si="731"/>
        <v>0</v>
      </c>
      <c r="G1518" s="27">
        <f t="shared" si="732"/>
        <v>0</v>
      </c>
      <c r="H1518" s="32">
        <f>IF(D1518="no",0,F1518*H1507)</f>
        <v>0</v>
      </c>
      <c r="I1518" s="33">
        <f t="shared" si="733"/>
        <v>0</v>
      </c>
      <c r="J1518" s="26"/>
      <c r="K1518" s="27">
        <f t="shared" si="734"/>
        <v>0</v>
      </c>
      <c r="L1518" s="27">
        <f>IF(D1518="no",F1518*H1507-J1518,0)</f>
        <v>0</v>
      </c>
      <c r="M1518" s="572"/>
      <c r="N1518" s="564"/>
      <c r="O1518" s="1"/>
      <c r="P1518" s="3"/>
      <c r="Q1518" s="1"/>
      <c r="R1518" s="1"/>
      <c r="S1518" s="1"/>
      <c r="T1518" s="1"/>
      <c r="U1518" s="4"/>
    </row>
    <row r="1519" spans="1:21" s="483" customFormat="1" ht="18.75" hidden="1" customHeight="1">
      <c r="A1519" s="28"/>
      <c r="B1519" s="29"/>
      <c r="C1519" s="30"/>
      <c r="D1519" s="487"/>
      <c r="E1519" s="27"/>
      <c r="F1519" s="31">
        <f t="shared" si="731"/>
        <v>0</v>
      </c>
      <c r="G1519" s="27">
        <f t="shared" si="732"/>
        <v>0</v>
      </c>
      <c r="H1519" s="32">
        <f>IF(D1519="no",0,F1519*H1507)</f>
        <v>0</v>
      </c>
      <c r="I1519" s="33">
        <f t="shared" si="733"/>
        <v>0</v>
      </c>
      <c r="J1519" s="26"/>
      <c r="K1519" s="27">
        <f t="shared" si="734"/>
        <v>0</v>
      </c>
      <c r="L1519" s="27">
        <f>IF(D1519="no",F1519*H1507-J1519,0)</f>
        <v>0</v>
      </c>
      <c r="M1519" s="572"/>
      <c r="N1519" s="564"/>
      <c r="O1519" s="1"/>
      <c r="P1519" s="3"/>
      <c r="Q1519" s="1"/>
      <c r="R1519" s="1"/>
      <c r="S1519" s="1"/>
      <c r="T1519" s="1"/>
      <c r="U1519" s="4"/>
    </row>
    <row r="1520" spans="1:21" s="483" customFormat="1" ht="18.75" hidden="1" customHeight="1">
      <c r="A1520" s="28"/>
      <c r="B1520" s="29"/>
      <c r="C1520" s="30"/>
      <c r="D1520" s="487"/>
      <c r="E1520" s="27"/>
      <c r="F1520" s="31">
        <f t="shared" si="731"/>
        <v>0</v>
      </c>
      <c r="G1520" s="27">
        <f t="shared" si="732"/>
        <v>0</v>
      </c>
      <c r="H1520" s="32">
        <f>IF(D1520="no",0,F1520*H1507)</f>
        <v>0</v>
      </c>
      <c r="I1520" s="33">
        <f t="shared" si="733"/>
        <v>0</v>
      </c>
      <c r="J1520" s="26"/>
      <c r="K1520" s="27">
        <f t="shared" si="734"/>
        <v>0</v>
      </c>
      <c r="L1520" s="27">
        <f>IF(D1520="no",F1520*H1507-J1520,0)</f>
        <v>0</v>
      </c>
      <c r="M1520" s="578"/>
      <c r="N1520" s="564"/>
      <c r="O1520" s="1"/>
      <c r="P1520" s="3"/>
      <c r="Q1520" s="1"/>
      <c r="R1520" s="1"/>
      <c r="S1520" s="1"/>
      <c r="T1520" s="1"/>
      <c r="U1520" s="4"/>
    </row>
    <row r="1521" spans="1:21" s="483" customFormat="1" ht="18.75" hidden="1" customHeight="1">
      <c r="A1521" s="28"/>
      <c r="B1521" s="29"/>
      <c r="C1521" s="30"/>
      <c r="D1521" s="487"/>
      <c r="E1521" s="27"/>
      <c r="F1521" s="31">
        <f t="shared" si="731"/>
        <v>0</v>
      </c>
      <c r="G1521" s="27">
        <f t="shared" si="732"/>
        <v>0</v>
      </c>
      <c r="H1521" s="32"/>
      <c r="I1521" s="33">
        <f t="shared" si="733"/>
        <v>0</v>
      </c>
      <c r="J1521" s="26"/>
      <c r="K1521" s="27">
        <f t="shared" si="734"/>
        <v>0</v>
      </c>
      <c r="L1521" s="27">
        <f>IF(D1521="no",F1521*H1505-J1521,0)</f>
        <v>0</v>
      </c>
      <c r="M1521" s="572"/>
      <c r="N1521" s="564"/>
      <c r="O1521" s="1"/>
      <c r="P1521" s="3"/>
      <c r="Q1521" s="1"/>
      <c r="R1521" s="1"/>
      <c r="S1521" s="1"/>
      <c r="T1521" s="1"/>
      <c r="U1521" s="4"/>
    </row>
    <row r="1522" spans="1:21" s="483" customFormat="1" ht="18.75" hidden="1" customHeight="1">
      <c r="A1522" s="28"/>
      <c r="B1522" s="29"/>
      <c r="C1522" s="30"/>
      <c r="D1522" s="486"/>
      <c r="E1522" s="27"/>
      <c r="F1522" s="31">
        <f t="shared" si="731"/>
        <v>0</v>
      </c>
      <c r="G1522" s="27"/>
      <c r="H1522" s="32"/>
      <c r="I1522" s="33">
        <f t="shared" si="733"/>
        <v>0</v>
      </c>
      <c r="J1522" s="26"/>
      <c r="K1522" s="27">
        <f t="shared" si="734"/>
        <v>0</v>
      </c>
      <c r="L1522" s="27">
        <f t="shared" ref="L1522" si="737">IF(D1522="no",F1522*H1507-J1522,0)</f>
        <v>0</v>
      </c>
      <c r="M1522" s="572"/>
      <c r="N1522" s="564"/>
      <c r="O1522" s="1"/>
      <c r="P1522" s="3"/>
      <c r="Q1522" s="1"/>
      <c r="R1522" s="1"/>
      <c r="S1522" s="1"/>
      <c r="T1522" s="1"/>
      <c r="U1522" s="4"/>
    </row>
    <row r="1523" spans="1:21" s="483" customFormat="1" ht="18.75" hidden="1" customHeight="1">
      <c r="A1523" s="39" t="s">
        <v>575</v>
      </c>
      <c r="B1523" s="29" t="s">
        <v>406</v>
      </c>
      <c r="C1523" s="30"/>
      <c r="D1523" s="486"/>
      <c r="E1523" s="27"/>
      <c r="F1523" s="31"/>
      <c r="G1523" s="27"/>
      <c r="H1523" s="32"/>
      <c r="I1523" s="33">
        <f t="shared" si="733"/>
        <v>0</v>
      </c>
      <c r="J1523" s="26"/>
      <c r="K1523" s="27"/>
      <c r="L1523" s="27"/>
      <c r="M1523" s="578"/>
      <c r="N1523" s="593"/>
      <c r="O1523" s="1"/>
      <c r="P1523" s="3"/>
      <c r="Q1523" s="1"/>
      <c r="R1523" s="1"/>
      <c r="S1523" s="1"/>
      <c r="T1523" s="1"/>
      <c r="U1523" s="4"/>
    </row>
    <row r="1524" spans="1:21" s="483" customFormat="1" ht="18.75" hidden="1" customHeight="1">
      <c r="A1524" s="39" t="s">
        <v>575</v>
      </c>
      <c r="B1524" s="29" t="s">
        <v>483</v>
      </c>
      <c r="C1524" s="30"/>
      <c r="D1524" s="486"/>
      <c r="E1524" s="27"/>
      <c r="F1524" s="31"/>
      <c r="G1524" s="27"/>
      <c r="H1524" s="32"/>
      <c r="I1524" s="33">
        <f t="shared" si="733"/>
        <v>0</v>
      </c>
      <c r="J1524" s="26"/>
      <c r="K1524" s="27">
        <f t="shared" ref="K1524:K1525" si="738">IF(D1524="no",0,H1524-I1524-J1524)</f>
        <v>0</v>
      </c>
      <c r="L1524" s="27">
        <f t="shared" ref="L1524" si="739">IF(D1524="no",F1524*H1509-J1524,0)</f>
        <v>0</v>
      </c>
      <c r="M1524" s="614"/>
      <c r="N1524" s="615"/>
      <c r="O1524" s="1"/>
      <c r="P1524" s="3"/>
      <c r="Q1524" s="1"/>
      <c r="R1524" s="1"/>
      <c r="S1524" s="1"/>
      <c r="T1524" s="1"/>
      <c r="U1524" s="4"/>
    </row>
    <row r="1525" spans="1:21" s="483" customFormat="1" ht="18.75" hidden="1" customHeight="1">
      <c r="A1525" s="39" t="s">
        <v>575</v>
      </c>
      <c r="B1525" s="29" t="s">
        <v>35</v>
      </c>
      <c r="C1525" s="30"/>
      <c r="D1525" s="486"/>
      <c r="E1525" s="27"/>
      <c r="F1525" s="31">
        <f>IF(D1525="no",E1525,E1525/1.1)</f>
        <v>0</v>
      </c>
      <c r="G1525" s="27">
        <f>IF(D1525="no",0,F1525*0.1)</f>
        <v>0</v>
      </c>
      <c r="H1525" s="37"/>
      <c r="I1525" s="33">
        <f t="shared" si="733"/>
        <v>0</v>
      </c>
      <c r="J1525" s="26"/>
      <c r="K1525" s="27">
        <f t="shared" si="738"/>
        <v>0</v>
      </c>
      <c r="L1525" s="27">
        <f>IF(D1525="no",F1525*H1510-J1525,0)</f>
        <v>0</v>
      </c>
      <c r="M1525" s="584"/>
      <c r="N1525" s="564"/>
      <c r="O1525" s="1"/>
      <c r="P1525" s="3"/>
      <c r="Q1525" s="1"/>
      <c r="R1525" s="1"/>
      <c r="S1525" s="1"/>
      <c r="T1525" s="1"/>
      <c r="U1525" s="4"/>
    </row>
    <row r="1526" spans="1:21" s="483" customFormat="1" ht="18.75" hidden="1" customHeight="1">
      <c r="A1526" s="575" t="s">
        <v>42</v>
      </c>
      <c r="B1526" s="576"/>
      <c r="C1526" s="576"/>
      <c r="D1526" s="577"/>
      <c r="E1526" s="42">
        <f t="shared" ref="E1526:L1526" si="740">SUM(E1509:E1525)</f>
        <v>0</v>
      </c>
      <c r="F1526" s="17">
        <f t="shared" si="740"/>
        <v>0</v>
      </c>
      <c r="G1526" s="42">
        <f t="shared" si="740"/>
        <v>0</v>
      </c>
      <c r="H1526" s="43">
        <f t="shared" si="740"/>
        <v>0</v>
      </c>
      <c r="I1526" s="42">
        <f t="shared" si="740"/>
        <v>0</v>
      </c>
      <c r="J1526" s="43">
        <f t="shared" si="740"/>
        <v>0</v>
      </c>
      <c r="K1526" s="42">
        <f t="shared" si="740"/>
        <v>0</v>
      </c>
      <c r="L1526" s="42">
        <f t="shared" si="740"/>
        <v>0</v>
      </c>
      <c r="M1526" s="44"/>
      <c r="N1526" s="45"/>
      <c r="O1526" s="1"/>
      <c r="P1526" s="3"/>
      <c r="Q1526" s="1"/>
      <c r="R1526" s="1"/>
      <c r="S1526" s="1"/>
      <c r="T1526" s="1"/>
      <c r="U1526" s="4"/>
    </row>
    <row r="1527" spans="1:21" s="483" customFormat="1" ht="18.75" hidden="1" customHeight="1">
      <c r="A1527" s="46" t="s">
        <v>37</v>
      </c>
      <c r="B1527" s="47" t="s">
        <v>132</v>
      </c>
      <c r="C1527" s="48">
        <f>D1507</f>
        <v>0</v>
      </c>
      <c r="D1527" s="47" t="s">
        <v>44</v>
      </c>
      <c r="E1527" s="49"/>
      <c r="F1527" s="84"/>
      <c r="G1527" s="85"/>
      <c r="H1527" s="49"/>
      <c r="I1527" s="53" t="s">
        <v>46</v>
      </c>
      <c r="J1527" s="54"/>
      <c r="K1527" s="488"/>
      <c r="L1527" s="55"/>
      <c r="M1527" s="63"/>
      <c r="N1527" s="64"/>
      <c r="O1527" s="1"/>
      <c r="P1527" s="3"/>
      <c r="Q1527" s="1"/>
      <c r="R1527" s="1"/>
      <c r="S1527" s="1"/>
      <c r="T1527" s="1"/>
      <c r="U1527" s="4"/>
    </row>
    <row r="1528" spans="1:21" s="483" customFormat="1" ht="18.75" hidden="1" customHeight="1" thickBot="1">
      <c r="A1528" s="56" t="s">
        <v>48</v>
      </c>
      <c r="B1528" s="57" t="s">
        <v>133</v>
      </c>
      <c r="C1528" s="58">
        <f>ROUND(F1526/10000,0)</f>
        <v>0</v>
      </c>
      <c r="D1528" s="57" t="s">
        <v>50</v>
      </c>
      <c r="E1528" s="52"/>
      <c r="F1528" s="86"/>
      <c r="G1528" s="87"/>
      <c r="H1528" s="52"/>
      <c r="I1528" s="484"/>
      <c r="J1528" s="61"/>
      <c r="K1528" s="484"/>
      <c r="L1528" s="62"/>
      <c r="M1528" s="63"/>
      <c r="N1528" s="64"/>
      <c r="O1528" s="1"/>
      <c r="P1528" s="3"/>
      <c r="Q1528" s="1"/>
      <c r="R1528" s="1"/>
      <c r="S1528" s="1"/>
      <c r="T1528" s="1"/>
      <c r="U1528" s="4"/>
    </row>
    <row r="1529" spans="1:21" s="483" customFormat="1" ht="18.75" hidden="1" customHeight="1" thickBot="1">
      <c r="A1529" s="566" t="s">
        <v>52</v>
      </c>
      <c r="B1529" s="567"/>
      <c r="C1529" s="567"/>
      <c r="D1529" s="568"/>
      <c r="E1529" s="65"/>
      <c r="F1529" s="569" t="s">
        <v>53</v>
      </c>
      <c r="G1529" s="568"/>
      <c r="H1529" s="66">
        <f>H1526-J1527</f>
        <v>0</v>
      </c>
      <c r="I1529" s="67">
        <f>H1529*3.3%</f>
        <v>0</v>
      </c>
      <c r="J1529" s="68">
        <f>SUM(J1526)</f>
        <v>0</v>
      </c>
      <c r="K1529" s="69">
        <f>H1529-I1529</f>
        <v>0</v>
      </c>
      <c r="L1529" s="70">
        <f>L1526+SUM(H1527:H1528)+J1528</f>
        <v>0</v>
      </c>
      <c r="M1529" s="570">
        <f>K1529+L1529</f>
        <v>0</v>
      </c>
      <c r="N1529" s="571"/>
      <c r="O1529" s="1"/>
      <c r="P1529" s="3"/>
      <c r="Q1529" s="1"/>
      <c r="R1529" s="1"/>
      <c r="S1529" s="1"/>
      <c r="T1529" s="1"/>
      <c r="U1529" s="4"/>
    </row>
    <row r="1530" spans="1:21" s="483" customFormat="1" ht="18.75" hidden="1" customHeight="1">
      <c r="A1530" s="368"/>
      <c r="B1530" s="369"/>
      <c r="C1530" s="369"/>
      <c r="D1530" s="369"/>
      <c r="E1530" s="370"/>
      <c r="F1530" s="370"/>
      <c r="G1530" s="369"/>
      <c r="H1530" s="371"/>
      <c r="I1530" s="370"/>
      <c r="J1530" s="370"/>
      <c r="K1530" s="372"/>
      <c r="L1530" s="372"/>
      <c r="M1530" s="373"/>
      <c r="N1530" s="369"/>
      <c r="O1530" s="1"/>
      <c r="P1530" s="3"/>
      <c r="Q1530" s="1"/>
      <c r="R1530" s="1"/>
      <c r="S1530" s="1"/>
      <c r="T1530" s="1"/>
      <c r="U1530" s="4"/>
    </row>
    <row r="1531" spans="1:21" ht="18.75" hidden="1" customHeight="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2"/>
      <c r="L1531" s="2"/>
      <c r="M1531" s="1"/>
      <c r="N1531" s="1"/>
      <c r="O1531" s="1"/>
      <c r="P1531" s="3"/>
      <c r="Q1531" s="1"/>
      <c r="R1531" s="1"/>
      <c r="S1531" s="1"/>
      <c r="T1531" s="1"/>
      <c r="U1531" s="4"/>
    </row>
    <row r="1532" spans="1:21" ht="18.75" customHeight="1">
      <c r="A1532" s="6" t="s">
        <v>158</v>
      </c>
      <c r="B1532" s="7" t="str">
        <f>$B$34</f>
        <v>1월</v>
      </c>
      <c r="C1532" s="8" t="s">
        <v>1</v>
      </c>
      <c r="D1532" s="9">
        <f>COUNTIF($C1534:$C1553,"계약")+(COUNTIF($C1534:$C1553,"계약2")*2)</f>
        <v>3</v>
      </c>
      <c r="E1532" s="3">
        <f>COUNTIF(C1534:C1553,"낙찰수수료")</f>
        <v>2</v>
      </c>
      <c r="F1532" s="193" t="s">
        <v>580</v>
      </c>
      <c r="G1532" s="1" t="s">
        <v>159</v>
      </c>
      <c r="H1532" s="11">
        <v>0.5</v>
      </c>
      <c r="I1532" s="12">
        <v>3.3000000000000002E-2</v>
      </c>
      <c r="J1532" s="1"/>
      <c r="K1532" s="1"/>
      <c r="L1532" s="1"/>
      <c r="M1532" s="1"/>
      <c r="N1532" s="1"/>
      <c r="O1532" s="1"/>
      <c r="P1532" s="3"/>
      <c r="Q1532" s="1"/>
      <c r="R1532" s="1"/>
      <c r="S1532" s="1"/>
      <c r="T1532" s="1"/>
      <c r="U1532" s="4"/>
    </row>
    <row r="1533" spans="1:21" ht="16.5" customHeight="1">
      <c r="A1533" s="13" t="s">
        <v>3</v>
      </c>
      <c r="B1533" s="14" t="s">
        <v>4</v>
      </c>
      <c r="C1533" s="14" t="s">
        <v>5</v>
      </c>
      <c r="D1533" s="15" t="s">
        <v>6</v>
      </c>
      <c r="E1533" s="16" t="s">
        <v>7</v>
      </c>
      <c r="F1533" s="17" t="s">
        <v>8</v>
      </c>
      <c r="G1533" s="14" t="s">
        <v>9</v>
      </c>
      <c r="H1533" s="15" t="s">
        <v>10</v>
      </c>
      <c r="I1533" s="14" t="s">
        <v>11</v>
      </c>
      <c r="J1533" s="15" t="s">
        <v>12</v>
      </c>
      <c r="K1533" s="14" t="s">
        <v>13</v>
      </c>
      <c r="L1533" s="14" t="s">
        <v>14</v>
      </c>
      <c r="M1533" s="579" t="s">
        <v>15</v>
      </c>
      <c r="N1533" s="577"/>
      <c r="O1533" s="1"/>
      <c r="P1533" s="3"/>
      <c r="Q1533" s="1"/>
      <c r="R1533" s="1"/>
      <c r="S1533" s="1"/>
      <c r="T1533" s="1"/>
      <c r="U1533" s="4"/>
    </row>
    <row r="1534" spans="1:21" ht="18.75" customHeight="1">
      <c r="A1534" s="28">
        <v>46029</v>
      </c>
      <c r="B1534" s="29" t="s">
        <v>748</v>
      </c>
      <c r="C1534" s="30" t="s">
        <v>685</v>
      </c>
      <c r="D1534" s="21"/>
      <c r="E1534" s="27">
        <v>550000</v>
      </c>
      <c r="F1534" s="31">
        <f t="shared" ref="F1534:F1543" si="741">IF(D1534="no",E1534,E1534/1.1)</f>
        <v>499999.99999999994</v>
      </c>
      <c r="G1534" s="27">
        <f t="shared" ref="G1534:G1552" si="742">IF(D1534="no",0,F1534*0.1)</f>
        <v>50000</v>
      </c>
      <c r="H1534" s="32">
        <f>IF(D1534="no",0,F1534*H1532)</f>
        <v>249999.99999999997</v>
      </c>
      <c r="I1534" s="33">
        <f t="shared" ref="I1534:I1553" si="743">IF(D1534="no",0,H1534*3.3%)</f>
        <v>8250</v>
      </c>
      <c r="J1534" s="26"/>
      <c r="K1534" s="27">
        <f t="shared" ref="K1534:K1553" si="744">IF(D1534="no",0,H1534-I1534-J1534)</f>
        <v>241749.99999999997</v>
      </c>
      <c r="L1534" s="27">
        <f>IF(D1534="no",F1534*H1532-J1534,0)</f>
        <v>0</v>
      </c>
      <c r="M1534" s="582"/>
      <c r="N1534" s="581"/>
      <c r="O1534" s="1"/>
      <c r="P1534" s="3"/>
      <c r="Q1534" s="1"/>
      <c r="R1534" s="1"/>
      <c r="S1534" s="1"/>
      <c r="T1534" s="1"/>
      <c r="U1534" s="4"/>
    </row>
    <row r="1535" spans="1:21" ht="18.75" customHeight="1">
      <c r="A1535" s="28">
        <v>46034</v>
      </c>
      <c r="B1535" s="29" t="s">
        <v>749</v>
      </c>
      <c r="C1535" s="30" t="s">
        <v>55</v>
      </c>
      <c r="D1535" s="21"/>
      <c r="E1535" s="27">
        <v>110000</v>
      </c>
      <c r="F1535" s="31">
        <f t="shared" si="741"/>
        <v>99999.999999999985</v>
      </c>
      <c r="G1535" s="27">
        <f t="shared" si="742"/>
        <v>10000</v>
      </c>
      <c r="H1535" s="32">
        <f>IF(D1535="no",0,F1535*H1532)</f>
        <v>49999.999999999993</v>
      </c>
      <c r="I1535" s="33">
        <f t="shared" si="743"/>
        <v>1649.9999999999998</v>
      </c>
      <c r="J1535" s="26"/>
      <c r="K1535" s="27">
        <f t="shared" si="744"/>
        <v>48349.999999999993</v>
      </c>
      <c r="L1535" s="27">
        <f>IF(D1535="no",F1535*H1532-J1535,0)</f>
        <v>0</v>
      </c>
      <c r="M1535" s="572"/>
      <c r="N1535" s="564"/>
      <c r="O1535" s="1"/>
      <c r="P1535" s="3"/>
      <c r="Q1535" s="1"/>
      <c r="R1535" s="1"/>
      <c r="S1535" s="1"/>
      <c r="T1535" s="1"/>
      <c r="U1535" s="4"/>
    </row>
    <row r="1536" spans="1:21" ht="18.75" customHeight="1">
      <c r="A1536" s="28">
        <v>46037</v>
      </c>
      <c r="B1536" s="29" t="s">
        <v>579</v>
      </c>
      <c r="C1536" s="30" t="s">
        <v>56</v>
      </c>
      <c r="D1536" s="21"/>
      <c r="E1536" s="27">
        <v>2200000</v>
      </c>
      <c r="F1536" s="31">
        <f t="shared" si="741"/>
        <v>1999999.9999999998</v>
      </c>
      <c r="G1536" s="27">
        <f t="shared" si="742"/>
        <v>200000</v>
      </c>
      <c r="H1536" s="32">
        <f>IF(D1536="no",0,F1536*H1532)</f>
        <v>999999.99999999988</v>
      </c>
      <c r="I1536" s="33">
        <f t="shared" si="743"/>
        <v>33000</v>
      </c>
      <c r="J1536" s="26"/>
      <c r="K1536" s="27">
        <f t="shared" si="744"/>
        <v>966999.99999999988</v>
      </c>
      <c r="L1536" s="27">
        <f>IF(D1536="no",F1536*H1006-J1536,0)</f>
        <v>0</v>
      </c>
      <c r="M1536" s="578"/>
      <c r="N1536" s="564"/>
      <c r="O1536" s="1"/>
      <c r="P1536" s="72"/>
      <c r="Q1536" s="1"/>
      <c r="R1536" s="1"/>
      <c r="S1536" s="1"/>
      <c r="T1536" s="1"/>
      <c r="U1536" s="4"/>
    </row>
    <row r="1537" spans="1:21" ht="18.75" customHeight="1">
      <c r="A1537" s="28">
        <v>46038</v>
      </c>
      <c r="B1537" s="29" t="s">
        <v>751</v>
      </c>
      <c r="C1537" s="30" t="s">
        <v>687</v>
      </c>
      <c r="D1537" s="21"/>
      <c r="E1537" s="27">
        <v>1100000</v>
      </c>
      <c r="F1537" s="31">
        <f t="shared" si="741"/>
        <v>999999.99999999988</v>
      </c>
      <c r="G1537" s="27">
        <f t="shared" si="742"/>
        <v>100000</v>
      </c>
      <c r="H1537" s="32">
        <f>IF(D1537="no",0,F1537*H1532)</f>
        <v>499999.99999999994</v>
      </c>
      <c r="I1537" s="33">
        <f t="shared" si="743"/>
        <v>16500</v>
      </c>
      <c r="J1537" s="26"/>
      <c r="K1537" s="27">
        <f t="shared" si="744"/>
        <v>483499.99999999994</v>
      </c>
      <c r="L1537" s="27">
        <f>IF(D1537="no",F1537*H1532-J1537,0)</f>
        <v>0</v>
      </c>
      <c r="M1537" s="572"/>
      <c r="N1537" s="564"/>
      <c r="O1537" s="1"/>
      <c r="P1537" s="71"/>
      <c r="Q1537" s="1"/>
      <c r="R1537" s="1"/>
      <c r="S1537" s="1"/>
      <c r="T1537" s="1"/>
      <c r="U1537" s="4"/>
    </row>
    <row r="1538" spans="1:21" ht="18.75" customHeight="1">
      <c r="A1538" s="28">
        <v>46048</v>
      </c>
      <c r="B1538" s="29" t="s">
        <v>751</v>
      </c>
      <c r="C1538" s="30" t="s">
        <v>56</v>
      </c>
      <c r="D1538" s="21"/>
      <c r="E1538" s="27">
        <v>3430000</v>
      </c>
      <c r="F1538" s="31">
        <f t="shared" si="741"/>
        <v>3118181.8181818179</v>
      </c>
      <c r="G1538" s="27">
        <f t="shared" si="742"/>
        <v>311818.18181818182</v>
      </c>
      <c r="H1538" s="32">
        <f>IF(D1538="no",0,F1538*H1532)</f>
        <v>1559090.9090909089</v>
      </c>
      <c r="I1538" s="33">
        <f t="shared" si="743"/>
        <v>51450</v>
      </c>
      <c r="J1538" s="26"/>
      <c r="K1538" s="27">
        <f t="shared" si="744"/>
        <v>1507640.9090909089</v>
      </c>
      <c r="L1538" s="27">
        <f>IF(D1538="no",F1538*H1532-J1538,0)</f>
        <v>0</v>
      </c>
      <c r="M1538" s="572"/>
      <c r="N1538" s="564"/>
      <c r="O1538" s="1"/>
      <c r="P1538" s="72"/>
      <c r="Q1538" s="1"/>
      <c r="R1538" s="1"/>
      <c r="S1538" s="1"/>
      <c r="T1538" s="1"/>
      <c r="U1538" s="4"/>
    </row>
    <row r="1539" spans="1:21" s="559" customFormat="1" ht="18.75" customHeight="1">
      <c r="A1539" s="28">
        <v>46050</v>
      </c>
      <c r="B1539" s="29" t="s">
        <v>757</v>
      </c>
      <c r="C1539" s="30" t="s">
        <v>621</v>
      </c>
      <c r="D1539" s="560"/>
      <c r="E1539" s="27">
        <v>550000</v>
      </c>
      <c r="F1539" s="31">
        <f t="shared" si="741"/>
        <v>499999.99999999994</v>
      </c>
      <c r="G1539" s="27">
        <f t="shared" si="742"/>
        <v>50000</v>
      </c>
      <c r="H1539" s="32">
        <f>IF(D1539="no",0,F1539*H1532)</f>
        <v>249999.99999999997</v>
      </c>
      <c r="I1539" s="33">
        <f t="shared" si="743"/>
        <v>8250</v>
      </c>
      <c r="J1539" s="26"/>
      <c r="K1539" s="27">
        <f t="shared" si="744"/>
        <v>241749.99999999997</v>
      </c>
      <c r="L1539" s="27">
        <f>IF(D1539="no",F1539*H1532-J1539,0)</f>
        <v>0</v>
      </c>
      <c r="M1539" s="572"/>
      <c r="N1539" s="564"/>
      <c r="O1539" s="1"/>
      <c r="P1539" s="3"/>
      <c r="Q1539" s="1"/>
      <c r="R1539" s="1"/>
      <c r="S1539" s="1"/>
      <c r="T1539" s="1"/>
      <c r="U1539" s="4"/>
    </row>
    <row r="1540" spans="1:21" ht="18.75" hidden="1" customHeight="1">
      <c r="A1540" s="28"/>
      <c r="B1540" s="29"/>
      <c r="C1540" s="30"/>
      <c r="D1540" s="21"/>
      <c r="E1540" s="27"/>
      <c r="F1540" s="31">
        <f t="shared" si="741"/>
        <v>0</v>
      </c>
      <c r="G1540" s="27">
        <f t="shared" si="742"/>
        <v>0</v>
      </c>
      <c r="H1540" s="32">
        <f>IF(D1540="no",0,F1540*H1532)</f>
        <v>0</v>
      </c>
      <c r="I1540" s="33">
        <f t="shared" si="743"/>
        <v>0</v>
      </c>
      <c r="J1540" s="26"/>
      <c r="K1540" s="27">
        <f t="shared" si="744"/>
        <v>0</v>
      </c>
      <c r="L1540" s="27"/>
      <c r="M1540" s="563"/>
      <c r="N1540" s="564"/>
      <c r="O1540" s="1"/>
      <c r="P1540" s="3"/>
      <c r="Q1540" s="1"/>
      <c r="R1540" s="1"/>
      <c r="S1540" s="1"/>
      <c r="T1540" s="1"/>
      <c r="U1540" s="4"/>
    </row>
    <row r="1541" spans="1:21" ht="18.75" hidden="1" customHeight="1">
      <c r="A1541" s="28"/>
      <c r="B1541" s="29"/>
      <c r="C1541" s="30"/>
      <c r="D1541" s="21"/>
      <c r="E1541" s="27"/>
      <c r="F1541" s="31">
        <f t="shared" si="741"/>
        <v>0</v>
      </c>
      <c r="G1541" s="27">
        <f t="shared" si="742"/>
        <v>0</v>
      </c>
      <c r="H1541" s="32">
        <f>IF(D1541="no",0,F1541*H1532)</f>
        <v>0</v>
      </c>
      <c r="I1541" s="33">
        <f t="shared" si="743"/>
        <v>0</v>
      </c>
      <c r="J1541" s="26"/>
      <c r="K1541" s="27">
        <f t="shared" si="744"/>
        <v>0</v>
      </c>
      <c r="L1541" s="27">
        <f>IF(D1541="no",F1541*H1532-J1541,0)</f>
        <v>0</v>
      </c>
      <c r="M1541" s="613"/>
      <c r="N1541" s="564"/>
      <c r="O1541" s="1"/>
      <c r="P1541" s="3"/>
      <c r="Q1541" s="1"/>
      <c r="R1541" s="1"/>
      <c r="S1541" s="1"/>
      <c r="T1541" s="1"/>
      <c r="U1541" s="4"/>
    </row>
    <row r="1542" spans="1:21" ht="18.75" hidden="1" customHeight="1">
      <c r="A1542" s="28"/>
      <c r="B1542" s="29"/>
      <c r="C1542" s="29"/>
      <c r="D1542" s="38"/>
      <c r="E1542" s="27"/>
      <c r="F1542" s="31">
        <f t="shared" si="741"/>
        <v>0</v>
      </c>
      <c r="G1542" s="27">
        <f t="shared" si="742"/>
        <v>0</v>
      </c>
      <c r="H1542" s="32">
        <f>IF(D1542="no",0,F1542*H1532)</f>
        <v>0</v>
      </c>
      <c r="I1542" s="33">
        <f t="shared" si="743"/>
        <v>0</v>
      </c>
      <c r="J1542" s="26"/>
      <c r="K1542" s="27">
        <f t="shared" si="744"/>
        <v>0</v>
      </c>
      <c r="L1542" s="27">
        <f>IF(D1542="no",F1542*H1532-J1542,0)</f>
        <v>0</v>
      </c>
      <c r="M1542" s="585"/>
      <c r="N1542" s="564"/>
      <c r="O1542" s="1"/>
      <c r="P1542" s="3"/>
      <c r="Q1542" s="1"/>
      <c r="R1542" s="1"/>
      <c r="S1542" s="1"/>
      <c r="T1542" s="1"/>
      <c r="U1542" s="4"/>
    </row>
    <row r="1543" spans="1:21" ht="18.75" hidden="1" customHeight="1">
      <c r="A1543" s="28"/>
      <c r="B1543" s="29"/>
      <c r="C1543" s="30"/>
      <c r="D1543" s="96"/>
      <c r="E1543" s="27"/>
      <c r="F1543" s="31">
        <f t="shared" si="741"/>
        <v>0</v>
      </c>
      <c r="G1543" s="27">
        <f t="shared" si="742"/>
        <v>0</v>
      </c>
      <c r="H1543" s="32">
        <f>IF(D1543="no",0,F1543*H1532)</f>
        <v>0</v>
      </c>
      <c r="I1543" s="33">
        <f t="shared" si="743"/>
        <v>0</v>
      </c>
      <c r="J1543" s="97"/>
      <c r="K1543" s="27">
        <f t="shared" si="744"/>
        <v>0</v>
      </c>
      <c r="L1543" s="40">
        <f>IF(D1543="no",F1543*H1537-J1543,0)</f>
        <v>0</v>
      </c>
      <c r="M1543" s="578"/>
      <c r="N1543" s="564"/>
      <c r="O1543" s="1"/>
      <c r="P1543" s="3"/>
      <c r="Q1543" s="1"/>
      <c r="R1543" s="1"/>
      <c r="S1543" s="1"/>
      <c r="T1543" s="1"/>
      <c r="U1543" s="4"/>
    </row>
    <row r="1544" spans="1:21" ht="18.75" hidden="1" customHeight="1">
      <c r="A1544" s="28"/>
      <c r="B1544" s="29"/>
      <c r="C1544" s="30"/>
      <c r="D1544" s="21"/>
      <c r="E1544" s="27"/>
      <c r="F1544" s="31">
        <f t="shared" ref="F1544" si="745">IF(D1544="no",E1544,E1544/1.1)</f>
        <v>0</v>
      </c>
      <c r="G1544" s="27">
        <f t="shared" ref="G1544" si="746">IF(D1544="no",0,F1544*0.1)</f>
        <v>0</v>
      </c>
      <c r="H1544" s="32">
        <f>IF(D1544="no",0,F1544*H1532)</f>
        <v>0</v>
      </c>
      <c r="I1544" s="33">
        <f t="shared" ref="I1544" si="747">IF(D1544="no",0,H1544*3.3%)</f>
        <v>0</v>
      </c>
      <c r="J1544" s="97"/>
      <c r="K1544" s="27">
        <f t="shared" ref="K1544" si="748">IF(D1544="no",0,H1544-I1544-J1544)</f>
        <v>0</v>
      </c>
      <c r="L1544" s="27">
        <f>IF(D1544="no",F1544*H1533-J1544,0)</f>
        <v>0</v>
      </c>
      <c r="M1544" s="584"/>
      <c r="N1544" s="564"/>
      <c r="O1544" s="1"/>
      <c r="P1544" s="3"/>
      <c r="Q1544" s="1"/>
      <c r="R1544" s="1"/>
      <c r="S1544" s="1"/>
      <c r="T1544" s="1"/>
      <c r="U1544" s="4"/>
    </row>
    <row r="1545" spans="1:21" ht="18.75" hidden="1" customHeight="1">
      <c r="A1545" s="28"/>
      <c r="B1545" s="29"/>
      <c r="C1545" s="30"/>
      <c r="D1545" s="21"/>
      <c r="E1545" s="27"/>
      <c r="F1545" s="31">
        <f t="shared" ref="F1545:F1550" si="749">IF(D1545="no",E1545,E1545/1.1)</f>
        <v>0</v>
      </c>
      <c r="G1545" s="27">
        <f t="shared" si="742"/>
        <v>0</v>
      </c>
      <c r="H1545" s="32">
        <f>IF(D1545="no",0,F1545*H1532)</f>
        <v>0</v>
      </c>
      <c r="I1545" s="33">
        <f t="shared" si="743"/>
        <v>0</v>
      </c>
      <c r="J1545" s="26"/>
      <c r="K1545" s="27">
        <f t="shared" si="744"/>
        <v>0</v>
      </c>
      <c r="L1545" s="27">
        <f>IF(D1545="no",F1545*H1534-J1545,0)</f>
        <v>0</v>
      </c>
      <c r="M1545" s="563"/>
      <c r="N1545" s="564"/>
      <c r="O1545" s="1"/>
      <c r="P1545" s="3"/>
      <c r="Q1545" s="1"/>
      <c r="R1545" s="1"/>
      <c r="S1545" s="1"/>
      <c r="T1545" s="1"/>
      <c r="U1545" s="4"/>
    </row>
    <row r="1546" spans="1:21" ht="18.75" hidden="1" customHeight="1">
      <c r="A1546" s="39"/>
      <c r="B1546" s="29"/>
      <c r="C1546" s="30"/>
      <c r="D1546" s="21"/>
      <c r="E1546" s="27"/>
      <c r="F1546" s="31">
        <f t="shared" si="749"/>
        <v>0</v>
      </c>
      <c r="G1546" s="27">
        <f t="shared" si="742"/>
        <v>0</v>
      </c>
      <c r="H1546" s="32"/>
      <c r="I1546" s="33">
        <f t="shared" si="743"/>
        <v>0</v>
      </c>
      <c r="J1546" s="26"/>
      <c r="K1546" s="27">
        <f t="shared" si="744"/>
        <v>0</v>
      </c>
      <c r="L1546" s="27">
        <f>IF(D1546="no",F1546*H1535-J1546,0)</f>
        <v>0</v>
      </c>
      <c r="M1546" s="574"/>
      <c r="N1546" s="564"/>
      <c r="O1546" s="1"/>
      <c r="P1546" s="3"/>
      <c r="Q1546" s="1"/>
      <c r="R1546" s="1"/>
      <c r="S1546" s="1"/>
      <c r="T1546" s="1"/>
      <c r="U1546" s="4"/>
    </row>
    <row r="1547" spans="1:21" ht="18.75" customHeight="1">
      <c r="A1547" s="39"/>
      <c r="B1547" s="29"/>
      <c r="C1547" s="30"/>
      <c r="D1547" s="21"/>
      <c r="E1547" s="27"/>
      <c r="F1547" s="31">
        <f t="shared" si="749"/>
        <v>0</v>
      </c>
      <c r="G1547" s="27">
        <f t="shared" si="742"/>
        <v>0</v>
      </c>
      <c r="H1547" s="32"/>
      <c r="I1547" s="33">
        <f t="shared" si="743"/>
        <v>0</v>
      </c>
      <c r="J1547" s="26">
        <v>0</v>
      </c>
      <c r="K1547" s="27">
        <f t="shared" si="744"/>
        <v>0</v>
      </c>
      <c r="L1547" s="27">
        <f>IF(D1547="no",F1547*H1543-J1547,0)</f>
        <v>0</v>
      </c>
      <c r="M1547" s="572"/>
      <c r="N1547" s="564"/>
      <c r="O1547" s="1"/>
      <c r="P1547" s="3"/>
      <c r="Q1547" s="1"/>
      <c r="R1547" s="1"/>
      <c r="S1547" s="1"/>
      <c r="T1547" s="1"/>
      <c r="U1547" s="4"/>
    </row>
    <row r="1548" spans="1:21" s="467" customFormat="1" ht="18.75" customHeight="1">
      <c r="A1548" s="39" t="s">
        <v>616</v>
      </c>
      <c r="B1548" s="29" t="s">
        <v>505</v>
      </c>
      <c r="C1548" s="30"/>
      <c r="D1548" s="468"/>
      <c r="E1548" s="27"/>
      <c r="F1548" s="31"/>
      <c r="G1548" s="27"/>
      <c r="H1548" s="32"/>
      <c r="I1548" s="33"/>
      <c r="J1548" s="26"/>
      <c r="K1548" s="27">
        <f t="shared" si="744"/>
        <v>0</v>
      </c>
      <c r="L1548" s="27">
        <f>IF(D1548="no",F1548*H1544-J1548,0)</f>
        <v>0</v>
      </c>
      <c r="M1548" s="572"/>
      <c r="N1548" s="564"/>
      <c r="O1548" s="1"/>
      <c r="P1548" s="3"/>
      <c r="Q1548" s="1"/>
      <c r="R1548" s="1"/>
      <c r="S1548" s="1"/>
      <c r="T1548" s="1"/>
      <c r="U1548" s="4"/>
    </row>
    <row r="1549" spans="1:21" ht="18.75" customHeight="1">
      <c r="A1549" s="39" t="s">
        <v>616</v>
      </c>
      <c r="B1549" s="29" t="s">
        <v>35</v>
      </c>
      <c r="C1549" s="30"/>
      <c r="D1549" s="38"/>
      <c r="E1549" s="27"/>
      <c r="F1549" s="31">
        <f t="shared" si="749"/>
        <v>0</v>
      </c>
      <c r="G1549" s="27">
        <f t="shared" si="742"/>
        <v>0</v>
      </c>
      <c r="H1549" s="37">
        <f>N1558/0.967</f>
        <v>0</v>
      </c>
      <c r="I1549" s="33">
        <f t="shared" si="743"/>
        <v>0</v>
      </c>
      <c r="J1549" s="26">
        <v>0</v>
      </c>
      <c r="K1549" s="27">
        <f t="shared" si="744"/>
        <v>0</v>
      </c>
      <c r="L1549" s="27">
        <f t="shared" ref="L1549:L1550" si="750">IF(D1549="no",F1549*H1549-J1549,0)</f>
        <v>0</v>
      </c>
      <c r="M1549" s="608"/>
      <c r="N1549" s="564"/>
      <c r="O1549" s="1"/>
      <c r="P1549" s="3"/>
      <c r="Q1549" s="1"/>
      <c r="R1549" s="1"/>
      <c r="S1549" s="1"/>
      <c r="T1549" s="1"/>
      <c r="U1549" s="4"/>
    </row>
    <row r="1550" spans="1:21" ht="18.75" customHeight="1">
      <c r="A1550" s="39" t="s">
        <v>616</v>
      </c>
      <c r="B1550" s="29" t="s">
        <v>37</v>
      </c>
      <c r="C1550" s="30"/>
      <c r="D1550" s="38"/>
      <c r="E1550" s="27"/>
      <c r="F1550" s="31">
        <f t="shared" si="749"/>
        <v>0</v>
      </c>
      <c r="G1550" s="27">
        <f t="shared" si="742"/>
        <v>0</v>
      </c>
      <c r="H1550" s="32">
        <v>0</v>
      </c>
      <c r="I1550" s="33">
        <f t="shared" si="743"/>
        <v>0</v>
      </c>
      <c r="J1550" s="26"/>
      <c r="K1550" s="27">
        <f t="shared" si="744"/>
        <v>0</v>
      </c>
      <c r="L1550" s="27">
        <f t="shared" si="750"/>
        <v>0</v>
      </c>
      <c r="M1550" s="608"/>
      <c r="N1550" s="564"/>
      <c r="O1550" s="1"/>
      <c r="P1550" s="3"/>
      <c r="Q1550" s="1"/>
      <c r="R1550" s="1"/>
      <c r="S1550" s="1"/>
      <c r="T1550" s="1"/>
      <c r="U1550" s="4"/>
    </row>
    <row r="1551" spans="1:21" s="463" customFormat="1" ht="18.75" customHeight="1">
      <c r="A1551" s="39" t="s">
        <v>616</v>
      </c>
      <c r="B1551" s="29" t="s">
        <v>502</v>
      </c>
      <c r="C1551" s="30"/>
      <c r="D1551" s="464"/>
      <c r="E1551" s="27"/>
      <c r="F1551" s="31"/>
      <c r="G1551" s="27"/>
      <c r="H1551" s="112">
        <v>0</v>
      </c>
      <c r="I1551" s="113">
        <f t="shared" ref="I1551" si="751">IF(D1551="no",0,H1551*3.3%)</f>
        <v>0</v>
      </c>
      <c r="J1551" s="114"/>
      <c r="K1551" s="111">
        <f t="shared" ref="K1551" si="752">IF(D1551="no",0,H1551-I1551-J1551)</f>
        <v>0</v>
      </c>
      <c r="L1551" s="27">
        <f t="shared" ref="L1551" si="753">IF(D1551="no",F1551*H1551-J1551,0)</f>
        <v>0</v>
      </c>
      <c r="M1551" s="578"/>
      <c r="N1551" s="592"/>
      <c r="O1551" s="1"/>
      <c r="P1551" s="3"/>
      <c r="Q1551" s="1"/>
      <c r="R1551" s="1"/>
      <c r="S1551" s="1"/>
      <c r="T1551" s="1"/>
      <c r="U1551" s="4"/>
    </row>
    <row r="1552" spans="1:21" s="116" customFormat="1" ht="18.75" customHeight="1">
      <c r="A1552" s="39" t="s">
        <v>616</v>
      </c>
      <c r="B1552" s="108" t="s">
        <v>39</v>
      </c>
      <c r="C1552" s="109"/>
      <c r="D1552" s="122"/>
      <c r="E1552" s="111"/>
      <c r="F1552" s="31"/>
      <c r="G1552" s="111">
        <f t="shared" si="742"/>
        <v>0</v>
      </c>
      <c r="H1552" s="285">
        <v>1000000</v>
      </c>
      <c r="I1552" s="113">
        <f t="shared" si="743"/>
        <v>33000</v>
      </c>
      <c r="J1552" s="114"/>
      <c r="K1552" s="111">
        <f t="shared" si="744"/>
        <v>967000</v>
      </c>
      <c r="L1552" s="111">
        <f>IF(D1552="no",F1552*H1545-J1552,0)</f>
        <v>0</v>
      </c>
      <c r="M1552" s="612"/>
      <c r="N1552" s="587"/>
      <c r="O1552" s="88"/>
      <c r="P1552" s="72"/>
      <c r="Q1552" s="88"/>
      <c r="R1552" s="88"/>
      <c r="S1552" s="88"/>
      <c r="T1552" s="88"/>
      <c r="U1552" s="115"/>
    </row>
    <row r="1553" spans="1:21" ht="18.75" customHeight="1">
      <c r="A1553" s="39" t="s">
        <v>616</v>
      </c>
      <c r="B1553" s="29" t="s">
        <v>131</v>
      </c>
      <c r="C1553" s="30"/>
      <c r="D1553" s="21"/>
      <c r="E1553" s="27"/>
      <c r="F1553" s="31">
        <v>0</v>
      </c>
      <c r="G1553" s="27">
        <v>0</v>
      </c>
      <c r="H1553" s="37">
        <f>70000/0.967</f>
        <v>72388.831437435365</v>
      </c>
      <c r="I1553" s="33">
        <f t="shared" si="743"/>
        <v>2388.8314374353672</v>
      </c>
      <c r="J1553" s="26"/>
      <c r="K1553" s="27">
        <f t="shared" si="744"/>
        <v>70000</v>
      </c>
      <c r="L1553" s="27">
        <f>IF(D1553="no",F1553*H1545-J1553,0)</f>
        <v>0</v>
      </c>
      <c r="M1553" s="572"/>
      <c r="N1553" s="564"/>
      <c r="O1553" s="1"/>
      <c r="P1553" s="3"/>
      <c r="Q1553" s="1"/>
      <c r="R1553" s="1"/>
      <c r="S1553" s="1"/>
      <c r="T1553" s="1"/>
      <c r="U1553" s="4"/>
    </row>
    <row r="1554" spans="1:21" ht="18.75" customHeight="1">
      <c r="A1554" s="575" t="s">
        <v>42</v>
      </c>
      <c r="B1554" s="576"/>
      <c r="C1554" s="576"/>
      <c r="D1554" s="577"/>
      <c r="E1554" s="42">
        <f>SUM(E1534:E1553)</f>
        <v>7940000</v>
      </c>
      <c r="F1554" s="17">
        <f>SUM(F1534:F1553)</f>
        <v>7218181.8181818174</v>
      </c>
      <c r="G1554" s="42">
        <f>SUM(G1534:G1553)</f>
        <v>721818.18181818188</v>
      </c>
      <c r="H1554" s="43">
        <f>SUM(H1534:H1553)</f>
        <v>4681479.7405283432</v>
      </c>
      <c r="I1554" s="42">
        <f>SUM(I1534:I1553)</f>
        <v>154488.83143743538</v>
      </c>
      <c r="J1554" s="43"/>
      <c r="K1554" s="42">
        <f>SUM(K1534:K1553)</f>
        <v>4526990.9090909082</v>
      </c>
      <c r="L1554" s="42">
        <f>SUM(L1534:L1553)</f>
        <v>0</v>
      </c>
      <c r="M1554" s="44"/>
      <c r="N1554" s="45"/>
      <c r="O1554" s="1"/>
      <c r="P1554" s="3"/>
      <c r="Q1554" s="1"/>
      <c r="R1554" s="1"/>
      <c r="S1554" s="1"/>
      <c r="T1554" s="1"/>
      <c r="U1554" s="4"/>
    </row>
    <row r="1555" spans="1:21" s="275" customFormat="1" ht="19.5" customHeight="1">
      <c r="A1555" s="194" t="s">
        <v>37</v>
      </c>
      <c r="B1555" s="195" t="s">
        <v>43</v>
      </c>
      <c r="C1555" s="196">
        <f>D1532</f>
        <v>3</v>
      </c>
      <c r="D1555" s="195" t="s">
        <v>44</v>
      </c>
      <c r="E1555" s="197"/>
      <c r="F1555" s="274" t="s">
        <v>95</v>
      </c>
      <c r="G1555" s="60">
        <f>C1555+C1581+C1619+C1641</f>
        <v>11</v>
      </c>
      <c r="H1555" s="52"/>
      <c r="I1555" s="63" t="s">
        <v>46</v>
      </c>
      <c r="J1555" s="54">
        <v>200500</v>
      </c>
      <c r="K1555" s="59"/>
      <c r="L1555" s="62"/>
      <c r="M1555" s="63"/>
      <c r="N1555" s="64"/>
      <c r="O1555" s="1"/>
      <c r="P1555" s="71"/>
      <c r="Q1555" s="1"/>
      <c r="R1555" s="1"/>
      <c r="S1555" s="1"/>
      <c r="T1555" s="1"/>
      <c r="U1555" s="4"/>
    </row>
    <row r="1556" spans="1:21" s="275" customFormat="1" ht="18.75" customHeight="1">
      <c r="A1556" s="198" t="s">
        <v>48</v>
      </c>
      <c r="B1556" s="199" t="s">
        <v>49</v>
      </c>
      <c r="C1556" s="200">
        <f>ROUND(F1554/10000,0)</f>
        <v>722</v>
      </c>
      <c r="D1556" s="199" t="s">
        <v>50</v>
      </c>
      <c r="E1556" s="201"/>
      <c r="F1556" s="59" t="s">
        <v>96</v>
      </c>
      <c r="G1556" s="60">
        <f>C1556+C1582+C1620+C1642</f>
        <v>2935</v>
      </c>
      <c r="H1556" s="52"/>
      <c r="I1556" s="63"/>
      <c r="J1556" s="77"/>
      <c r="K1556" s="59"/>
      <c r="L1556" s="62"/>
      <c r="M1556" s="63"/>
      <c r="N1556" s="64"/>
      <c r="O1556" s="1"/>
      <c r="P1556" s="72"/>
      <c r="Q1556" s="1"/>
      <c r="R1556" s="1"/>
      <c r="S1556" s="1"/>
      <c r="T1556" s="1"/>
      <c r="U1556" s="4"/>
    </row>
    <row r="1557" spans="1:21" ht="18.75" customHeight="1">
      <c r="A1557" s="75" t="s">
        <v>37</v>
      </c>
      <c r="B1557" s="57" t="s">
        <v>43</v>
      </c>
      <c r="C1557" s="76">
        <f>D1532</f>
        <v>3</v>
      </c>
      <c r="D1557" s="57" t="s">
        <v>44</v>
      </c>
      <c r="E1557" s="52"/>
      <c r="F1557" s="59" t="s">
        <v>66</v>
      </c>
      <c r="G1557" s="60">
        <f>C1557+C1581+C1619+C1641+C1662</f>
        <v>14</v>
      </c>
      <c r="H1557" s="52"/>
      <c r="I1557" s="63"/>
      <c r="J1557" s="77"/>
      <c r="K1557" s="59"/>
      <c r="L1557" s="62"/>
      <c r="M1557" s="609"/>
      <c r="N1557" s="564"/>
      <c r="O1557" s="1"/>
      <c r="P1557" s="3"/>
      <c r="Q1557" s="1"/>
      <c r="R1557" s="1"/>
      <c r="S1557" s="1"/>
      <c r="T1557" s="1"/>
      <c r="U1557" s="4"/>
    </row>
    <row r="1558" spans="1:21" ht="18.75" customHeight="1" thickBot="1">
      <c r="A1558" s="56" t="s">
        <v>48</v>
      </c>
      <c r="B1558" s="57" t="s">
        <v>49</v>
      </c>
      <c r="C1558" s="58">
        <f>ROUND(F1554/10000,0)</f>
        <v>722</v>
      </c>
      <c r="D1558" s="57" t="s">
        <v>50</v>
      </c>
      <c r="E1558" s="52"/>
      <c r="F1558" s="59" t="s">
        <v>67</v>
      </c>
      <c r="G1558" s="60">
        <f>C1558+C1582+C1620+C1642+C1663</f>
        <v>3085</v>
      </c>
      <c r="H1558" s="52"/>
      <c r="I1558" s="59"/>
      <c r="J1558" s="61"/>
      <c r="K1558" s="59"/>
      <c r="L1558" s="62"/>
      <c r="M1558" s="610"/>
      <c r="N1558" s="611"/>
      <c r="O1558" s="1"/>
      <c r="P1558" s="3"/>
      <c r="Q1558" s="1"/>
      <c r="R1558" s="1"/>
      <c r="S1558" s="1"/>
      <c r="T1558" s="1"/>
      <c r="U1558" s="4"/>
    </row>
    <row r="1559" spans="1:21" ht="18.75" customHeight="1" thickBot="1">
      <c r="A1559" s="566" t="s">
        <v>52</v>
      </c>
      <c r="B1559" s="567"/>
      <c r="C1559" s="567"/>
      <c r="D1559" s="568"/>
      <c r="E1559" s="65"/>
      <c r="F1559" s="569" t="s">
        <v>53</v>
      </c>
      <c r="G1559" s="568"/>
      <c r="H1559" s="66">
        <f>H1554-J1557</f>
        <v>4681479.7405283432</v>
      </c>
      <c r="I1559" s="67">
        <f>H1559*3.3%</f>
        <v>154488.83143743532</v>
      </c>
      <c r="J1559" s="68">
        <f>SUM(J1554)</f>
        <v>0</v>
      </c>
      <c r="K1559" s="69">
        <f>H1559-I1559-J1559</f>
        <v>4526990.9090909082</v>
      </c>
      <c r="L1559" s="70"/>
      <c r="M1559" s="570">
        <f>K1559</f>
        <v>4526990.9090909082</v>
      </c>
      <c r="N1559" s="571"/>
      <c r="O1559" s="1"/>
      <c r="P1559" s="3"/>
      <c r="Q1559" s="1"/>
      <c r="R1559" s="1"/>
      <c r="S1559" s="1"/>
      <c r="T1559" s="1"/>
      <c r="U1559" s="4"/>
    </row>
    <row r="1560" spans="1:21" ht="18.75" customHeight="1">
      <c r="A1560" s="158"/>
      <c r="B1560" s="158"/>
      <c r="C1560" s="158"/>
      <c r="D1560" s="158"/>
      <c r="E1560" s="97"/>
      <c r="F1560" s="97"/>
      <c r="G1560" s="97"/>
      <c r="H1560" s="202">
        <v>1</v>
      </c>
      <c r="I1560" s="97"/>
      <c r="J1560" s="97"/>
      <c r="K1560" s="159"/>
      <c r="L1560" s="159"/>
      <c r="M1560" s="160"/>
      <c r="N1560" s="160"/>
      <c r="O1560" s="1"/>
      <c r="P1560" s="3"/>
      <c r="Q1560" s="1"/>
      <c r="R1560" s="1"/>
      <c r="S1560" s="1"/>
      <c r="T1560" s="1"/>
      <c r="U1560" s="4"/>
    </row>
    <row r="1561" spans="1:21" ht="18.75" customHeight="1">
      <c r="A1561" s="6" t="s">
        <v>160</v>
      </c>
      <c r="B1561" s="7" t="str">
        <f>$B$34</f>
        <v>1월</v>
      </c>
      <c r="C1561" s="8" t="s">
        <v>1</v>
      </c>
      <c r="D1561" s="9">
        <f>COUNTIF($C1563:$C1579,"계약")+(COUNTIF($C1563:$C1579,"계약2")*2)</f>
        <v>5</v>
      </c>
      <c r="E1561" s="3">
        <f>COUNTIF(C1563:C1579,"낙찰수수료")</f>
        <v>2</v>
      </c>
      <c r="F1561" s="3"/>
      <c r="G1561" s="1" t="s">
        <v>161</v>
      </c>
      <c r="H1561" s="11">
        <v>0.5</v>
      </c>
      <c r="I1561" s="12">
        <v>3.3000000000000002E-2</v>
      </c>
      <c r="J1561" s="1"/>
      <c r="K1561" s="1"/>
      <c r="L1561" s="1"/>
      <c r="M1561" s="1"/>
      <c r="N1561" s="1"/>
      <c r="O1561" s="1"/>
      <c r="P1561" s="3"/>
      <c r="Q1561" s="1"/>
      <c r="R1561" s="1"/>
      <c r="S1561" s="1"/>
      <c r="T1561" s="1"/>
      <c r="U1561" s="4"/>
    </row>
    <row r="1562" spans="1:21" ht="18.75" customHeight="1">
      <c r="A1562" s="13" t="s">
        <v>3</v>
      </c>
      <c r="B1562" s="14" t="s">
        <v>4</v>
      </c>
      <c r="C1562" s="14" t="s">
        <v>5</v>
      </c>
      <c r="D1562" s="101" t="s">
        <v>6</v>
      </c>
      <c r="E1562" s="16" t="s">
        <v>7</v>
      </c>
      <c r="F1562" s="17" t="s">
        <v>8</v>
      </c>
      <c r="G1562" s="14" t="s">
        <v>9</v>
      </c>
      <c r="H1562" s="15" t="s">
        <v>10</v>
      </c>
      <c r="I1562" s="14" t="s">
        <v>11</v>
      </c>
      <c r="J1562" s="15" t="s">
        <v>12</v>
      </c>
      <c r="K1562" s="14" t="s">
        <v>13</v>
      </c>
      <c r="L1562" s="14" t="s">
        <v>14</v>
      </c>
      <c r="M1562" s="579" t="s">
        <v>15</v>
      </c>
      <c r="N1562" s="577"/>
      <c r="O1562" s="1"/>
      <c r="P1562" s="3"/>
      <c r="Q1562" s="1"/>
      <c r="R1562" s="1"/>
      <c r="S1562" s="1"/>
      <c r="T1562" s="1"/>
      <c r="U1562" s="4"/>
    </row>
    <row r="1563" spans="1:21" ht="18.75" customHeight="1">
      <c r="A1563" s="28">
        <v>46028</v>
      </c>
      <c r="B1563" s="29" t="s">
        <v>752</v>
      </c>
      <c r="C1563" s="30" t="s">
        <v>56</v>
      </c>
      <c r="D1563" s="95"/>
      <c r="E1563" s="27">
        <v>2827000</v>
      </c>
      <c r="F1563" s="31">
        <f t="shared" ref="F1563:F1572" si="754">IF(D1563="no",E1563,E1563/1.1)</f>
        <v>2570000</v>
      </c>
      <c r="G1563" s="27">
        <f t="shared" ref="G1563:G1572" si="755">IF(D1563="no",0,F1563*0.1)</f>
        <v>257000</v>
      </c>
      <c r="H1563" s="32">
        <f>IF(D1563="no",0,F1563*H1561)</f>
        <v>1285000</v>
      </c>
      <c r="I1563" s="33">
        <f t="shared" ref="I1563:I1572" si="756">IF(D1563="no",0,H1563*3.3%)</f>
        <v>42405</v>
      </c>
      <c r="J1563" s="26"/>
      <c r="K1563" s="27">
        <f t="shared" ref="K1563:K1572" si="757">IF(D1563="no",0,H1563-I1563-J1563)</f>
        <v>1242595</v>
      </c>
      <c r="L1563" s="27">
        <f t="shared" ref="L1563:L1564" si="758">IF(D1563="no",F1563*H1560-J1563,0)</f>
        <v>0</v>
      </c>
      <c r="M1563" s="582"/>
      <c r="N1563" s="581"/>
      <c r="O1563" s="1"/>
      <c r="P1563" s="3"/>
      <c r="Q1563" s="1"/>
      <c r="R1563" s="1"/>
      <c r="S1563" s="1"/>
      <c r="T1563" s="1"/>
      <c r="U1563" s="4"/>
    </row>
    <row r="1564" spans="1:21" ht="18.75" customHeight="1">
      <c r="A1564" s="28">
        <v>46031</v>
      </c>
      <c r="B1564" s="29" t="s">
        <v>753</v>
      </c>
      <c r="C1564" s="30" t="s">
        <v>758</v>
      </c>
      <c r="D1564" s="38"/>
      <c r="E1564" s="27">
        <v>2200000</v>
      </c>
      <c r="F1564" s="31">
        <f t="shared" si="754"/>
        <v>1999999.9999999998</v>
      </c>
      <c r="G1564" s="27">
        <f t="shared" si="755"/>
        <v>200000</v>
      </c>
      <c r="H1564" s="32">
        <f>IF(D1564="no",0,F1564*H1561)</f>
        <v>999999.99999999988</v>
      </c>
      <c r="I1564" s="33">
        <f t="shared" si="756"/>
        <v>33000</v>
      </c>
      <c r="J1564" s="26"/>
      <c r="K1564" s="27">
        <f t="shared" si="757"/>
        <v>966999.99999999988</v>
      </c>
      <c r="L1564" s="27">
        <f t="shared" si="758"/>
        <v>0</v>
      </c>
      <c r="M1564" s="572"/>
      <c r="N1564" s="564"/>
      <c r="O1564" s="1"/>
      <c r="P1564" s="24"/>
      <c r="Q1564" s="1"/>
      <c r="R1564" s="1"/>
      <c r="S1564" s="1"/>
      <c r="T1564" s="1"/>
      <c r="U1564" s="4"/>
    </row>
    <row r="1565" spans="1:21" ht="18.75" customHeight="1">
      <c r="A1565" s="39">
        <v>46034</v>
      </c>
      <c r="B1565" s="127" t="s">
        <v>754</v>
      </c>
      <c r="C1565" s="109" t="s">
        <v>693</v>
      </c>
      <c r="D1565" s="95"/>
      <c r="E1565" s="552">
        <v>30000</v>
      </c>
      <c r="F1565" s="31">
        <f t="shared" si="754"/>
        <v>27272.727272727272</v>
      </c>
      <c r="G1565" s="27">
        <f t="shared" si="755"/>
        <v>2727.2727272727275</v>
      </c>
      <c r="H1565" s="495">
        <f>IF(D1565="no",0,F1565*H1560)</f>
        <v>27272.727272727272</v>
      </c>
      <c r="I1565" s="33">
        <f t="shared" si="756"/>
        <v>900</v>
      </c>
      <c r="J1565" s="26"/>
      <c r="K1565" s="27">
        <f t="shared" si="757"/>
        <v>26372.727272727272</v>
      </c>
      <c r="L1565" s="27">
        <f>IF(D1565="no",F1565*H1561-J1565,0)</f>
        <v>0</v>
      </c>
      <c r="M1565" s="572"/>
      <c r="N1565" s="564"/>
      <c r="O1565" s="1"/>
      <c r="P1565" s="3"/>
      <c r="Q1565" s="1"/>
      <c r="R1565" s="1"/>
      <c r="S1565" s="1"/>
      <c r="T1565" s="1"/>
      <c r="U1565" s="4"/>
    </row>
    <row r="1566" spans="1:21" s="472" customFormat="1" ht="18.75" customHeight="1">
      <c r="A1566" s="39">
        <v>46041</v>
      </c>
      <c r="B1566" s="127" t="s">
        <v>755</v>
      </c>
      <c r="C1566" s="30" t="s">
        <v>759</v>
      </c>
      <c r="D1566" s="471"/>
      <c r="E1566" s="102">
        <v>550000</v>
      </c>
      <c r="F1566" s="31">
        <f t="shared" si="754"/>
        <v>499999.99999999994</v>
      </c>
      <c r="G1566" s="27">
        <f t="shared" si="755"/>
        <v>50000</v>
      </c>
      <c r="H1566" s="32">
        <f>IF(D1566="no",0,F1566*H1561)</f>
        <v>249999.99999999997</v>
      </c>
      <c r="I1566" s="33">
        <f t="shared" si="756"/>
        <v>8250</v>
      </c>
      <c r="J1566" s="26"/>
      <c r="K1566" s="27">
        <f t="shared" si="757"/>
        <v>241749.99999999997</v>
      </c>
      <c r="L1566" s="27"/>
      <c r="M1566" s="469"/>
      <c r="N1566" s="470"/>
      <c r="O1566" s="1"/>
      <c r="P1566" s="3"/>
      <c r="Q1566" s="1"/>
      <c r="R1566" s="1"/>
      <c r="S1566" s="1"/>
      <c r="T1566" s="1"/>
      <c r="U1566" s="4"/>
    </row>
    <row r="1567" spans="1:21" s="385" customFormat="1" ht="18.75" customHeight="1">
      <c r="A1567" s="28">
        <v>46048</v>
      </c>
      <c r="B1567" s="29" t="s">
        <v>756</v>
      </c>
      <c r="C1567" s="30" t="s">
        <v>759</v>
      </c>
      <c r="D1567" s="384"/>
      <c r="E1567" s="27">
        <v>550000</v>
      </c>
      <c r="F1567" s="31">
        <f t="shared" si="754"/>
        <v>499999.99999999994</v>
      </c>
      <c r="G1567" s="27">
        <f t="shared" si="755"/>
        <v>50000</v>
      </c>
      <c r="H1567" s="32">
        <f>IF(D1567="no",0,F1567*H1561)</f>
        <v>249999.99999999997</v>
      </c>
      <c r="I1567" s="33">
        <f t="shared" si="756"/>
        <v>8250</v>
      </c>
      <c r="J1567" s="26"/>
      <c r="K1567" s="27">
        <f t="shared" si="757"/>
        <v>241749.99999999997</v>
      </c>
      <c r="L1567" s="27">
        <f t="shared" ref="L1567" si="759">IF(D1567="no",F1567*H1560-J1567,0)</f>
        <v>0</v>
      </c>
      <c r="M1567" s="572"/>
      <c r="N1567" s="564"/>
      <c r="O1567" s="1"/>
      <c r="P1567" s="3"/>
      <c r="Q1567" s="1"/>
      <c r="R1567" s="1"/>
      <c r="S1567" s="1"/>
      <c r="T1567" s="1"/>
      <c r="U1567" s="4"/>
    </row>
    <row r="1568" spans="1:21" ht="18.75" customHeight="1">
      <c r="A1568" s="28">
        <v>46050</v>
      </c>
      <c r="B1568" s="29" t="s">
        <v>750</v>
      </c>
      <c r="C1568" s="30" t="s">
        <v>759</v>
      </c>
      <c r="D1568" s="21"/>
      <c r="E1568" s="27">
        <v>550000</v>
      </c>
      <c r="F1568" s="31">
        <f t="shared" si="754"/>
        <v>499999.99999999994</v>
      </c>
      <c r="G1568" s="27">
        <f t="shared" si="755"/>
        <v>50000</v>
      </c>
      <c r="H1568" s="32">
        <f>IF(D1568="no",0,F1568*H1561)</f>
        <v>249999.99999999997</v>
      </c>
      <c r="I1568" s="33">
        <f t="shared" si="756"/>
        <v>8250</v>
      </c>
      <c r="J1568" s="26"/>
      <c r="K1568" s="27">
        <f t="shared" si="757"/>
        <v>241749.99999999997</v>
      </c>
      <c r="L1568" s="27">
        <f>IF(D1568="no",F1568*H1562-J1568,0)</f>
        <v>0</v>
      </c>
      <c r="M1568" s="563"/>
      <c r="N1568" s="564"/>
      <c r="O1568" s="1"/>
      <c r="P1568" s="3"/>
      <c r="Q1568" s="1"/>
      <c r="R1568" s="1"/>
      <c r="S1568" s="1"/>
      <c r="T1568" s="1"/>
      <c r="U1568" s="4"/>
    </row>
    <row r="1569" spans="1:21" ht="18.75" customHeight="1">
      <c r="A1569" s="28">
        <v>46050</v>
      </c>
      <c r="B1569" s="29" t="s">
        <v>755</v>
      </c>
      <c r="C1569" s="30" t="s">
        <v>56</v>
      </c>
      <c r="D1569" s="38"/>
      <c r="E1569" s="27">
        <v>5430000</v>
      </c>
      <c r="F1569" s="31">
        <f t="shared" si="754"/>
        <v>4936363.6363636358</v>
      </c>
      <c r="G1569" s="27">
        <f t="shared" si="755"/>
        <v>493636.36363636359</v>
      </c>
      <c r="H1569" s="32">
        <f>IF(D1569="no",0,F1569*H1561)</f>
        <v>2468181.8181818179</v>
      </c>
      <c r="I1569" s="33">
        <f t="shared" si="756"/>
        <v>81450</v>
      </c>
      <c r="J1569" s="26"/>
      <c r="K1569" s="27">
        <f t="shared" si="757"/>
        <v>2386731.8181818179</v>
      </c>
      <c r="L1569" s="27">
        <f>IF(D1569="no",F1569*H1561-J1569,0)</f>
        <v>0</v>
      </c>
      <c r="M1569" s="578"/>
      <c r="N1569" s="564"/>
      <c r="O1569" s="1"/>
      <c r="P1569" s="3"/>
      <c r="Q1569" s="1"/>
      <c r="R1569" s="1"/>
      <c r="S1569" s="1"/>
      <c r="T1569" s="1"/>
      <c r="U1569" s="4"/>
    </row>
    <row r="1570" spans="1:21" ht="18.75" hidden="1" customHeight="1">
      <c r="A1570" s="28"/>
      <c r="B1570" s="29"/>
      <c r="C1570" s="30"/>
      <c r="D1570" s="38"/>
      <c r="E1570" s="27"/>
      <c r="F1570" s="31">
        <f t="shared" si="754"/>
        <v>0</v>
      </c>
      <c r="G1570" s="27">
        <f t="shared" si="755"/>
        <v>0</v>
      </c>
      <c r="H1570" s="32">
        <f>IF(D1570="no",0,F1570*H1561)</f>
        <v>0</v>
      </c>
      <c r="I1570" s="33">
        <f t="shared" si="756"/>
        <v>0</v>
      </c>
      <c r="J1570" s="26"/>
      <c r="K1570" s="27">
        <f t="shared" si="757"/>
        <v>0</v>
      </c>
      <c r="L1570" s="27">
        <f>IF(D1570="no",F1570*H1562-J1570,0)</f>
        <v>0</v>
      </c>
      <c r="M1570" s="572"/>
      <c r="N1570" s="564"/>
      <c r="O1570" s="1"/>
      <c r="P1570" s="3"/>
      <c r="Q1570" s="1"/>
      <c r="R1570" s="1"/>
      <c r="S1570" s="1"/>
      <c r="T1570" s="1"/>
      <c r="U1570" s="4"/>
    </row>
    <row r="1571" spans="1:21" ht="18.75" hidden="1" customHeight="1">
      <c r="A1571" s="28"/>
      <c r="B1571" s="29"/>
      <c r="C1571" s="30"/>
      <c r="D1571" s="38"/>
      <c r="E1571" s="27"/>
      <c r="F1571" s="31">
        <f t="shared" si="754"/>
        <v>0</v>
      </c>
      <c r="G1571" s="27">
        <f t="shared" si="755"/>
        <v>0</v>
      </c>
      <c r="H1571" s="32">
        <f>IF(D1571="no",0,F1571*H1561)</f>
        <v>0</v>
      </c>
      <c r="I1571" s="33">
        <f t="shared" si="756"/>
        <v>0</v>
      </c>
      <c r="J1571" s="26"/>
      <c r="K1571" s="27">
        <f t="shared" si="757"/>
        <v>0</v>
      </c>
      <c r="L1571" s="27">
        <f>IF(D1571="no",F1571*H1563-J1571,0)</f>
        <v>0</v>
      </c>
      <c r="M1571" s="563"/>
      <c r="N1571" s="564"/>
      <c r="O1571" s="1"/>
      <c r="P1571" s="3"/>
      <c r="Q1571" s="1"/>
      <c r="R1571" s="1"/>
      <c r="S1571" s="1"/>
      <c r="T1571" s="1"/>
      <c r="U1571" s="4"/>
    </row>
    <row r="1572" spans="1:21" ht="18.75" hidden="1" customHeight="1">
      <c r="A1572" s="28"/>
      <c r="B1572" s="29"/>
      <c r="C1572" s="30"/>
      <c r="D1572" s="38"/>
      <c r="E1572" s="27"/>
      <c r="F1572" s="31">
        <f t="shared" si="754"/>
        <v>0</v>
      </c>
      <c r="G1572" s="27">
        <f t="shared" si="755"/>
        <v>0</v>
      </c>
      <c r="H1572" s="32">
        <f>IF(D1572="no",0,F1572*H1561)</f>
        <v>0</v>
      </c>
      <c r="I1572" s="33">
        <f t="shared" si="756"/>
        <v>0</v>
      </c>
      <c r="J1572" s="26"/>
      <c r="K1572" s="27">
        <f t="shared" si="757"/>
        <v>0</v>
      </c>
      <c r="L1572" s="27">
        <f>IF(D1572="no",F1572*H1561-J1572,0)</f>
        <v>0</v>
      </c>
      <c r="M1572" s="572"/>
      <c r="N1572" s="564"/>
      <c r="O1572" s="1"/>
      <c r="P1572" s="3"/>
      <c r="Q1572" s="1"/>
      <c r="R1572" s="1"/>
      <c r="S1572" s="1"/>
      <c r="T1572" s="1"/>
      <c r="U1572" s="4"/>
    </row>
    <row r="1573" spans="1:21" ht="18.75" hidden="1" customHeight="1">
      <c r="A1573" s="28"/>
      <c r="B1573" s="29"/>
      <c r="C1573" s="30"/>
      <c r="D1573" s="21"/>
      <c r="E1573" s="27"/>
      <c r="F1573" s="31"/>
      <c r="G1573" s="27"/>
      <c r="H1573" s="32"/>
      <c r="I1573" s="33"/>
      <c r="J1573" s="26"/>
      <c r="K1573" s="27"/>
      <c r="L1573" s="97"/>
      <c r="M1573" s="563"/>
      <c r="N1573" s="564"/>
      <c r="O1573" s="1"/>
      <c r="P1573" s="3"/>
      <c r="Q1573" s="1"/>
      <c r="R1573" s="1"/>
      <c r="S1573" s="1"/>
      <c r="T1573" s="1"/>
      <c r="U1573" s="4"/>
    </row>
    <row r="1574" spans="1:21" ht="18.75" customHeight="1">
      <c r="A1574" s="28"/>
      <c r="B1574" s="29"/>
      <c r="C1574" s="30"/>
      <c r="D1574" s="21"/>
      <c r="E1574" s="27"/>
      <c r="F1574" s="31">
        <f t="shared" ref="F1574:F1578" si="760">IF(D1574="no",E1574,E1574/1.1)</f>
        <v>0</v>
      </c>
      <c r="G1574" s="27">
        <f t="shared" ref="G1574:G1578" si="761">IF(D1574="no",0,F1574*0.1)</f>
        <v>0</v>
      </c>
      <c r="H1574" s="32">
        <f>IF(D1574="no",0,F1574*$H$1561)</f>
        <v>0</v>
      </c>
      <c r="I1574" s="33">
        <f t="shared" ref="I1574:I1579" si="762">IF(D1574="no",0,H1574*3.3%)</f>
        <v>0</v>
      </c>
      <c r="J1574" s="26"/>
      <c r="K1574" s="27">
        <f t="shared" ref="K1574:K1579" si="763">IF(D1574="no",0,H1574-I1574-J1574)</f>
        <v>0</v>
      </c>
      <c r="L1574" s="1"/>
      <c r="M1574" s="563"/>
      <c r="N1574" s="564"/>
      <c r="O1574" s="1"/>
      <c r="P1574" s="3"/>
      <c r="Q1574" s="1"/>
      <c r="R1574" s="1"/>
      <c r="S1574" s="1"/>
      <c r="T1574" s="1"/>
      <c r="U1574" s="4"/>
    </row>
    <row r="1575" spans="1:21" ht="18.75" customHeight="1">
      <c r="A1575" s="39" t="s">
        <v>616</v>
      </c>
      <c r="B1575" s="29" t="s">
        <v>505</v>
      </c>
      <c r="C1575" s="30"/>
      <c r="D1575" s="21"/>
      <c r="E1575" s="27"/>
      <c r="F1575" s="31">
        <f t="shared" si="760"/>
        <v>0</v>
      </c>
      <c r="G1575" s="27">
        <f t="shared" si="761"/>
        <v>0</v>
      </c>
      <c r="H1575" s="32"/>
      <c r="I1575" s="33">
        <f t="shared" si="762"/>
        <v>0</v>
      </c>
      <c r="J1575" s="26">
        <v>0</v>
      </c>
      <c r="K1575" s="27">
        <f t="shared" si="763"/>
        <v>0</v>
      </c>
      <c r="L1575" s="27">
        <f>IF(D1575="no",F1575*H1570-J1575,0)</f>
        <v>0</v>
      </c>
      <c r="M1575" s="590"/>
      <c r="N1575" s="564"/>
      <c r="O1575" s="1"/>
      <c r="P1575" s="3"/>
      <c r="Q1575" s="1"/>
      <c r="R1575" s="1"/>
      <c r="S1575" s="1"/>
      <c r="T1575" s="1"/>
      <c r="U1575" s="4"/>
    </row>
    <row r="1576" spans="1:21" ht="18.75" customHeight="1">
      <c r="A1576" s="39" t="s">
        <v>616</v>
      </c>
      <c r="B1576" s="29" t="s">
        <v>61</v>
      </c>
      <c r="C1576" s="30"/>
      <c r="D1576" s="21"/>
      <c r="E1576" s="27"/>
      <c r="F1576" s="31">
        <f t="shared" si="760"/>
        <v>0</v>
      </c>
      <c r="G1576" s="27">
        <f t="shared" si="761"/>
        <v>0</v>
      </c>
      <c r="H1576" s="37">
        <f>(E1581+E1582+N1581)/0.967</f>
        <v>0</v>
      </c>
      <c r="I1576" s="33">
        <f t="shared" si="762"/>
        <v>0</v>
      </c>
      <c r="J1576" s="26"/>
      <c r="K1576" s="27">
        <f t="shared" si="763"/>
        <v>0</v>
      </c>
      <c r="L1576" s="27"/>
      <c r="M1576" s="608"/>
      <c r="N1576" s="564"/>
      <c r="O1576" s="1"/>
      <c r="P1576" s="3"/>
      <c r="Q1576" s="1"/>
      <c r="R1576" s="1"/>
      <c r="S1576" s="1"/>
      <c r="T1576" s="1"/>
      <c r="U1576" s="4"/>
    </row>
    <row r="1577" spans="1:21" ht="18.75" customHeight="1">
      <c r="A1577" s="39" t="s">
        <v>616</v>
      </c>
      <c r="B1577" s="29" t="s">
        <v>35</v>
      </c>
      <c r="C1577" s="30"/>
      <c r="D1577" s="38"/>
      <c r="E1577" s="27"/>
      <c r="F1577" s="31">
        <f t="shared" si="760"/>
        <v>0</v>
      </c>
      <c r="G1577" s="27">
        <f t="shared" si="761"/>
        <v>0</v>
      </c>
      <c r="H1577" s="37">
        <f>L1582/0.967</f>
        <v>0</v>
      </c>
      <c r="I1577" s="33">
        <f t="shared" si="762"/>
        <v>0</v>
      </c>
      <c r="J1577" s="26"/>
      <c r="K1577" s="27">
        <f t="shared" si="763"/>
        <v>0</v>
      </c>
      <c r="L1577" s="27">
        <f>IF(D1577="no",F1577*H1560-J1577,0)</f>
        <v>0</v>
      </c>
      <c r="M1577" s="608"/>
      <c r="N1577" s="564"/>
      <c r="O1577" s="1"/>
      <c r="P1577" s="3"/>
      <c r="Q1577" s="1"/>
      <c r="R1577" s="1"/>
      <c r="S1577" s="1"/>
      <c r="T1577" s="1"/>
      <c r="U1577" s="4"/>
    </row>
    <row r="1578" spans="1:21" ht="18.75" customHeight="1">
      <c r="A1578" s="39" t="s">
        <v>616</v>
      </c>
      <c r="B1578" s="29" t="s">
        <v>37</v>
      </c>
      <c r="C1578" s="30"/>
      <c r="D1578" s="38"/>
      <c r="E1578" s="27"/>
      <c r="F1578" s="31">
        <f t="shared" si="760"/>
        <v>0</v>
      </c>
      <c r="G1578" s="27">
        <f t="shared" si="761"/>
        <v>0</v>
      </c>
      <c r="H1578" s="37">
        <v>0</v>
      </c>
      <c r="I1578" s="33">
        <f t="shared" si="762"/>
        <v>0</v>
      </c>
      <c r="J1578" s="26"/>
      <c r="K1578" s="27">
        <f t="shared" si="763"/>
        <v>0</v>
      </c>
      <c r="L1578" s="27">
        <f>IF(D1578="no",F1578*#REF!-J1578,0)</f>
        <v>0</v>
      </c>
      <c r="M1578" s="572"/>
      <c r="N1578" s="564"/>
      <c r="O1578" s="1"/>
      <c r="P1578" s="3"/>
      <c r="Q1578" s="1"/>
      <c r="R1578" s="1"/>
      <c r="S1578" s="1"/>
      <c r="T1578" s="1"/>
      <c r="U1578" s="4"/>
    </row>
    <row r="1579" spans="1:21" ht="18.75" customHeight="1">
      <c r="A1579" s="39" t="s">
        <v>616</v>
      </c>
      <c r="B1579" s="29" t="s">
        <v>131</v>
      </c>
      <c r="C1579" s="30"/>
      <c r="D1579" s="21"/>
      <c r="E1579" s="27"/>
      <c r="F1579" s="31">
        <v>0</v>
      </c>
      <c r="G1579" s="27">
        <v>0</v>
      </c>
      <c r="H1579" s="37">
        <f>80000/0.967</f>
        <v>82730.093071354713</v>
      </c>
      <c r="I1579" s="33">
        <f t="shared" si="762"/>
        <v>2730.0930713547054</v>
      </c>
      <c r="J1579" s="26"/>
      <c r="K1579" s="27">
        <f t="shared" si="763"/>
        <v>80000.000000000015</v>
      </c>
      <c r="L1579" s="27">
        <f>IF(D1579="no",F1579*H1572-J1579,0)</f>
        <v>0</v>
      </c>
      <c r="M1579" s="588"/>
      <c r="N1579" s="564"/>
      <c r="O1579" s="1"/>
      <c r="P1579" s="3"/>
      <c r="Q1579" s="1"/>
      <c r="R1579" s="1"/>
      <c r="S1579" s="1"/>
      <c r="T1579" s="1"/>
      <c r="U1579" s="4"/>
    </row>
    <row r="1580" spans="1:21" ht="18.75" customHeight="1">
      <c r="A1580" s="575" t="s">
        <v>42</v>
      </c>
      <c r="B1580" s="576"/>
      <c r="C1580" s="576"/>
      <c r="D1580" s="577"/>
      <c r="E1580" s="42">
        <f t="shared" ref="E1580:L1580" si="764">SUM(E1563:E1579)</f>
        <v>12137000</v>
      </c>
      <c r="F1580" s="17">
        <f t="shared" si="764"/>
        <v>11033636.363636363</v>
      </c>
      <c r="G1580" s="42">
        <f t="shared" si="764"/>
        <v>1103363.6363636362</v>
      </c>
      <c r="H1580" s="43">
        <f t="shared" si="764"/>
        <v>5613184.6385258995</v>
      </c>
      <c r="I1580" s="42">
        <f t="shared" si="764"/>
        <v>185235.0930713547</v>
      </c>
      <c r="J1580" s="43">
        <f t="shared" si="764"/>
        <v>0</v>
      </c>
      <c r="K1580" s="42">
        <f t="shared" si="764"/>
        <v>5427949.5454545449</v>
      </c>
      <c r="L1580" s="42">
        <f t="shared" si="764"/>
        <v>0</v>
      </c>
      <c r="M1580" s="44"/>
      <c r="N1580" s="45"/>
      <c r="O1580" s="1"/>
      <c r="P1580" s="3"/>
      <c r="Q1580" s="1"/>
      <c r="R1580" s="1"/>
      <c r="S1580" s="1"/>
      <c r="T1580" s="1"/>
      <c r="U1580" s="4"/>
    </row>
    <row r="1581" spans="1:21" ht="18.75" customHeight="1">
      <c r="A1581" s="46" t="s">
        <v>37</v>
      </c>
      <c r="B1581" s="47" t="s">
        <v>43</v>
      </c>
      <c r="C1581" s="48">
        <f>D1561</f>
        <v>5</v>
      </c>
      <c r="D1581" s="47" t="s">
        <v>44</v>
      </c>
      <c r="E1581" s="49"/>
      <c r="F1581" s="84"/>
      <c r="G1581" s="85"/>
      <c r="H1581" s="49"/>
      <c r="I1581" s="53" t="s">
        <v>46</v>
      </c>
      <c r="J1581" s="54">
        <v>196050</v>
      </c>
      <c r="K1581" s="50"/>
      <c r="L1581" s="55"/>
      <c r="M1581" s="63"/>
      <c r="N1581" s="64"/>
      <c r="O1581" s="1"/>
      <c r="P1581" s="3"/>
      <c r="Q1581" s="1"/>
      <c r="R1581" s="1"/>
      <c r="S1581" s="1"/>
      <c r="T1581" s="1"/>
      <c r="U1581" s="4"/>
    </row>
    <row r="1582" spans="1:21" ht="18.75" customHeight="1" thickBot="1">
      <c r="A1582" s="56" t="s">
        <v>48</v>
      </c>
      <c r="B1582" s="57" t="s">
        <v>49</v>
      </c>
      <c r="C1582" s="58">
        <f>ROUND(F1580/10000,0)</f>
        <v>1103</v>
      </c>
      <c r="D1582" s="57" t="s">
        <v>50</v>
      </c>
      <c r="E1582" s="52"/>
      <c r="F1582" s="86"/>
      <c r="G1582" s="87"/>
      <c r="H1582" s="52"/>
      <c r="I1582" s="59"/>
      <c r="J1582" s="61"/>
      <c r="K1582" s="59"/>
      <c r="L1582" s="62"/>
      <c r="M1582" s="63"/>
      <c r="N1582" s="64"/>
      <c r="O1582" s="1"/>
      <c r="P1582" s="3"/>
      <c r="Q1582" s="1"/>
      <c r="R1582" s="1"/>
      <c r="S1582" s="1"/>
      <c r="T1582" s="1"/>
      <c r="U1582" s="4"/>
    </row>
    <row r="1583" spans="1:21" ht="18.75" customHeight="1" thickBot="1">
      <c r="A1583" s="566" t="s">
        <v>52</v>
      </c>
      <c r="B1583" s="567"/>
      <c r="C1583" s="567"/>
      <c r="D1583" s="568"/>
      <c r="E1583" s="65"/>
      <c r="F1583" s="569" t="s">
        <v>53</v>
      </c>
      <c r="G1583" s="568"/>
      <c r="H1583" s="66">
        <f>H1580-J1581</f>
        <v>5417134.6385258995</v>
      </c>
      <c r="I1583" s="67">
        <f>H1583*3.3%</f>
        <v>178765.4430713547</v>
      </c>
      <c r="J1583" s="68">
        <f>SUM(J1580)</f>
        <v>0</v>
      </c>
      <c r="K1583" s="69">
        <f>H1583-I1583-J1583</f>
        <v>5238369.1954545444</v>
      </c>
      <c r="L1583" s="70">
        <f>L1580+SUM(H1581:H1582)+J1582</f>
        <v>0</v>
      </c>
      <c r="M1583" s="570">
        <f>K1583+L1583</f>
        <v>5238369.1954545444</v>
      </c>
      <c r="N1583" s="571"/>
      <c r="O1583" s="1"/>
      <c r="P1583" s="3"/>
      <c r="Q1583" s="1"/>
      <c r="R1583" s="1"/>
      <c r="S1583" s="1"/>
      <c r="T1583" s="1"/>
      <c r="U1583" s="4"/>
    </row>
    <row r="1584" spans="1:21" ht="18.75" hidden="1" customHeight="1">
      <c r="A1584" s="158"/>
      <c r="B1584" s="158"/>
      <c r="C1584" s="158"/>
      <c r="D1584" s="158"/>
      <c r="E1584" s="97"/>
      <c r="F1584" s="97"/>
      <c r="G1584" s="97"/>
      <c r="H1584" s="93"/>
      <c r="I1584" s="97"/>
      <c r="J1584" s="97"/>
      <c r="K1584" s="159"/>
      <c r="L1584" s="159"/>
      <c r="M1584" s="160"/>
      <c r="N1584" s="160"/>
      <c r="O1584" s="1"/>
      <c r="P1584" s="3"/>
      <c r="Q1584" s="1"/>
      <c r="R1584" s="1"/>
      <c r="S1584" s="1"/>
      <c r="T1584" s="1"/>
      <c r="U1584" s="4"/>
    </row>
    <row r="1585" spans="1:21" ht="18.75" hidden="1" customHeight="1">
      <c r="A1585" s="6"/>
      <c r="B1585" s="7" t="str">
        <f>$B$34</f>
        <v>1월</v>
      </c>
      <c r="C1585" s="8" t="s">
        <v>1</v>
      </c>
      <c r="D1585" s="9">
        <f>COUNTIF($C1587:$C1598,"계약")+(COUNTIF($C1587:$C1598,"계약2")*2)</f>
        <v>0</v>
      </c>
      <c r="E1585" s="3">
        <f>COUNTIF(C1587:C1598,"낙찰수수료")</f>
        <v>0</v>
      </c>
      <c r="F1585" s="3"/>
      <c r="G1585" s="89"/>
      <c r="H1585" s="11">
        <v>0.5</v>
      </c>
      <c r="I1585" s="12">
        <v>3.3000000000000002E-2</v>
      </c>
      <c r="J1585" s="1"/>
      <c r="K1585" s="1"/>
      <c r="L1585" s="1"/>
      <c r="M1585" s="1"/>
      <c r="N1585" s="1"/>
      <c r="O1585" s="1"/>
      <c r="P1585" s="3"/>
      <c r="Q1585" s="1"/>
      <c r="R1585" s="1"/>
      <c r="S1585" s="1"/>
      <c r="T1585" s="1"/>
      <c r="U1585" s="4"/>
    </row>
    <row r="1586" spans="1:21" ht="18.75" hidden="1" customHeight="1">
      <c r="A1586" s="13" t="s">
        <v>3</v>
      </c>
      <c r="B1586" s="14" t="s">
        <v>4</v>
      </c>
      <c r="C1586" s="14" t="s">
        <v>5</v>
      </c>
      <c r="D1586" s="101" t="s">
        <v>6</v>
      </c>
      <c r="E1586" s="16" t="s">
        <v>7</v>
      </c>
      <c r="F1586" s="17" t="s">
        <v>8</v>
      </c>
      <c r="G1586" s="14" t="s">
        <v>9</v>
      </c>
      <c r="H1586" s="15" t="s">
        <v>10</v>
      </c>
      <c r="I1586" s="14" t="s">
        <v>11</v>
      </c>
      <c r="J1586" s="15" t="s">
        <v>12</v>
      </c>
      <c r="K1586" s="14" t="s">
        <v>13</v>
      </c>
      <c r="L1586" s="14" t="s">
        <v>14</v>
      </c>
      <c r="M1586" s="579" t="s">
        <v>15</v>
      </c>
      <c r="N1586" s="577"/>
      <c r="O1586" s="1"/>
      <c r="P1586" s="3"/>
      <c r="Q1586" s="1"/>
      <c r="R1586" s="1"/>
      <c r="S1586" s="1"/>
      <c r="T1586" s="1"/>
      <c r="U1586" s="4"/>
    </row>
    <row r="1587" spans="1:21" ht="18.75" hidden="1" customHeight="1">
      <c r="A1587" s="28"/>
      <c r="B1587" s="29"/>
      <c r="C1587" s="29"/>
      <c r="D1587" s="21"/>
      <c r="E1587" s="27"/>
      <c r="F1587" s="31">
        <f t="shared" ref="F1587:F1594" si="765">IF(D1587="no",E1587,E1587/1.1)</f>
        <v>0</v>
      </c>
      <c r="G1587" s="27">
        <f t="shared" ref="G1587:G1594" si="766">IF(D1587="no",0,F1587*0.1)</f>
        <v>0</v>
      </c>
      <c r="H1587" s="32">
        <f>IF(D1587="no",0,F1587*H1585)</f>
        <v>0</v>
      </c>
      <c r="I1587" s="33">
        <f t="shared" ref="I1587:I1594" si="767">IF(D1587="no",0,H1587*3.3%)</f>
        <v>0</v>
      </c>
      <c r="J1587" s="26"/>
      <c r="K1587" s="27">
        <f t="shared" ref="K1587:K1594" si="768">IF(D1587="no",0,H1587-I1587-J1587)</f>
        <v>0</v>
      </c>
      <c r="L1587" s="27">
        <f>IF(D1587="no",F1587*H1585-J1587,0)</f>
        <v>0</v>
      </c>
      <c r="M1587" s="582"/>
      <c r="N1587" s="581"/>
      <c r="O1587" s="1"/>
      <c r="P1587" s="3"/>
      <c r="Q1587" s="1"/>
      <c r="R1587" s="1"/>
      <c r="S1587" s="1"/>
      <c r="T1587" s="1"/>
      <c r="U1587" s="4"/>
    </row>
    <row r="1588" spans="1:21" ht="18.75" hidden="1" customHeight="1">
      <c r="A1588" s="28"/>
      <c r="B1588" s="29"/>
      <c r="C1588" s="29"/>
      <c r="D1588" s="38"/>
      <c r="E1588" s="27"/>
      <c r="F1588" s="31">
        <f t="shared" si="765"/>
        <v>0</v>
      </c>
      <c r="G1588" s="27">
        <f t="shared" si="766"/>
        <v>0</v>
      </c>
      <c r="H1588" s="32">
        <f>IF(D1588="no",0,F1588*H1585)</f>
        <v>0</v>
      </c>
      <c r="I1588" s="33">
        <f t="shared" si="767"/>
        <v>0</v>
      </c>
      <c r="J1588" s="26"/>
      <c r="K1588" s="27">
        <f t="shared" si="768"/>
        <v>0</v>
      </c>
      <c r="L1588" s="27">
        <f>IF(D1588="no",F1588*H1585-J1588,0)</f>
        <v>0</v>
      </c>
      <c r="M1588" s="572"/>
      <c r="N1588" s="564"/>
      <c r="O1588" s="1"/>
      <c r="P1588" s="3"/>
      <c r="Q1588" s="1"/>
      <c r="R1588" s="1"/>
      <c r="S1588" s="1"/>
      <c r="T1588" s="1"/>
      <c r="U1588" s="4"/>
    </row>
    <row r="1589" spans="1:21" ht="18.75" hidden="1" customHeight="1">
      <c r="A1589" s="39"/>
      <c r="B1589" s="127"/>
      <c r="C1589" s="29"/>
      <c r="D1589" s="95"/>
      <c r="E1589" s="102"/>
      <c r="F1589" s="31">
        <f t="shared" si="765"/>
        <v>0</v>
      </c>
      <c r="G1589" s="27">
        <f t="shared" si="766"/>
        <v>0</v>
      </c>
      <c r="H1589" s="32">
        <f>IF(D1589="no",0,F1589*H1585)</f>
        <v>0</v>
      </c>
      <c r="I1589" s="33">
        <f t="shared" si="767"/>
        <v>0</v>
      </c>
      <c r="J1589" s="26"/>
      <c r="K1589" s="27">
        <f t="shared" si="768"/>
        <v>0</v>
      </c>
      <c r="L1589" s="27">
        <f>IF(D1589="no",F1589*H1585-J1589,0)</f>
        <v>0</v>
      </c>
      <c r="M1589" s="563"/>
      <c r="N1589" s="564"/>
      <c r="O1589" s="1"/>
      <c r="P1589" s="1"/>
      <c r="Q1589" s="1"/>
      <c r="R1589" s="1"/>
      <c r="S1589" s="1"/>
      <c r="T1589" s="1"/>
      <c r="U1589" s="4"/>
    </row>
    <row r="1590" spans="1:21" ht="18.75" hidden="1" customHeight="1">
      <c r="A1590" s="39"/>
      <c r="B1590" s="29"/>
      <c r="C1590" s="29"/>
      <c r="D1590" s="38"/>
      <c r="E1590" s="27"/>
      <c r="F1590" s="31">
        <f t="shared" si="765"/>
        <v>0</v>
      </c>
      <c r="G1590" s="27">
        <f t="shared" si="766"/>
        <v>0</v>
      </c>
      <c r="H1590" s="32">
        <f>IF(D1590="no",0,F1590*H1585)</f>
        <v>0</v>
      </c>
      <c r="I1590" s="33">
        <f t="shared" si="767"/>
        <v>0</v>
      </c>
      <c r="J1590" s="26"/>
      <c r="K1590" s="27">
        <f t="shared" si="768"/>
        <v>0</v>
      </c>
      <c r="L1590" s="27">
        <f>IF(D1590="no",F1590*H1585-J1590,0)</f>
        <v>0</v>
      </c>
      <c r="M1590" s="572"/>
      <c r="N1590" s="564"/>
      <c r="O1590" s="1"/>
      <c r="P1590" s="1"/>
      <c r="Q1590" s="1"/>
      <c r="R1590" s="1"/>
      <c r="S1590" s="1"/>
      <c r="T1590" s="1"/>
      <c r="U1590" s="4"/>
    </row>
    <row r="1591" spans="1:21" ht="18.75" hidden="1" customHeight="1">
      <c r="A1591" s="28"/>
      <c r="B1591" s="29"/>
      <c r="C1591" s="30"/>
      <c r="D1591" s="38"/>
      <c r="E1591" s="27"/>
      <c r="F1591" s="31">
        <f t="shared" si="765"/>
        <v>0</v>
      </c>
      <c r="G1591" s="27">
        <f t="shared" si="766"/>
        <v>0</v>
      </c>
      <c r="H1591" s="32">
        <f>IF(D1591="no",0,F1591*H1585)</f>
        <v>0</v>
      </c>
      <c r="I1591" s="33">
        <f t="shared" si="767"/>
        <v>0</v>
      </c>
      <c r="J1591" s="26"/>
      <c r="K1591" s="27">
        <f t="shared" si="768"/>
        <v>0</v>
      </c>
      <c r="L1591" s="27">
        <f t="shared" ref="L1591:L1594" si="769">IF(D1591="no",F1591*H1585-J1591,0)</f>
        <v>0</v>
      </c>
      <c r="M1591" s="563"/>
      <c r="N1591" s="564"/>
      <c r="O1591" s="1"/>
      <c r="P1591" s="1"/>
      <c r="Q1591" s="1"/>
      <c r="R1591" s="1"/>
      <c r="S1591" s="1"/>
      <c r="T1591" s="1"/>
      <c r="U1591" s="4"/>
    </row>
    <row r="1592" spans="1:21" ht="18.75" hidden="1" customHeight="1">
      <c r="A1592" s="28"/>
      <c r="B1592" s="29"/>
      <c r="C1592" s="30"/>
      <c r="D1592" s="322"/>
      <c r="E1592" s="27"/>
      <c r="F1592" s="31">
        <f t="shared" si="765"/>
        <v>0</v>
      </c>
      <c r="G1592" s="27">
        <f t="shared" si="766"/>
        <v>0</v>
      </c>
      <c r="H1592" s="32">
        <f>IF(D1592="no",0,F1592*H1585)</f>
        <v>0</v>
      </c>
      <c r="I1592" s="33">
        <f t="shared" si="767"/>
        <v>0</v>
      </c>
      <c r="J1592" s="26"/>
      <c r="K1592" s="27">
        <f t="shared" si="768"/>
        <v>0</v>
      </c>
      <c r="L1592" s="27">
        <f t="shared" si="769"/>
        <v>0</v>
      </c>
      <c r="M1592" s="572"/>
      <c r="N1592" s="564"/>
      <c r="O1592" s="1"/>
      <c r="P1592" s="1"/>
      <c r="Q1592" s="1"/>
      <c r="R1592" s="1"/>
      <c r="S1592" s="1"/>
      <c r="T1592" s="1"/>
      <c r="U1592" s="4"/>
    </row>
    <row r="1593" spans="1:21" ht="18.75" hidden="1" customHeight="1">
      <c r="A1593" s="28"/>
      <c r="B1593" s="29"/>
      <c r="C1593" s="30"/>
      <c r="D1593" s="322"/>
      <c r="E1593" s="27"/>
      <c r="F1593" s="31">
        <f t="shared" si="765"/>
        <v>0</v>
      </c>
      <c r="G1593" s="27">
        <f t="shared" si="766"/>
        <v>0</v>
      </c>
      <c r="H1593" s="32">
        <f>IF(D1593="no",0,F1593*H1585)</f>
        <v>0</v>
      </c>
      <c r="I1593" s="33">
        <f t="shared" si="767"/>
        <v>0</v>
      </c>
      <c r="J1593" s="26"/>
      <c r="K1593" s="27">
        <f t="shared" si="768"/>
        <v>0</v>
      </c>
      <c r="L1593" s="27">
        <f t="shared" si="769"/>
        <v>0</v>
      </c>
      <c r="M1593" s="94"/>
      <c r="N1593" s="95"/>
      <c r="O1593" s="1"/>
      <c r="P1593" s="1"/>
      <c r="Q1593" s="1"/>
      <c r="R1593" s="1"/>
      <c r="S1593" s="1"/>
      <c r="T1593" s="1"/>
      <c r="U1593" s="4"/>
    </row>
    <row r="1594" spans="1:21" ht="18.75" hidden="1" customHeight="1">
      <c r="A1594" s="28"/>
      <c r="B1594" s="29"/>
      <c r="C1594" s="30"/>
      <c r="D1594" s="38"/>
      <c r="E1594" s="27"/>
      <c r="F1594" s="31">
        <f t="shared" si="765"/>
        <v>0</v>
      </c>
      <c r="G1594" s="27">
        <f t="shared" si="766"/>
        <v>0</v>
      </c>
      <c r="H1594" s="32">
        <f>IF(D1594="no",0,F1594*H1585)</f>
        <v>0</v>
      </c>
      <c r="I1594" s="33">
        <f t="shared" si="767"/>
        <v>0</v>
      </c>
      <c r="J1594" s="26"/>
      <c r="K1594" s="27">
        <f t="shared" si="768"/>
        <v>0</v>
      </c>
      <c r="L1594" s="27">
        <f t="shared" si="769"/>
        <v>0</v>
      </c>
      <c r="M1594" s="94"/>
      <c r="N1594" s="95"/>
      <c r="O1594" s="1"/>
      <c r="P1594" s="3"/>
      <c r="Q1594" s="1"/>
      <c r="R1594" s="1"/>
      <c r="S1594" s="1"/>
      <c r="T1594" s="1"/>
      <c r="U1594" s="4"/>
    </row>
    <row r="1595" spans="1:21" ht="18.75" hidden="1" customHeight="1">
      <c r="A1595" s="28"/>
      <c r="B1595" s="29"/>
      <c r="C1595" s="30"/>
      <c r="D1595" s="38"/>
      <c r="E1595" s="27"/>
      <c r="F1595" s="31">
        <f t="shared" ref="F1595:F1598" si="770">IF(D1595="no",E1595,E1595/1.1)</f>
        <v>0</v>
      </c>
      <c r="G1595" s="27">
        <f t="shared" ref="G1595:G1598" si="771">IF(D1595="no",0,F1595*0.1)</f>
        <v>0</v>
      </c>
      <c r="H1595" s="32">
        <f>IF(D1595="no",0,F1595*H1585)</f>
        <v>0</v>
      </c>
      <c r="I1595" s="33">
        <f t="shared" ref="I1595:I1598" si="772">IF(D1595="no",0,H1595*3.3%)</f>
        <v>0</v>
      </c>
      <c r="J1595" s="26"/>
      <c r="K1595" s="27">
        <f t="shared" ref="K1595:K1598" si="773">IF(D1595="no",0,H1595-I1595-J1595)</f>
        <v>0</v>
      </c>
      <c r="L1595" s="27">
        <f>IF(D1595="no",F1595*H1585-J1595,0)</f>
        <v>0</v>
      </c>
      <c r="M1595" s="563"/>
      <c r="N1595" s="564"/>
      <c r="O1595" s="1"/>
      <c r="P1595" s="3"/>
      <c r="Q1595" s="1"/>
      <c r="R1595" s="1"/>
      <c r="S1595" s="1"/>
      <c r="T1595" s="1"/>
      <c r="U1595" s="4"/>
    </row>
    <row r="1596" spans="1:21" ht="18.75" hidden="1" customHeight="1">
      <c r="A1596" s="39" t="s">
        <v>435</v>
      </c>
      <c r="B1596" s="29" t="s">
        <v>35</v>
      </c>
      <c r="C1596" s="30"/>
      <c r="D1596" s="38"/>
      <c r="E1596" s="27"/>
      <c r="F1596" s="31">
        <f t="shared" si="770"/>
        <v>0</v>
      </c>
      <c r="G1596" s="27">
        <f t="shared" si="771"/>
        <v>0</v>
      </c>
      <c r="H1596" s="32">
        <f>IF(D1596="no",0,F1596*H1585)</f>
        <v>0</v>
      </c>
      <c r="I1596" s="33">
        <f t="shared" si="772"/>
        <v>0</v>
      </c>
      <c r="J1596" s="26"/>
      <c r="K1596" s="27">
        <f t="shared" si="773"/>
        <v>0</v>
      </c>
      <c r="L1596" s="27">
        <f>IF(D1596="no",F1596*H1585-J1596,0)</f>
        <v>0</v>
      </c>
      <c r="M1596" s="572"/>
      <c r="N1596" s="564"/>
      <c r="O1596" s="1"/>
      <c r="P1596" s="3"/>
      <c r="Q1596" s="1"/>
      <c r="R1596" s="1"/>
      <c r="S1596" s="1"/>
      <c r="T1596" s="1"/>
      <c r="U1596" s="4"/>
    </row>
    <row r="1597" spans="1:21" ht="18.75" hidden="1" customHeight="1">
      <c r="A1597" s="39" t="s">
        <v>435</v>
      </c>
      <c r="B1597" s="29" t="s">
        <v>61</v>
      </c>
      <c r="C1597" s="30"/>
      <c r="D1597" s="38"/>
      <c r="E1597" s="27"/>
      <c r="F1597" s="31">
        <f t="shared" si="770"/>
        <v>0</v>
      </c>
      <c r="G1597" s="27">
        <f t="shared" si="771"/>
        <v>0</v>
      </c>
      <c r="H1597" s="32">
        <f>IF(D1597="no",0,F1597*H1585)</f>
        <v>0</v>
      </c>
      <c r="I1597" s="33">
        <f t="shared" si="772"/>
        <v>0</v>
      </c>
      <c r="J1597" s="26"/>
      <c r="K1597" s="27">
        <f t="shared" si="773"/>
        <v>0</v>
      </c>
      <c r="L1597" s="27">
        <f>IF(D1597="no",F1597*H1585-J1597,0)</f>
        <v>0</v>
      </c>
      <c r="M1597" s="563"/>
      <c r="N1597" s="564"/>
      <c r="O1597" s="1"/>
      <c r="P1597" s="3"/>
      <c r="Q1597" s="1"/>
      <c r="R1597" s="1"/>
      <c r="S1597" s="1"/>
      <c r="T1597" s="1"/>
      <c r="U1597" s="4"/>
    </row>
    <row r="1598" spans="1:21" ht="18.75" hidden="1" customHeight="1">
      <c r="A1598" s="39" t="s">
        <v>435</v>
      </c>
      <c r="B1598" s="29" t="s">
        <v>37</v>
      </c>
      <c r="C1598" s="30"/>
      <c r="D1598" s="21"/>
      <c r="E1598" s="27"/>
      <c r="F1598" s="31">
        <f t="shared" si="770"/>
        <v>0</v>
      </c>
      <c r="G1598" s="27">
        <f t="shared" si="771"/>
        <v>0</v>
      </c>
      <c r="H1598" s="37"/>
      <c r="I1598" s="33">
        <f t="shared" si="772"/>
        <v>0</v>
      </c>
      <c r="J1598" s="26"/>
      <c r="K1598" s="27">
        <f t="shared" si="773"/>
        <v>0</v>
      </c>
      <c r="L1598" s="27"/>
      <c r="M1598" s="584"/>
      <c r="N1598" s="564"/>
      <c r="O1598" s="1"/>
      <c r="P1598" s="3"/>
      <c r="Q1598" s="1"/>
      <c r="R1598" s="1"/>
      <c r="S1598" s="1"/>
      <c r="T1598" s="1"/>
      <c r="U1598" s="4"/>
    </row>
    <row r="1599" spans="1:21" ht="18.75" hidden="1" customHeight="1">
      <c r="A1599" s="575" t="s">
        <v>42</v>
      </c>
      <c r="B1599" s="576"/>
      <c r="C1599" s="576"/>
      <c r="D1599" s="577"/>
      <c r="E1599" s="42">
        <f t="shared" ref="E1599:L1599" si="774">SUM(E1587:E1598)</f>
        <v>0</v>
      </c>
      <c r="F1599" s="17">
        <f t="shared" si="774"/>
        <v>0</v>
      </c>
      <c r="G1599" s="42">
        <f t="shared" si="774"/>
        <v>0</v>
      </c>
      <c r="H1599" s="43">
        <f t="shared" si="774"/>
        <v>0</v>
      </c>
      <c r="I1599" s="42">
        <f t="shared" si="774"/>
        <v>0</v>
      </c>
      <c r="J1599" s="43">
        <f t="shared" si="774"/>
        <v>0</v>
      </c>
      <c r="K1599" s="42">
        <f t="shared" si="774"/>
        <v>0</v>
      </c>
      <c r="L1599" s="42">
        <f t="shared" si="774"/>
        <v>0</v>
      </c>
      <c r="M1599" s="44"/>
      <c r="N1599" s="45"/>
      <c r="O1599" s="1"/>
      <c r="P1599" s="3"/>
      <c r="Q1599" s="1"/>
      <c r="R1599" s="1"/>
      <c r="S1599" s="1"/>
      <c r="T1599" s="1"/>
      <c r="U1599" s="4"/>
    </row>
    <row r="1600" spans="1:21" ht="18.75" hidden="1" customHeight="1">
      <c r="A1600" s="46" t="s">
        <v>37</v>
      </c>
      <c r="B1600" s="47" t="s">
        <v>132</v>
      </c>
      <c r="C1600" s="48">
        <f>D1585</f>
        <v>0</v>
      </c>
      <c r="D1600" s="47" t="s">
        <v>44</v>
      </c>
      <c r="E1600" s="49"/>
      <c r="F1600" s="84"/>
      <c r="G1600" s="85"/>
      <c r="H1600" s="49"/>
      <c r="I1600" s="53" t="s">
        <v>46</v>
      </c>
      <c r="J1600" s="54"/>
      <c r="K1600" s="50"/>
      <c r="L1600" s="55"/>
      <c r="M1600" s="63"/>
      <c r="N1600" s="351"/>
      <c r="O1600" s="1"/>
      <c r="P1600" s="3"/>
      <c r="Q1600" s="1"/>
      <c r="R1600" s="1"/>
      <c r="S1600" s="1"/>
      <c r="T1600" s="1"/>
      <c r="U1600" s="4"/>
    </row>
    <row r="1601" spans="1:21" ht="18.75" hidden="1" customHeight="1" thickBot="1">
      <c r="A1601" s="56" t="s">
        <v>48</v>
      </c>
      <c r="B1601" s="57" t="s">
        <v>133</v>
      </c>
      <c r="C1601" s="58">
        <f>ROUND(F1599/10000,0)</f>
        <v>0</v>
      </c>
      <c r="D1601" s="57" t="s">
        <v>50</v>
      </c>
      <c r="E1601" s="52"/>
      <c r="F1601" s="86"/>
      <c r="G1601" s="87"/>
      <c r="H1601" s="52"/>
      <c r="I1601" s="59"/>
      <c r="J1601" s="61"/>
      <c r="K1601" s="59"/>
      <c r="L1601" s="62"/>
      <c r="M1601" s="63"/>
      <c r="N1601" s="64"/>
      <c r="O1601" s="1"/>
      <c r="P1601" s="3"/>
      <c r="Q1601" s="1"/>
      <c r="R1601" s="1"/>
      <c r="S1601" s="1"/>
      <c r="T1601" s="1"/>
      <c r="U1601" s="4"/>
    </row>
    <row r="1602" spans="1:21" ht="18.75" hidden="1" customHeight="1" thickBot="1">
      <c r="A1602" s="566" t="s">
        <v>52</v>
      </c>
      <c r="B1602" s="567"/>
      <c r="C1602" s="567"/>
      <c r="D1602" s="568"/>
      <c r="E1602" s="65"/>
      <c r="F1602" s="569" t="s">
        <v>53</v>
      </c>
      <c r="G1602" s="568"/>
      <c r="H1602" s="66">
        <f>H1599-J1600</f>
        <v>0</v>
      </c>
      <c r="I1602" s="67">
        <f>H1602*3.3%</f>
        <v>0</v>
      </c>
      <c r="J1602" s="68">
        <f>SUM(J1597)</f>
        <v>0</v>
      </c>
      <c r="K1602" s="69">
        <f>H1602-I1602</f>
        <v>0</v>
      </c>
      <c r="L1602" s="70">
        <f>L1599+SUM(H1600:H1601)+J1601</f>
        <v>0</v>
      </c>
      <c r="M1602" s="570">
        <f>K1602+L1602</f>
        <v>0</v>
      </c>
      <c r="N1602" s="571"/>
      <c r="O1602" s="1"/>
      <c r="P1602" s="3"/>
      <c r="Q1602" s="1"/>
      <c r="R1602" s="1"/>
      <c r="S1602" s="1"/>
      <c r="T1602" s="1"/>
      <c r="U1602" s="4"/>
    </row>
    <row r="1603" spans="1:21" ht="18.75" customHeight="1">
      <c r="A1603" s="158"/>
      <c r="B1603" s="158"/>
      <c r="C1603" s="158"/>
      <c r="D1603" s="158"/>
      <c r="E1603" s="97"/>
      <c r="F1603" s="97"/>
      <c r="G1603" s="97"/>
      <c r="H1603" s="93"/>
      <c r="I1603" s="97"/>
      <c r="J1603" s="97"/>
      <c r="K1603" s="159"/>
      <c r="L1603" s="159"/>
      <c r="M1603" s="160"/>
      <c r="N1603" s="160"/>
      <c r="O1603" s="1"/>
      <c r="P1603" s="3"/>
      <c r="Q1603" s="1"/>
      <c r="R1603" s="1"/>
      <c r="S1603" s="1"/>
      <c r="T1603" s="1"/>
      <c r="U1603" s="4"/>
    </row>
    <row r="1604" spans="1:21" ht="18.75" customHeight="1">
      <c r="A1604" s="6" t="s">
        <v>162</v>
      </c>
      <c r="B1604" s="7" t="str">
        <f>$B$34</f>
        <v>1월</v>
      </c>
      <c r="C1604" s="8" t="s">
        <v>1</v>
      </c>
      <c r="D1604" s="9">
        <f>COUNTIF($C1606:$C1617,"계약")+(COUNTIF($C1606:$C1617,"계약2")*2)</f>
        <v>1</v>
      </c>
      <c r="E1604" s="3">
        <f>COUNTIF(C1606:C1617,"낙찰수수료")</f>
        <v>1</v>
      </c>
      <c r="F1604" s="3"/>
      <c r="G1604" s="89" t="s">
        <v>163</v>
      </c>
      <c r="H1604" s="11">
        <v>0.5</v>
      </c>
      <c r="I1604" s="12">
        <v>3.3000000000000002E-2</v>
      </c>
      <c r="J1604" s="1"/>
      <c r="K1604" s="1"/>
      <c r="L1604" s="1"/>
      <c r="M1604" s="1"/>
      <c r="N1604" s="1"/>
      <c r="O1604" s="1"/>
      <c r="P1604" s="3"/>
      <c r="Q1604" s="1"/>
      <c r="R1604" s="1"/>
      <c r="S1604" s="1"/>
      <c r="T1604" s="1"/>
      <c r="U1604" s="4"/>
    </row>
    <row r="1605" spans="1:21" ht="18.75" customHeight="1">
      <c r="A1605" s="13" t="s">
        <v>3</v>
      </c>
      <c r="B1605" s="14" t="s">
        <v>4</v>
      </c>
      <c r="C1605" s="14" t="s">
        <v>5</v>
      </c>
      <c r="D1605" s="101" t="s">
        <v>6</v>
      </c>
      <c r="E1605" s="16" t="s">
        <v>7</v>
      </c>
      <c r="F1605" s="17" t="s">
        <v>8</v>
      </c>
      <c r="G1605" s="14" t="s">
        <v>9</v>
      </c>
      <c r="H1605" s="15" t="s">
        <v>10</v>
      </c>
      <c r="I1605" s="14" t="s">
        <v>11</v>
      </c>
      <c r="J1605" s="15" t="s">
        <v>12</v>
      </c>
      <c r="K1605" s="14" t="s">
        <v>13</v>
      </c>
      <c r="L1605" s="14" t="s">
        <v>14</v>
      </c>
      <c r="M1605" s="579" t="s">
        <v>15</v>
      </c>
      <c r="N1605" s="577"/>
      <c r="O1605" s="1"/>
      <c r="P1605" s="3"/>
      <c r="Q1605" s="1"/>
      <c r="R1605" s="1"/>
      <c r="S1605" s="1"/>
      <c r="T1605" s="1"/>
      <c r="U1605" s="4"/>
    </row>
    <row r="1606" spans="1:21" ht="18.75" customHeight="1">
      <c r="A1606" s="28">
        <v>46036</v>
      </c>
      <c r="B1606" s="29" t="s">
        <v>761</v>
      </c>
      <c r="C1606" s="29" t="s">
        <v>56</v>
      </c>
      <c r="D1606" s="38"/>
      <c r="E1606" s="27">
        <v>7810000</v>
      </c>
      <c r="F1606" s="31">
        <f t="shared" ref="F1606:F1617" si="775">IF(D1606="no",E1606,E1606/1.1)</f>
        <v>7099999.9999999991</v>
      </c>
      <c r="G1606" s="27">
        <f t="shared" ref="G1606:G1617" si="776">IF(D1606="no",0,F1606*0.1)</f>
        <v>710000</v>
      </c>
      <c r="H1606" s="32">
        <f>IF(D1606="no",0,F1606*H1604)</f>
        <v>3549999.9999999995</v>
      </c>
      <c r="I1606" s="33">
        <f t="shared" ref="I1606:I1617" si="777">IF(D1606="no",0,H1606*3.3%)</f>
        <v>117149.99999999999</v>
      </c>
      <c r="J1606" s="26"/>
      <c r="K1606" s="27">
        <f t="shared" ref="K1606:K1617" si="778">IF(D1606="no",0,H1606-I1606-J1606)</f>
        <v>3432849.9999999995</v>
      </c>
      <c r="L1606" s="27">
        <f>IF(D1606="no",F1606*H1604-J1606,0)</f>
        <v>0</v>
      </c>
      <c r="M1606" s="582"/>
      <c r="N1606" s="581"/>
      <c r="O1606" s="1"/>
      <c r="P1606" s="3"/>
      <c r="Q1606" s="1"/>
      <c r="R1606" s="1"/>
      <c r="S1606" s="1"/>
      <c r="T1606" s="1"/>
      <c r="U1606" s="4"/>
    </row>
    <row r="1607" spans="1:21" ht="18.75" customHeight="1">
      <c r="A1607" s="28">
        <v>46037</v>
      </c>
      <c r="B1607" s="29" t="s">
        <v>762</v>
      </c>
      <c r="C1607" s="29" t="s">
        <v>760</v>
      </c>
      <c r="D1607" s="38"/>
      <c r="E1607" s="27">
        <v>1100000</v>
      </c>
      <c r="F1607" s="31">
        <f t="shared" si="775"/>
        <v>999999.99999999988</v>
      </c>
      <c r="G1607" s="27">
        <f t="shared" si="776"/>
        <v>100000</v>
      </c>
      <c r="H1607" s="32">
        <f>IF(D1607="no",0,F1607*H1604)</f>
        <v>499999.99999999994</v>
      </c>
      <c r="I1607" s="33">
        <f t="shared" si="777"/>
        <v>16500</v>
      </c>
      <c r="J1607" s="26"/>
      <c r="K1607" s="27">
        <f t="shared" si="778"/>
        <v>483499.99999999994</v>
      </c>
      <c r="L1607" s="27">
        <f>IF(D1607="no",F1607*H1604-J1607,0)</f>
        <v>0</v>
      </c>
      <c r="M1607" s="572"/>
      <c r="N1607" s="564"/>
      <c r="O1607" s="1"/>
      <c r="P1607" s="3"/>
      <c r="Q1607" s="1"/>
      <c r="R1607" s="1"/>
      <c r="S1607" s="1"/>
      <c r="T1607" s="1"/>
      <c r="U1607" s="4"/>
    </row>
    <row r="1608" spans="1:21" ht="18.75" hidden="1" customHeight="1">
      <c r="A1608" s="28"/>
      <c r="B1608" s="29"/>
      <c r="C1608" s="29"/>
      <c r="D1608" s="38"/>
      <c r="E1608" s="27"/>
      <c r="F1608" s="31">
        <f t="shared" si="775"/>
        <v>0</v>
      </c>
      <c r="G1608" s="27">
        <f t="shared" si="776"/>
        <v>0</v>
      </c>
      <c r="H1608" s="32">
        <f>IF(D1608="no",0,F1608*H1604)</f>
        <v>0</v>
      </c>
      <c r="I1608" s="33">
        <f t="shared" si="777"/>
        <v>0</v>
      </c>
      <c r="J1608" s="26"/>
      <c r="K1608" s="27">
        <f t="shared" si="778"/>
        <v>0</v>
      </c>
      <c r="L1608" s="27">
        <f>IF(D1608="no",F1608*H1604-J1608,0)</f>
        <v>0</v>
      </c>
      <c r="M1608" s="563"/>
      <c r="N1608" s="564"/>
      <c r="O1608" s="1"/>
      <c r="P1608" s="3"/>
      <c r="Q1608" s="1"/>
      <c r="R1608" s="1"/>
      <c r="S1608" s="1"/>
      <c r="T1608" s="1"/>
      <c r="U1608" s="4"/>
    </row>
    <row r="1609" spans="1:21" ht="18.75" hidden="1" customHeight="1">
      <c r="A1609" s="28"/>
      <c r="B1609" s="29"/>
      <c r="C1609" s="29"/>
      <c r="D1609" s="38"/>
      <c r="E1609" s="27"/>
      <c r="F1609" s="31">
        <f t="shared" si="775"/>
        <v>0</v>
      </c>
      <c r="G1609" s="27">
        <f t="shared" si="776"/>
        <v>0</v>
      </c>
      <c r="H1609" s="32">
        <f>IF(D1609="no",0,F1609*H1604)</f>
        <v>0</v>
      </c>
      <c r="I1609" s="33">
        <f t="shared" si="777"/>
        <v>0</v>
      </c>
      <c r="J1609" s="26"/>
      <c r="K1609" s="27">
        <f t="shared" si="778"/>
        <v>0</v>
      </c>
      <c r="L1609" s="27">
        <f>IF(D1609="no",F1609*H1604-J1609,0)</f>
        <v>0</v>
      </c>
      <c r="M1609" s="572"/>
      <c r="N1609" s="564"/>
      <c r="O1609" s="1"/>
      <c r="P1609" s="3"/>
      <c r="Q1609" s="1"/>
      <c r="R1609" s="1"/>
      <c r="S1609" s="1"/>
      <c r="T1609" s="1"/>
      <c r="U1609" s="4"/>
    </row>
    <row r="1610" spans="1:21" ht="18.75" hidden="1" customHeight="1">
      <c r="A1610" s="28"/>
      <c r="B1610" s="29"/>
      <c r="C1610" s="29"/>
      <c r="D1610" s="38"/>
      <c r="E1610" s="27"/>
      <c r="F1610" s="31">
        <f t="shared" si="775"/>
        <v>0</v>
      </c>
      <c r="G1610" s="27">
        <f t="shared" si="776"/>
        <v>0</v>
      </c>
      <c r="H1610" s="32">
        <f>IF(D1610="no",0,F1610*H1604)</f>
        <v>0</v>
      </c>
      <c r="I1610" s="33">
        <f t="shared" si="777"/>
        <v>0</v>
      </c>
      <c r="J1610" s="26"/>
      <c r="K1610" s="27">
        <f t="shared" si="778"/>
        <v>0</v>
      </c>
      <c r="L1610" s="27">
        <f t="shared" ref="L1610" si="779">IF(D1610="no",F1610*H1604-J1610,0)</f>
        <v>0</v>
      </c>
      <c r="M1610" s="563"/>
      <c r="N1610" s="564"/>
      <c r="O1610" s="1"/>
      <c r="P1610" s="3"/>
      <c r="Q1610" s="1"/>
      <c r="R1610" s="1"/>
      <c r="S1610" s="1"/>
      <c r="T1610" s="1"/>
      <c r="U1610" s="4"/>
    </row>
    <row r="1611" spans="1:21" ht="18.75" hidden="1" customHeight="1">
      <c r="A1611" s="28"/>
      <c r="B1611" s="29"/>
      <c r="C1611" s="29"/>
      <c r="D1611" s="38"/>
      <c r="E1611" s="27"/>
      <c r="F1611" s="31">
        <f t="shared" si="775"/>
        <v>0</v>
      </c>
      <c r="G1611" s="27">
        <f t="shared" si="776"/>
        <v>0</v>
      </c>
      <c r="H1611" s="32">
        <f>IF(D1611="no",0,F1611*H1604)</f>
        <v>0</v>
      </c>
      <c r="I1611" s="33">
        <f t="shared" si="777"/>
        <v>0</v>
      </c>
      <c r="J1611" s="26"/>
      <c r="K1611" s="27">
        <f t="shared" si="778"/>
        <v>0</v>
      </c>
      <c r="L1611" s="27"/>
      <c r="M1611" s="572"/>
      <c r="N1611" s="564"/>
      <c r="O1611" s="1"/>
      <c r="P1611" s="3"/>
      <c r="Q1611" s="1"/>
      <c r="R1611" s="1"/>
      <c r="S1611" s="1"/>
      <c r="T1611" s="1"/>
      <c r="U1611" s="4"/>
    </row>
    <row r="1612" spans="1:21" ht="18.75" hidden="1" customHeight="1">
      <c r="A1612" s="28"/>
      <c r="B1612" s="29"/>
      <c r="C1612" s="30"/>
      <c r="D1612" s="38"/>
      <c r="E1612" s="27"/>
      <c r="F1612" s="31">
        <f t="shared" si="775"/>
        <v>0</v>
      </c>
      <c r="G1612" s="27">
        <f t="shared" si="776"/>
        <v>0</v>
      </c>
      <c r="H1612" s="32">
        <f>IF(D1612="no",0,F1612*H1604)</f>
        <v>0</v>
      </c>
      <c r="I1612" s="33">
        <f t="shared" si="777"/>
        <v>0</v>
      </c>
      <c r="J1612" s="26"/>
      <c r="K1612" s="27">
        <f t="shared" si="778"/>
        <v>0</v>
      </c>
      <c r="L1612" s="27"/>
      <c r="M1612" s="607"/>
      <c r="N1612" s="564"/>
      <c r="O1612" s="1"/>
      <c r="P1612" s="3"/>
      <c r="Q1612" s="1"/>
      <c r="R1612" s="1"/>
      <c r="S1612" s="1"/>
      <c r="T1612" s="1"/>
      <c r="U1612" s="4"/>
    </row>
    <row r="1613" spans="1:21" ht="18.75" customHeight="1">
      <c r="A1613" s="28"/>
      <c r="B1613" s="29"/>
      <c r="C1613" s="30"/>
      <c r="D1613" s="38"/>
      <c r="E1613" s="27"/>
      <c r="F1613" s="31">
        <f t="shared" si="775"/>
        <v>0</v>
      </c>
      <c r="G1613" s="27">
        <f t="shared" si="776"/>
        <v>0</v>
      </c>
      <c r="H1613" s="32">
        <f>IF(D1613="no",0,F1613*H1604)</f>
        <v>0</v>
      </c>
      <c r="I1613" s="33">
        <f t="shared" si="777"/>
        <v>0</v>
      </c>
      <c r="J1613" s="26"/>
      <c r="K1613" s="27">
        <f t="shared" si="778"/>
        <v>0</v>
      </c>
      <c r="L1613" s="27">
        <f>IF(D1613="no",F1613*H1604-J1613,0)</f>
        <v>0</v>
      </c>
      <c r="M1613" s="572"/>
      <c r="N1613" s="564"/>
      <c r="O1613" s="1"/>
      <c r="P1613" s="3"/>
      <c r="Q1613" s="1"/>
      <c r="R1613" s="1"/>
      <c r="S1613" s="1"/>
      <c r="T1613" s="1"/>
      <c r="U1613" s="4"/>
    </row>
    <row r="1614" spans="1:21" ht="18.75" customHeight="1">
      <c r="A1614" s="39" t="s">
        <v>616</v>
      </c>
      <c r="B1614" s="29" t="s">
        <v>35</v>
      </c>
      <c r="C1614" s="30"/>
      <c r="D1614" s="38"/>
      <c r="E1614" s="27"/>
      <c r="F1614" s="31">
        <f t="shared" si="775"/>
        <v>0</v>
      </c>
      <c r="G1614" s="27">
        <f t="shared" si="776"/>
        <v>0</v>
      </c>
      <c r="H1614" s="32">
        <v>0</v>
      </c>
      <c r="I1614" s="33">
        <f t="shared" si="777"/>
        <v>0</v>
      </c>
      <c r="J1614" s="26"/>
      <c r="K1614" s="27">
        <f t="shared" si="778"/>
        <v>0</v>
      </c>
      <c r="L1614" s="27">
        <f>IF(D1614="no",F1614*H1604-J1614,0)</f>
        <v>0</v>
      </c>
      <c r="M1614" s="572"/>
      <c r="N1614" s="564"/>
      <c r="O1614" s="1"/>
      <c r="P1614" s="3"/>
      <c r="Q1614" s="146"/>
      <c r="R1614" s="146"/>
      <c r="S1614" s="1"/>
      <c r="T1614" s="1"/>
      <c r="U1614" s="4"/>
    </row>
    <row r="1615" spans="1:21" ht="18.75" customHeight="1">
      <c r="A1615" s="39" t="s">
        <v>616</v>
      </c>
      <c r="B1615" s="29" t="s">
        <v>61</v>
      </c>
      <c r="C1615" s="30"/>
      <c r="D1615" s="21"/>
      <c r="E1615" s="27"/>
      <c r="F1615" s="31">
        <f t="shared" si="775"/>
        <v>0</v>
      </c>
      <c r="G1615" s="27">
        <f t="shared" si="776"/>
        <v>0</v>
      </c>
      <c r="H1615" s="32"/>
      <c r="I1615" s="33">
        <f t="shared" si="777"/>
        <v>0</v>
      </c>
      <c r="J1615" s="26"/>
      <c r="K1615" s="27">
        <f t="shared" si="778"/>
        <v>0</v>
      </c>
      <c r="L1615" s="1"/>
      <c r="M1615" s="584"/>
      <c r="N1615" s="564"/>
      <c r="O1615" s="1"/>
      <c r="P1615" s="3"/>
      <c r="Q1615" s="149"/>
      <c r="R1615" s="149"/>
      <c r="S1615" s="1"/>
      <c r="T1615" s="1"/>
      <c r="U1615" s="4"/>
    </row>
    <row r="1616" spans="1:21" s="499" customFormat="1" ht="18.75" customHeight="1">
      <c r="A1616" s="39" t="s">
        <v>616</v>
      </c>
      <c r="B1616" s="29" t="s">
        <v>532</v>
      </c>
      <c r="C1616" s="30"/>
      <c r="D1616" s="500"/>
      <c r="E1616" s="27"/>
      <c r="F1616" s="31"/>
      <c r="G1616" s="27"/>
      <c r="H1616" s="32">
        <v>0</v>
      </c>
      <c r="I1616" s="33">
        <f t="shared" ref="I1616" si="780">IF(D1616="no",0,H1616*3.3%)</f>
        <v>0</v>
      </c>
      <c r="J1616" s="26"/>
      <c r="K1616" s="27">
        <f t="shared" ref="K1616" si="781">IF(D1616="no",0,H1616-I1616-J1616)</f>
        <v>0</v>
      </c>
      <c r="L1616" s="1"/>
      <c r="M1616" s="497"/>
      <c r="N1616" s="498"/>
      <c r="O1616" s="1"/>
      <c r="P1616" s="3"/>
      <c r="Q1616" s="149"/>
      <c r="R1616" s="149"/>
      <c r="S1616" s="1"/>
      <c r="T1616" s="1"/>
      <c r="U1616" s="4"/>
    </row>
    <row r="1617" spans="1:21" ht="18.75" customHeight="1">
      <c r="A1617" s="39" t="s">
        <v>616</v>
      </c>
      <c r="B1617" s="29" t="s">
        <v>37</v>
      </c>
      <c r="C1617" s="30"/>
      <c r="D1617" s="21"/>
      <c r="E1617" s="27"/>
      <c r="F1617" s="31">
        <f t="shared" si="775"/>
        <v>0</v>
      </c>
      <c r="G1617" s="27">
        <f t="shared" si="776"/>
        <v>0</v>
      </c>
      <c r="H1617" s="37">
        <f>(E1619+E1620+N1619)/0.967</f>
        <v>0</v>
      </c>
      <c r="I1617" s="33">
        <f t="shared" si="777"/>
        <v>0</v>
      </c>
      <c r="J1617" s="26"/>
      <c r="K1617" s="27">
        <f t="shared" si="778"/>
        <v>0</v>
      </c>
      <c r="L1617" s="27"/>
      <c r="M1617" s="572"/>
      <c r="N1617" s="564"/>
      <c r="O1617" s="1"/>
      <c r="P1617" s="3"/>
      <c r="Q1617" s="1"/>
      <c r="R1617" s="1"/>
      <c r="S1617" s="1"/>
      <c r="T1617" s="1"/>
      <c r="U1617" s="4"/>
    </row>
    <row r="1618" spans="1:21" ht="20.25" customHeight="1">
      <c r="A1618" s="575" t="s">
        <v>42</v>
      </c>
      <c r="B1618" s="576"/>
      <c r="C1618" s="576"/>
      <c r="D1618" s="577"/>
      <c r="E1618" s="42">
        <f t="shared" ref="E1618:L1618" si="782">SUM(E1606:E1617)</f>
        <v>8910000</v>
      </c>
      <c r="F1618" s="17">
        <f t="shared" si="782"/>
        <v>8099999.9999999991</v>
      </c>
      <c r="G1618" s="42">
        <f t="shared" si="782"/>
        <v>810000</v>
      </c>
      <c r="H1618" s="43">
        <f t="shared" si="782"/>
        <v>4049999.9999999995</v>
      </c>
      <c r="I1618" s="42">
        <f t="shared" si="782"/>
        <v>133650</v>
      </c>
      <c r="J1618" s="43">
        <f t="shared" si="782"/>
        <v>0</v>
      </c>
      <c r="K1618" s="42">
        <f t="shared" si="782"/>
        <v>3916349.9999999995</v>
      </c>
      <c r="L1618" s="42">
        <f t="shared" si="782"/>
        <v>0</v>
      </c>
      <c r="M1618" s="44"/>
      <c r="N1618" s="45"/>
      <c r="O1618" s="1"/>
      <c r="P1618" s="3"/>
      <c r="Q1618" s="1"/>
      <c r="R1618" s="1"/>
      <c r="S1618" s="1"/>
      <c r="T1618" s="1"/>
      <c r="U1618" s="4"/>
    </row>
    <row r="1619" spans="1:21" ht="20.25" customHeight="1">
      <c r="A1619" s="46" t="s">
        <v>37</v>
      </c>
      <c r="B1619" s="47" t="s">
        <v>132</v>
      </c>
      <c r="C1619" s="48">
        <f>D1604</f>
        <v>1</v>
      </c>
      <c r="D1619" s="47" t="s">
        <v>44</v>
      </c>
      <c r="E1619" s="49"/>
      <c r="F1619" s="84"/>
      <c r="G1619" s="85"/>
      <c r="H1619" s="49"/>
      <c r="I1619" s="53" t="s">
        <v>46</v>
      </c>
      <c r="J1619" s="54">
        <v>200050</v>
      </c>
      <c r="K1619" s="50"/>
      <c r="L1619" s="55"/>
      <c r="M1619" s="63"/>
      <c r="N1619" s="64"/>
      <c r="O1619" s="1"/>
      <c r="P1619" s="3"/>
      <c r="Q1619" s="1"/>
      <c r="R1619" s="1"/>
      <c r="S1619" s="1"/>
      <c r="T1619" s="1"/>
      <c r="U1619" s="4"/>
    </row>
    <row r="1620" spans="1:21" ht="20.25" customHeight="1" thickBot="1">
      <c r="A1620" s="56" t="s">
        <v>48</v>
      </c>
      <c r="B1620" s="57" t="s">
        <v>133</v>
      </c>
      <c r="C1620" s="58">
        <f>ROUND(F1618/10000,0)</f>
        <v>810</v>
      </c>
      <c r="D1620" s="57" t="s">
        <v>50</v>
      </c>
      <c r="E1620" s="52"/>
      <c r="F1620" s="86"/>
      <c r="G1620" s="87"/>
      <c r="H1620" s="52"/>
      <c r="I1620" s="59"/>
      <c r="J1620" s="61"/>
      <c r="K1620" s="59"/>
      <c r="L1620" s="62"/>
      <c r="M1620" s="203"/>
      <c r="N1620" s="64"/>
      <c r="O1620" s="1"/>
      <c r="P1620" s="3"/>
      <c r="Q1620" s="1"/>
      <c r="R1620" s="1"/>
      <c r="S1620" s="1"/>
      <c r="T1620" s="1"/>
      <c r="U1620" s="4"/>
    </row>
    <row r="1621" spans="1:21" ht="18.75" customHeight="1" thickBot="1">
      <c r="A1621" s="566" t="s">
        <v>52</v>
      </c>
      <c r="B1621" s="567"/>
      <c r="C1621" s="567"/>
      <c r="D1621" s="568"/>
      <c r="E1621" s="65"/>
      <c r="F1621" s="569" t="s">
        <v>53</v>
      </c>
      <c r="G1621" s="568"/>
      <c r="H1621" s="66">
        <f>H1618-J1619</f>
        <v>3849949.9999999995</v>
      </c>
      <c r="I1621" s="67">
        <f>H1621*3.3%</f>
        <v>127048.34999999999</v>
      </c>
      <c r="J1621" s="68">
        <f>SUM(J1618)</f>
        <v>0</v>
      </c>
      <c r="K1621" s="69">
        <f>H1621-I1621-J1621</f>
        <v>3722901.6499999994</v>
      </c>
      <c r="L1621" s="70">
        <f>L1618+SUM(H1619:H1620)+J1620</f>
        <v>0</v>
      </c>
      <c r="M1621" s="570">
        <f>K1621+L1621</f>
        <v>3722901.6499999994</v>
      </c>
      <c r="N1621" s="571"/>
      <c r="O1621" s="1"/>
      <c r="P1621" s="3"/>
      <c r="Q1621" s="1"/>
      <c r="R1621" s="1"/>
      <c r="S1621" s="1"/>
      <c r="T1621" s="1"/>
      <c r="U1621" s="4"/>
    </row>
    <row r="1622" spans="1:21" ht="18.75" customHeight="1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3"/>
      <c r="Q1622" s="1"/>
      <c r="R1622" s="1"/>
      <c r="S1622" s="1"/>
      <c r="T1622" s="1"/>
      <c r="U1622" s="4"/>
    </row>
    <row r="1623" spans="1:21" ht="18.75" customHeight="1">
      <c r="A1623" s="6" t="s">
        <v>436</v>
      </c>
      <c r="B1623" s="7" t="str">
        <f>$B$34</f>
        <v>1월</v>
      </c>
      <c r="C1623" s="8" t="s">
        <v>1</v>
      </c>
      <c r="D1623" s="9">
        <f>COUNTIF($C1625:$C1639,"계약")+(COUNTIF($C1625:$C1639,"계약2")*2)</f>
        <v>2</v>
      </c>
      <c r="E1623" s="3">
        <f>COUNTIF(C1625:C1639,"낙찰수수료")</f>
        <v>1</v>
      </c>
      <c r="F1623" s="10"/>
      <c r="G1623" s="89" t="s">
        <v>437</v>
      </c>
      <c r="H1623" s="11">
        <v>0.5</v>
      </c>
      <c r="I1623" s="12">
        <v>3.3000000000000002E-2</v>
      </c>
      <c r="J1623" s="141"/>
      <c r="K1623" s="1"/>
      <c r="L1623" s="1"/>
      <c r="M1623" s="1"/>
      <c r="N1623" s="1"/>
      <c r="O1623" s="1"/>
      <c r="P1623" s="3"/>
      <c r="Q1623" s="1"/>
      <c r="R1623" s="1"/>
      <c r="S1623" s="1"/>
      <c r="T1623" s="1"/>
      <c r="U1623" s="4"/>
    </row>
    <row r="1624" spans="1:21" ht="18.75" customHeight="1">
      <c r="A1624" s="13" t="s">
        <v>3</v>
      </c>
      <c r="B1624" s="14" t="s">
        <v>4</v>
      </c>
      <c r="C1624" s="14" t="s">
        <v>5</v>
      </c>
      <c r="D1624" s="15" t="s">
        <v>6</v>
      </c>
      <c r="E1624" s="16" t="s">
        <v>7</v>
      </c>
      <c r="F1624" s="17" t="s">
        <v>8</v>
      </c>
      <c r="G1624" s="14" t="s">
        <v>9</v>
      </c>
      <c r="H1624" s="15" t="s">
        <v>10</v>
      </c>
      <c r="I1624" s="14" t="s">
        <v>11</v>
      </c>
      <c r="J1624" s="15" t="s">
        <v>12</v>
      </c>
      <c r="K1624" s="14" t="s">
        <v>13</v>
      </c>
      <c r="L1624" s="14" t="s">
        <v>14</v>
      </c>
      <c r="M1624" s="579" t="s">
        <v>15</v>
      </c>
      <c r="N1624" s="577"/>
      <c r="O1624" s="1"/>
      <c r="P1624" s="3"/>
      <c r="Q1624" s="1"/>
      <c r="R1624" s="1"/>
      <c r="S1624" s="1"/>
      <c r="T1624" s="1"/>
      <c r="U1624" s="4"/>
    </row>
    <row r="1625" spans="1:21" ht="18.75" customHeight="1">
      <c r="A1625" s="28">
        <v>46037</v>
      </c>
      <c r="B1625" s="29" t="s">
        <v>763</v>
      </c>
      <c r="C1625" s="30" t="s">
        <v>687</v>
      </c>
      <c r="D1625" s="96"/>
      <c r="E1625" s="27">
        <v>550000</v>
      </c>
      <c r="F1625" s="31">
        <f t="shared" ref="F1625:F1627" si="783">IF(D1625="no",E1625,E1625/1.1)</f>
        <v>499999.99999999994</v>
      </c>
      <c r="G1625" s="27">
        <f t="shared" ref="G1625:G1633" si="784">IF(D1625="no",0,F1625*0.1)</f>
        <v>50000</v>
      </c>
      <c r="H1625" s="32">
        <f>IF(D1625="no",0,F1625*H1623)</f>
        <v>249999.99999999997</v>
      </c>
      <c r="I1625" s="33">
        <f t="shared" ref="I1625:I1633" si="785">IF(D1625="no",0,H1625*3.3%)</f>
        <v>8250</v>
      </c>
      <c r="J1625" s="97"/>
      <c r="K1625" s="27">
        <f t="shared" ref="K1625:K1639" si="786">IF(D1625="no",0,H1625-I1625-J1625)</f>
        <v>241749.99999999997</v>
      </c>
      <c r="L1625" s="27">
        <f t="shared" ref="L1625" si="787">IF(D1625="no",F1625*H1623-J1625,0)</f>
        <v>0</v>
      </c>
      <c r="M1625" s="578"/>
      <c r="N1625" s="564"/>
      <c r="O1625" s="1"/>
      <c r="P1625" s="3"/>
      <c r="Q1625" s="1"/>
      <c r="R1625" s="1"/>
      <c r="S1625" s="1"/>
      <c r="T1625" s="1"/>
      <c r="U1625" s="4"/>
    </row>
    <row r="1626" spans="1:21" s="453" customFormat="1" ht="18.75" customHeight="1">
      <c r="A1626" s="28">
        <v>46043</v>
      </c>
      <c r="B1626" s="29" t="s">
        <v>764</v>
      </c>
      <c r="C1626" s="30" t="s">
        <v>766</v>
      </c>
      <c r="D1626" s="452"/>
      <c r="E1626" s="27">
        <v>2200000</v>
      </c>
      <c r="F1626" s="31">
        <f t="shared" si="783"/>
        <v>1999999.9999999998</v>
      </c>
      <c r="G1626" s="27">
        <f t="shared" si="784"/>
        <v>200000</v>
      </c>
      <c r="H1626" s="32">
        <f>IF(D1626="no",0,F1626*H1623)</f>
        <v>999999.99999999988</v>
      </c>
      <c r="I1626" s="33">
        <f t="shared" si="785"/>
        <v>33000</v>
      </c>
      <c r="J1626" s="97"/>
      <c r="K1626" s="27">
        <f t="shared" si="786"/>
        <v>966999.99999999988</v>
      </c>
      <c r="L1626" s="27"/>
      <c r="M1626" s="450"/>
      <c r="N1626" s="448"/>
      <c r="O1626" s="1"/>
      <c r="P1626" s="3"/>
      <c r="Q1626" s="1"/>
      <c r="R1626" s="1"/>
      <c r="S1626" s="1"/>
      <c r="T1626" s="1"/>
      <c r="U1626" s="4"/>
    </row>
    <row r="1627" spans="1:21" ht="18.75" customHeight="1">
      <c r="A1627" s="28">
        <v>46044</v>
      </c>
      <c r="B1627" s="29" t="s">
        <v>765</v>
      </c>
      <c r="C1627" s="30" t="s">
        <v>687</v>
      </c>
      <c r="D1627" s="96"/>
      <c r="E1627" s="27">
        <v>550000</v>
      </c>
      <c r="F1627" s="31">
        <f t="shared" si="783"/>
        <v>499999.99999999994</v>
      </c>
      <c r="G1627" s="27">
        <f t="shared" si="784"/>
        <v>50000</v>
      </c>
      <c r="H1627" s="32">
        <f>IF(D1627="no",0,F1627*H1623)</f>
        <v>249999.99999999997</v>
      </c>
      <c r="I1627" s="33">
        <f t="shared" si="785"/>
        <v>8250</v>
      </c>
      <c r="J1627" s="26"/>
      <c r="K1627" s="27">
        <f t="shared" si="786"/>
        <v>241749.99999999997</v>
      </c>
      <c r="L1627" s="27">
        <f>IF(D1627="no",F1627*H1624-J1627,0)</f>
        <v>0</v>
      </c>
      <c r="M1627" s="585"/>
      <c r="N1627" s="564"/>
      <c r="O1627" s="1"/>
      <c r="P1627" s="3"/>
      <c r="Q1627" s="1"/>
      <c r="R1627" s="1"/>
      <c r="S1627" s="1"/>
      <c r="T1627" s="1"/>
      <c r="U1627" s="4"/>
    </row>
    <row r="1628" spans="1:21" ht="18.75" hidden="1" customHeight="1">
      <c r="A1628" s="28"/>
      <c r="B1628" s="29"/>
      <c r="C1628" s="30"/>
      <c r="D1628" s="21"/>
      <c r="E1628" s="27"/>
      <c r="F1628" s="31">
        <f t="shared" ref="F1628:F1629" si="788">IF(D1628="no",E1628,E1628/1.1)</f>
        <v>0</v>
      </c>
      <c r="G1628" s="27">
        <f t="shared" ref="G1628" si="789">IF(D1628="no",0,F1628*0.1)</f>
        <v>0</v>
      </c>
      <c r="H1628" s="32">
        <f>IF(D1628="no",0,F1628*H1623)</f>
        <v>0</v>
      </c>
      <c r="I1628" s="33">
        <f t="shared" ref="I1628" si="790">IF(D1628="no",0,H1628*3.3%)</f>
        <v>0</v>
      </c>
      <c r="J1628" s="26"/>
      <c r="K1628" s="27">
        <f t="shared" ref="K1628" si="791">IF(D1628="no",0,H1628-I1628-J1628)</f>
        <v>0</v>
      </c>
      <c r="L1628" s="27">
        <f>IF(D1628="no",F1628*H1623-J1628,0)</f>
        <v>0</v>
      </c>
      <c r="M1628" s="578"/>
      <c r="N1628" s="564"/>
      <c r="O1628" s="1"/>
      <c r="P1628" s="3"/>
      <c r="Q1628" s="1"/>
      <c r="R1628" s="1"/>
      <c r="S1628" s="1"/>
      <c r="T1628" s="1"/>
      <c r="U1628" s="4"/>
    </row>
    <row r="1629" spans="1:21" ht="18.75" hidden="1" customHeight="1">
      <c r="A1629" s="28"/>
      <c r="B1629" s="29"/>
      <c r="C1629" s="30"/>
      <c r="D1629" s="21"/>
      <c r="E1629" s="27"/>
      <c r="F1629" s="31">
        <f t="shared" si="788"/>
        <v>0</v>
      </c>
      <c r="G1629" s="27">
        <f t="shared" si="784"/>
        <v>0</v>
      </c>
      <c r="H1629" s="32">
        <f>IF(D1629="no",0,F1629*H1623)</f>
        <v>0</v>
      </c>
      <c r="I1629" s="33">
        <f t="shared" si="785"/>
        <v>0</v>
      </c>
      <c r="J1629" s="26"/>
      <c r="K1629" s="27">
        <f t="shared" si="786"/>
        <v>0</v>
      </c>
      <c r="L1629" s="27">
        <f>IF(D1629="no",F1629*H1624-J1629,0)</f>
        <v>0</v>
      </c>
      <c r="M1629" s="585"/>
      <c r="N1629" s="564"/>
      <c r="O1629" s="1"/>
      <c r="P1629" s="3"/>
      <c r="Q1629" s="1"/>
      <c r="R1629" s="1"/>
      <c r="S1629" s="1"/>
      <c r="T1629" s="1"/>
      <c r="U1629" s="4"/>
    </row>
    <row r="1630" spans="1:21" ht="18.75" hidden="1" customHeight="1">
      <c r="A1630" s="28"/>
      <c r="B1630" s="29"/>
      <c r="C1630" s="30"/>
      <c r="D1630" s="21"/>
      <c r="E1630" s="27"/>
      <c r="F1630" s="31">
        <f t="shared" ref="F1630" si="792">IF(D1630="no",E1630,E1630/1.1)</f>
        <v>0</v>
      </c>
      <c r="G1630" s="27">
        <f t="shared" ref="G1630" si="793">IF(D1630="no",0,F1630*0.1)</f>
        <v>0</v>
      </c>
      <c r="H1630" s="32">
        <f>IF(D1630="no",0,F1630*H1623)</f>
        <v>0</v>
      </c>
      <c r="I1630" s="33">
        <f t="shared" ref="I1630" si="794">IF(D1630="no",0,H1630*3.3%)</f>
        <v>0</v>
      </c>
      <c r="J1630" s="26"/>
      <c r="K1630" s="27">
        <f t="shared" ref="K1630" si="795">IF(D1630="no",0,H1630-I1630-J1630)</f>
        <v>0</v>
      </c>
      <c r="L1630" s="27">
        <f>IF(D1630="no",F1630*H1625-J1630,0)</f>
        <v>0</v>
      </c>
      <c r="M1630" s="585"/>
      <c r="N1630" s="564"/>
      <c r="O1630" s="1"/>
      <c r="P1630" s="3"/>
      <c r="Q1630" s="1"/>
      <c r="R1630" s="1"/>
      <c r="S1630" s="1"/>
      <c r="T1630" s="1"/>
      <c r="U1630" s="4"/>
    </row>
    <row r="1631" spans="1:21" ht="18.75" hidden="1" customHeight="1">
      <c r="A1631" s="28"/>
      <c r="B1631" s="29"/>
      <c r="C1631" s="30"/>
      <c r="D1631" s="21"/>
      <c r="E1631" s="27"/>
      <c r="F1631" s="31"/>
      <c r="G1631" s="27">
        <f t="shared" si="784"/>
        <v>0</v>
      </c>
      <c r="H1631" s="32">
        <f>IF(D1631="no",0,F1631*H1623)</f>
        <v>0</v>
      </c>
      <c r="I1631" s="33">
        <f t="shared" si="785"/>
        <v>0</v>
      </c>
      <c r="J1631" s="26"/>
      <c r="K1631" s="27">
        <f t="shared" si="786"/>
        <v>0</v>
      </c>
      <c r="L1631" s="27">
        <f t="shared" ref="L1631:L1632" si="796">IF(D1631="no",F1631*H1627-J1631,0)</f>
        <v>0</v>
      </c>
      <c r="M1631" s="572"/>
      <c r="N1631" s="564"/>
      <c r="O1631" s="1"/>
      <c r="P1631" s="3"/>
      <c r="Q1631" s="1"/>
      <c r="R1631" s="1"/>
      <c r="S1631" s="1"/>
      <c r="T1631" s="1"/>
      <c r="U1631" s="4"/>
    </row>
    <row r="1632" spans="1:21" ht="18.75" hidden="1" customHeight="1">
      <c r="A1632" s="28"/>
      <c r="B1632" s="29"/>
      <c r="C1632" s="30"/>
      <c r="D1632" s="21"/>
      <c r="E1632" s="27"/>
      <c r="F1632" s="31">
        <f t="shared" ref="F1632:F1633" si="797">IF(D1632="no",E1632,E1632/1.1)</f>
        <v>0</v>
      </c>
      <c r="G1632" s="27">
        <f t="shared" si="784"/>
        <v>0</v>
      </c>
      <c r="H1632" s="32">
        <f>IF(D1632="no",0,F1632*H1623)</f>
        <v>0</v>
      </c>
      <c r="I1632" s="33">
        <f t="shared" si="785"/>
        <v>0</v>
      </c>
      <c r="J1632" s="26"/>
      <c r="K1632" s="27">
        <f t="shared" si="786"/>
        <v>0</v>
      </c>
      <c r="L1632" s="27">
        <f t="shared" si="796"/>
        <v>0</v>
      </c>
      <c r="M1632" s="565"/>
      <c r="N1632" s="564"/>
      <c r="O1632" s="1"/>
      <c r="P1632" s="3"/>
      <c r="Q1632" s="1"/>
      <c r="R1632" s="1"/>
      <c r="S1632" s="1"/>
      <c r="T1632" s="1"/>
      <c r="U1632" s="4"/>
    </row>
    <row r="1633" spans="1:21" ht="18.75" hidden="1" customHeight="1">
      <c r="A1633" s="28"/>
      <c r="B1633" s="83"/>
      <c r="C1633" s="30"/>
      <c r="D1633" s="21"/>
      <c r="E1633" s="27"/>
      <c r="F1633" s="31">
        <f t="shared" si="797"/>
        <v>0</v>
      </c>
      <c r="G1633" s="27">
        <f t="shared" si="784"/>
        <v>0</v>
      </c>
      <c r="H1633" s="32">
        <f>IF(D1633="no",0,F1633*H1623)</f>
        <v>0</v>
      </c>
      <c r="I1633" s="33">
        <f t="shared" si="785"/>
        <v>0</v>
      </c>
      <c r="J1633" s="26"/>
      <c r="K1633" s="27">
        <f t="shared" si="786"/>
        <v>0</v>
      </c>
      <c r="L1633" s="27">
        <f>IF(D1633="no",F1633*H1623-J1633,0)</f>
        <v>0</v>
      </c>
      <c r="M1633" s="572"/>
      <c r="N1633" s="564"/>
      <c r="O1633" s="1"/>
      <c r="P1633" s="3"/>
      <c r="Q1633" s="1"/>
      <c r="R1633" s="1"/>
      <c r="S1633" s="1"/>
      <c r="T1633" s="1"/>
      <c r="U1633" s="4"/>
    </row>
    <row r="1634" spans="1:21" ht="18.75" hidden="1" customHeight="1">
      <c r="A1634" s="28"/>
      <c r="B1634" s="29"/>
      <c r="C1634" s="30"/>
      <c r="D1634" s="21"/>
      <c r="E1634" s="27"/>
      <c r="F1634" s="31"/>
      <c r="G1634" s="27"/>
      <c r="H1634" s="32"/>
      <c r="I1634" s="33"/>
      <c r="J1634" s="26"/>
      <c r="K1634" s="27">
        <f t="shared" si="786"/>
        <v>0</v>
      </c>
      <c r="L1634" s="27"/>
      <c r="M1634" s="578"/>
      <c r="N1634" s="564"/>
      <c r="O1634" s="1"/>
      <c r="P1634" s="3"/>
      <c r="Q1634" s="1"/>
      <c r="R1634" s="1"/>
      <c r="S1634" s="1"/>
      <c r="T1634" s="1"/>
      <c r="U1634" s="4"/>
    </row>
    <row r="1635" spans="1:21" ht="18.75" hidden="1" customHeight="1">
      <c r="A1635" s="28"/>
      <c r="B1635" s="29"/>
      <c r="C1635" s="30"/>
      <c r="D1635" s="21"/>
      <c r="E1635" s="27"/>
      <c r="F1635" s="31">
        <f t="shared" ref="F1635:F1639" si="798">IF(D1635="no",E1635,E1635/1.1)</f>
        <v>0</v>
      </c>
      <c r="G1635" s="27">
        <f t="shared" ref="G1635:G1639" si="799">IF(D1635="no",0,F1635*0.1)</f>
        <v>0</v>
      </c>
      <c r="H1635" s="32"/>
      <c r="I1635" s="33">
        <f t="shared" ref="I1635:I1639" si="800">IF(D1635="no",0,H1635*3.3%)</f>
        <v>0</v>
      </c>
      <c r="J1635" s="26"/>
      <c r="K1635" s="27">
        <f t="shared" si="786"/>
        <v>0</v>
      </c>
      <c r="L1635" s="27">
        <f>IF(D1635="no",F1635*#REF!-J1635,0)</f>
        <v>0</v>
      </c>
      <c r="M1635" s="578"/>
      <c r="N1635" s="564"/>
      <c r="O1635" s="1"/>
      <c r="P1635" s="3"/>
      <c r="Q1635" s="1"/>
      <c r="R1635" s="1"/>
      <c r="S1635" s="1"/>
      <c r="T1635" s="1"/>
      <c r="U1635" s="4"/>
    </row>
    <row r="1636" spans="1:21" ht="18.75" customHeight="1">
      <c r="A1636" s="28"/>
      <c r="B1636" s="29"/>
      <c r="C1636" s="30"/>
      <c r="D1636" s="21"/>
      <c r="E1636" s="27"/>
      <c r="F1636" s="31">
        <f t="shared" si="798"/>
        <v>0</v>
      </c>
      <c r="G1636" s="27">
        <f t="shared" si="799"/>
        <v>0</v>
      </c>
      <c r="H1636" s="32"/>
      <c r="I1636" s="33">
        <f t="shared" si="800"/>
        <v>0</v>
      </c>
      <c r="J1636" s="26"/>
      <c r="K1636" s="27">
        <f t="shared" si="786"/>
        <v>0</v>
      </c>
      <c r="L1636" s="27">
        <f>IF(D1636="no",F1636*H1624-J1636,0)</f>
        <v>0</v>
      </c>
      <c r="M1636" s="572"/>
      <c r="N1636" s="564"/>
      <c r="O1636" s="1"/>
      <c r="P1636" s="3"/>
      <c r="Q1636" s="1"/>
      <c r="R1636" s="1"/>
      <c r="S1636" s="1"/>
      <c r="T1636" s="1"/>
      <c r="U1636" s="4"/>
    </row>
    <row r="1637" spans="1:21" ht="18.75" customHeight="1">
      <c r="A1637" s="39" t="s">
        <v>616</v>
      </c>
      <c r="B1637" s="29" t="s">
        <v>35</v>
      </c>
      <c r="C1637" s="30"/>
      <c r="D1637" s="21"/>
      <c r="E1637" s="27"/>
      <c r="F1637" s="31">
        <f t="shared" si="798"/>
        <v>0</v>
      </c>
      <c r="G1637" s="27">
        <f t="shared" si="799"/>
        <v>0</v>
      </c>
      <c r="H1637" s="32"/>
      <c r="I1637" s="33">
        <f t="shared" si="800"/>
        <v>0</v>
      </c>
      <c r="J1637" s="26"/>
      <c r="K1637" s="27">
        <f t="shared" si="786"/>
        <v>0</v>
      </c>
      <c r="L1637" s="27">
        <f>IF(D1637="no",F1637*H1633-J1637,0)</f>
        <v>0</v>
      </c>
      <c r="M1637" s="578"/>
      <c r="N1637" s="564"/>
      <c r="O1637" s="1"/>
      <c r="P1637" s="3"/>
      <c r="Q1637" s="146"/>
      <c r="R1637" s="146"/>
      <c r="S1637" s="1"/>
      <c r="T1637" s="1"/>
      <c r="U1637" s="4"/>
    </row>
    <row r="1638" spans="1:21" ht="18.75" customHeight="1">
      <c r="A1638" s="39" t="s">
        <v>616</v>
      </c>
      <c r="B1638" s="29" t="s">
        <v>61</v>
      </c>
      <c r="C1638" s="30"/>
      <c r="D1638" s="38"/>
      <c r="E1638" s="27"/>
      <c r="F1638" s="31">
        <f t="shared" si="798"/>
        <v>0</v>
      </c>
      <c r="G1638" s="27">
        <f t="shared" si="799"/>
        <v>0</v>
      </c>
      <c r="H1638" s="32"/>
      <c r="I1638" s="33">
        <f t="shared" si="800"/>
        <v>0</v>
      </c>
      <c r="J1638" s="26"/>
      <c r="K1638" s="27">
        <f t="shared" si="786"/>
        <v>0</v>
      </c>
      <c r="L1638" s="27">
        <f>IF(D1638="no",F1638*H1633-J1638,0)</f>
        <v>0</v>
      </c>
      <c r="M1638" s="585"/>
      <c r="N1638" s="564"/>
      <c r="O1638" s="1"/>
      <c r="P1638" s="3"/>
      <c r="Q1638" s="149"/>
      <c r="R1638" s="149"/>
      <c r="S1638" s="1"/>
      <c r="T1638" s="1"/>
      <c r="U1638" s="4"/>
    </row>
    <row r="1639" spans="1:21" ht="18.75" customHeight="1">
      <c r="A1639" s="39" t="s">
        <v>616</v>
      </c>
      <c r="B1639" s="29" t="s">
        <v>37</v>
      </c>
      <c r="C1639" s="30"/>
      <c r="D1639" s="38"/>
      <c r="E1639" s="27"/>
      <c r="F1639" s="31">
        <f t="shared" si="798"/>
        <v>0</v>
      </c>
      <c r="G1639" s="27">
        <f t="shared" si="799"/>
        <v>0</v>
      </c>
      <c r="H1639" s="37"/>
      <c r="I1639" s="33">
        <f t="shared" si="800"/>
        <v>0</v>
      </c>
      <c r="J1639" s="26"/>
      <c r="K1639" s="27">
        <f t="shared" si="786"/>
        <v>0</v>
      </c>
      <c r="L1639" s="27">
        <f>IF(D1639="no",F1639*#REF!-J1639,0)</f>
        <v>0</v>
      </c>
      <c r="M1639" s="578"/>
      <c r="N1639" s="564"/>
      <c r="O1639" s="1"/>
      <c r="P1639" s="3"/>
      <c r="Q1639" s="1"/>
      <c r="R1639" s="1"/>
      <c r="S1639" s="1"/>
      <c r="T1639" s="1"/>
      <c r="U1639" s="4"/>
    </row>
    <row r="1640" spans="1:21" ht="18.75" customHeight="1">
      <c r="A1640" s="575" t="s">
        <v>42</v>
      </c>
      <c r="B1640" s="576"/>
      <c r="C1640" s="576"/>
      <c r="D1640" s="577"/>
      <c r="E1640" s="42">
        <f t="shared" ref="E1640:L1640" si="801">SUM(E1625:E1639)</f>
        <v>3300000</v>
      </c>
      <c r="F1640" s="17">
        <f t="shared" si="801"/>
        <v>2999999.9999999995</v>
      </c>
      <c r="G1640" s="42">
        <f t="shared" si="801"/>
        <v>300000</v>
      </c>
      <c r="H1640" s="43">
        <f t="shared" si="801"/>
        <v>1499999.9999999998</v>
      </c>
      <c r="I1640" s="42">
        <f t="shared" si="801"/>
        <v>49500</v>
      </c>
      <c r="J1640" s="43">
        <f t="shared" si="801"/>
        <v>0</v>
      </c>
      <c r="K1640" s="42">
        <f t="shared" si="801"/>
        <v>1450499.9999999998</v>
      </c>
      <c r="L1640" s="42">
        <f t="shared" si="801"/>
        <v>0</v>
      </c>
      <c r="M1640" s="44"/>
      <c r="N1640" s="45"/>
      <c r="O1640" s="1"/>
      <c r="P1640" s="3"/>
      <c r="Q1640" s="1"/>
      <c r="R1640" s="1"/>
      <c r="S1640" s="1"/>
      <c r="T1640" s="1"/>
      <c r="U1640" s="4"/>
    </row>
    <row r="1641" spans="1:21" ht="18.75" customHeight="1">
      <c r="A1641" s="46" t="s">
        <v>37</v>
      </c>
      <c r="B1641" s="47" t="s">
        <v>132</v>
      </c>
      <c r="C1641" s="48">
        <f>D1623</f>
        <v>2</v>
      </c>
      <c r="D1641" s="47" t="s">
        <v>44</v>
      </c>
      <c r="E1641" s="49"/>
      <c r="F1641" s="50"/>
      <c r="G1641" s="51"/>
      <c r="H1641" s="49">
        <f>IF(G1641&gt;=25,"팀포상 대상",0)</f>
        <v>0</v>
      </c>
      <c r="I1641" s="53" t="s">
        <v>46</v>
      </c>
      <c r="J1641" s="54">
        <v>210350</v>
      </c>
      <c r="K1641" s="59"/>
      <c r="L1641" s="62"/>
      <c r="M1641" s="63"/>
      <c r="N1641" s="64"/>
      <c r="O1641" s="1"/>
      <c r="P1641" s="3"/>
      <c r="Q1641" s="1"/>
      <c r="R1641" s="1"/>
      <c r="S1641" s="1"/>
      <c r="T1641" s="1"/>
      <c r="U1641" s="4"/>
    </row>
    <row r="1642" spans="1:21" ht="18.75" customHeight="1" thickBot="1">
      <c r="A1642" s="56" t="s">
        <v>48</v>
      </c>
      <c r="B1642" s="57" t="s">
        <v>133</v>
      </c>
      <c r="C1642" s="58">
        <f>ROUND(F1640/10000,0)</f>
        <v>300</v>
      </c>
      <c r="D1642" s="57" t="s">
        <v>50</v>
      </c>
      <c r="E1642" s="52"/>
      <c r="F1642" s="59"/>
      <c r="G1642" s="60"/>
      <c r="H1642" s="52"/>
      <c r="I1642" s="59"/>
      <c r="J1642" s="61"/>
      <c r="K1642" s="59"/>
      <c r="L1642" s="62"/>
      <c r="M1642" s="63"/>
      <c r="N1642" s="148"/>
      <c r="O1642" s="1"/>
      <c r="P1642" s="3"/>
      <c r="Q1642" s="1"/>
      <c r="R1642" s="1"/>
      <c r="S1642" s="1"/>
      <c r="T1642" s="1"/>
      <c r="U1642" s="4"/>
    </row>
    <row r="1643" spans="1:21" ht="18.75" customHeight="1" thickBot="1">
      <c r="A1643" s="566" t="s">
        <v>52</v>
      </c>
      <c r="B1643" s="567"/>
      <c r="C1643" s="567"/>
      <c r="D1643" s="568"/>
      <c r="E1643" s="65"/>
      <c r="F1643" s="569" t="s">
        <v>53</v>
      </c>
      <c r="G1643" s="568"/>
      <c r="H1643" s="66">
        <f>H1640-J1641</f>
        <v>1289649.9999999998</v>
      </c>
      <c r="I1643" s="67">
        <f>H1643*3.3%</f>
        <v>42558.45</v>
      </c>
      <c r="J1643" s="68">
        <f>SUM(J1640)</f>
        <v>0</v>
      </c>
      <c r="K1643" s="69">
        <f>H1643-I1643-J1643</f>
        <v>1247091.5499999998</v>
      </c>
      <c r="L1643" s="70">
        <f>L1640+SUM(H1641:H1642)+J1642</f>
        <v>0</v>
      </c>
      <c r="M1643" s="570">
        <f>K1643+L1643</f>
        <v>1247091.5499999998</v>
      </c>
      <c r="N1643" s="571"/>
      <c r="O1643" s="1"/>
      <c r="P1643" s="3"/>
      <c r="Q1643" s="1"/>
      <c r="R1643" s="1"/>
      <c r="S1643" s="1"/>
      <c r="T1643" s="1"/>
      <c r="U1643" s="4"/>
    </row>
    <row r="1644" spans="1:21" ht="18.75" customHeight="1">
      <c r="A1644" s="1"/>
      <c r="B1644" s="1"/>
      <c r="C1644" s="1"/>
      <c r="D1644" s="1"/>
      <c r="E1644" s="1"/>
      <c r="F1644" s="1"/>
      <c r="G1644" s="1"/>
      <c r="H1644" s="141"/>
      <c r="I1644" s="1"/>
      <c r="J1644" s="1"/>
      <c r="K1644" s="1"/>
      <c r="L1644" s="1"/>
      <c r="M1644" s="1"/>
      <c r="N1644" s="1"/>
      <c r="O1644" s="1"/>
      <c r="P1644" s="3"/>
      <c r="Q1644" s="1"/>
      <c r="R1644" s="1"/>
      <c r="S1644" s="1"/>
      <c r="T1644" s="1"/>
      <c r="U1644" s="4"/>
    </row>
    <row r="1645" spans="1:21" ht="18.75" customHeight="1">
      <c r="A1645" s="6" t="s">
        <v>581</v>
      </c>
      <c r="B1645" s="7" t="str">
        <f>$B$34</f>
        <v>1월</v>
      </c>
      <c r="C1645" s="8" t="s">
        <v>1</v>
      </c>
      <c r="D1645" s="9">
        <f>COUNTIF($C1647:$C1660,"계약")+(COUNTIF($C1647:$C1660,"계약2")*2)</f>
        <v>3</v>
      </c>
      <c r="E1645" s="3">
        <f>COUNTIF(C1647:C1660,"낙찰수수료")</f>
        <v>0</v>
      </c>
      <c r="F1645" s="10"/>
      <c r="G1645" s="89" t="s">
        <v>582</v>
      </c>
      <c r="H1645" s="367">
        <v>0.4</v>
      </c>
      <c r="I1645" s="12">
        <v>3.3000000000000002E-2</v>
      </c>
      <c r="J1645" s="141"/>
      <c r="K1645" s="1"/>
      <c r="L1645" s="1"/>
      <c r="M1645" s="1"/>
      <c r="N1645" s="1"/>
      <c r="O1645" s="1"/>
      <c r="P1645" s="3"/>
      <c r="Q1645" s="1"/>
      <c r="R1645" s="1"/>
      <c r="S1645" s="1"/>
      <c r="T1645" s="1"/>
      <c r="U1645" s="4"/>
    </row>
    <row r="1646" spans="1:21" ht="18.75" customHeight="1">
      <c r="A1646" s="13" t="s">
        <v>3</v>
      </c>
      <c r="B1646" s="14" t="s">
        <v>4</v>
      </c>
      <c r="C1646" s="14" t="s">
        <v>5</v>
      </c>
      <c r="D1646" s="15" t="s">
        <v>6</v>
      </c>
      <c r="E1646" s="16" t="s">
        <v>7</v>
      </c>
      <c r="F1646" s="17" t="s">
        <v>8</v>
      </c>
      <c r="G1646" s="14" t="s">
        <v>9</v>
      </c>
      <c r="H1646" s="15" t="s">
        <v>10</v>
      </c>
      <c r="I1646" s="14" t="s">
        <v>11</v>
      </c>
      <c r="J1646" s="15" t="s">
        <v>12</v>
      </c>
      <c r="K1646" s="14" t="s">
        <v>13</v>
      </c>
      <c r="L1646" s="14" t="s">
        <v>14</v>
      </c>
      <c r="M1646" s="579" t="s">
        <v>15</v>
      </c>
      <c r="N1646" s="577"/>
      <c r="O1646" s="1"/>
      <c r="P1646" s="3"/>
      <c r="Q1646" s="1"/>
      <c r="R1646" s="1"/>
      <c r="S1646" s="1"/>
      <c r="T1646" s="1"/>
      <c r="U1646" s="4"/>
    </row>
    <row r="1647" spans="1:21" ht="18.75" customHeight="1">
      <c r="A1647" s="28">
        <v>46034</v>
      </c>
      <c r="B1647" s="29" t="s">
        <v>767</v>
      </c>
      <c r="C1647" s="30" t="s">
        <v>770</v>
      </c>
      <c r="D1647" s="96"/>
      <c r="E1647" s="27">
        <v>550000</v>
      </c>
      <c r="F1647" s="31">
        <f t="shared" ref="F1647:F1654" si="802">IF(D1647="no",E1647,E1647/1.1)</f>
        <v>499999.99999999994</v>
      </c>
      <c r="G1647" s="27">
        <f t="shared" ref="G1647:G1654" si="803">IF(D1647="no",0,F1647*0.1)</f>
        <v>50000</v>
      </c>
      <c r="H1647" s="32">
        <f>IF(D1647="no",0,F1647*H1645)</f>
        <v>200000</v>
      </c>
      <c r="I1647" s="33">
        <f t="shared" ref="I1647:I1654" si="804">IF(D1647="no",0,H1647*3.3%)</f>
        <v>6600</v>
      </c>
      <c r="J1647" s="97"/>
      <c r="K1647" s="27">
        <f t="shared" ref="K1647:K1660" si="805">IF(D1647="no",0,H1647-I1647-J1647)</f>
        <v>193400</v>
      </c>
      <c r="L1647" s="27">
        <f t="shared" ref="L1647:L1648" si="806">IF(D1647="no",F1647*H1645-J1647,0)</f>
        <v>0</v>
      </c>
      <c r="M1647" s="578"/>
      <c r="N1647" s="564"/>
      <c r="O1647" s="1"/>
      <c r="P1647" s="3"/>
      <c r="Q1647" s="1"/>
      <c r="R1647" s="1"/>
      <c r="S1647" s="1"/>
      <c r="T1647" s="1"/>
      <c r="U1647" s="4"/>
    </row>
    <row r="1648" spans="1:21" ht="18.75" customHeight="1">
      <c r="A1648" s="28">
        <v>46045</v>
      </c>
      <c r="B1648" s="29" t="s">
        <v>768</v>
      </c>
      <c r="C1648" s="30" t="s">
        <v>770</v>
      </c>
      <c r="D1648" s="96"/>
      <c r="E1648" s="27">
        <v>550000</v>
      </c>
      <c r="F1648" s="31">
        <f t="shared" si="802"/>
        <v>499999.99999999994</v>
      </c>
      <c r="G1648" s="27">
        <f t="shared" si="803"/>
        <v>50000</v>
      </c>
      <c r="H1648" s="32">
        <f>IF(D1648="no",0,F1648*H1645)</f>
        <v>200000</v>
      </c>
      <c r="I1648" s="33">
        <f t="shared" si="804"/>
        <v>6600</v>
      </c>
      <c r="J1648" s="26"/>
      <c r="K1648" s="27">
        <f t="shared" si="805"/>
        <v>193400</v>
      </c>
      <c r="L1648" s="27">
        <f t="shared" si="806"/>
        <v>0</v>
      </c>
      <c r="M1648" s="585"/>
      <c r="N1648" s="564"/>
      <c r="O1648" s="1"/>
      <c r="P1648" s="3"/>
      <c r="Q1648" s="1"/>
      <c r="R1648" s="1"/>
      <c r="S1648" s="1"/>
      <c r="T1648" s="1"/>
      <c r="U1648" s="4"/>
    </row>
    <row r="1649" spans="1:21" ht="18.75" customHeight="1">
      <c r="A1649" s="28">
        <v>46048</v>
      </c>
      <c r="B1649" s="29" t="s">
        <v>769</v>
      </c>
      <c r="C1649" s="30" t="s">
        <v>770</v>
      </c>
      <c r="D1649" s="21"/>
      <c r="E1649" s="27">
        <v>550000</v>
      </c>
      <c r="F1649" s="31">
        <f t="shared" si="802"/>
        <v>499999.99999999994</v>
      </c>
      <c r="G1649" s="27">
        <f t="shared" si="803"/>
        <v>50000</v>
      </c>
      <c r="H1649" s="32">
        <f>IF(D1649="no",0,F1649*H1645)</f>
        <v>200000</v>
      </c>
      <c r="I1649" s="33">
        <f t="shared" si="804"/>
        <v>6600</v>
      </c>
      <c r="J1649" s="26"/>
      <c r="K1649" s="27">
        <f t="shared" si="805"/>
        <v>193400</v>
      </c>
      <c r="L1649" s="27">
        <f t="shared" ref="L1649:L1653" si="807">IF(D1649="no",F1649*H1645-J1649,0)</f>
        <v>0</v>
      </c>
      <c r="M1649" s="578"/>
      <c r="N1649" s="564"/>
      <c r="O1649" s="1"/>
      <c r="P1649" s="3"/>
      <c r="Q1649" s="1"/>
      <c r="R1649" s="1"/>
      <c r="S1649" s="1"/>
      <c r="T1649" s="1"/>
      <c r="U1649" s="4"/>
    </row>
    <row r="1650" spans="1:21" ht="18.75" customHeight="1">
      <c r="A1650" s="28"/>
      <c r="B1650" s="29"/>
      <c r="C1650" s="204"/>
      <c r="D1650" s="21"/>
      <c r="E1650" s="27"/>
      <c r="F1650" s="31">
        <f t="shared" si="802"/>
        <v>0</v>
      </c>
      <c r="G1650" s="27">
        <f t="shared" si="803"/>
        <v>0</v>
      </c>
      <c r="H1650" s="32">
        <f>IF(D1650="no",0,F1650*H1645)</f>
        <v>0</v>
      </c>
      <c r="I1650" s="33">
        <f t="shared" si="804"/>
        <v>0</v>
      </c>
      <c r="J1650" s="26"/>
      <c r="K1650" s="27">
        <f t="shared" si="805"/>
        <v>0</v>
      </c>
      <c r="L1650" s="27">
        <f t="shared" si="807"/>
        <v>0</v>
      </c>
      <c r="M1650" s="585"/>
      <c r="N1650" s="564"/>
      <c r="O1650" s="1"/>
      <c r="P1650" s="3"/>
      <c r="Q1650" s="1"/>
      <c r="R1650" s="1"/>
      <c r="S1650" s="1"/>
      <c r="T1650" s="1"/>
      <c r="U1650" s="4"/>
    </row>
    <row r="1651" spans="1:21" ht="18.75" hidden="1" customHeight="1">
      <c r="A1651" s="28"/>
      <c r="B1651" s="29"/>
      <c r="C1651" s="30"/>
      <c r="D1651" s="21"/>
      <c r="E1651" s="27"/>
      <c r="F1651" s="31">
        <f t="shared" si="802"/>
        <v>0</v>
      </c>
      <c r="G1651" s="27">
        <f t="shared" si="803"/>
        <v>0</v>
      </c>
      <c r="H1651" s="32">
        <f>IF(D1651="no",0,F1651*H1645)</f>
        <v>0</v>
      </c>
      <c r="I1651" s="33">
        <f t="shared" si="804"/>
        <v>0</v>
      </c>
      <c r="J1651" s="26"/>
      <c r="K1651" s="27">
        <f t="shared" si="805"/>
        <v>0</v>
      </c>
      <c r="L1651" s="27">
        <f t="shared" si="807"/>
        <v>0</v>
      </c>
      <c r="M1651" s="585"/>
      <c r="N1651" s="564"/>
      <c r="O1651" s="1"/>
      <c r="P1651" s="3"/>
      <c r="Q1651" s="1"/>
      <c r="R1651" s="1"/>
      <c r="S1651" s="1"/>
      <c r="T1651" s="1"/>
      <c r="U1651" s="4"/>
    </row>
    <row r="1652" spans="1:21" ht="18.75" hidden="1" customHeight="1">
      <c r="A1652" s="28"/>
      <c r="B1652" s="29"/>
      <c r="C1652" s="30"/>
      <c r="D1652" s="21"/>
      <c r="E1652" s="27"/>
      <c r="F1652" s="31">
        <f t="shared" si="802"/>
        <v>0</v>
      </c>
      <c r="G1652" s="27">
        <f t="shared" si="803"/>
        <v>0</v>
      </c>
      <c r="H1652" s="32">
        <f>IF(D1652="no",0,F1652*H1645)</f>
        <v>0</v>
      </c>
      <c r="I1652" s="33">
        <f t="shared" si="804"/>
        <v>0</v>
      </c>
      <c r="J1652" s="26"/>
      <c r="K1652" s="27">
        <f t="shared" si="805"/>
        <v>0</v>
      </c>
      <c r="L1652" s="27">
        <f t="shared" si="807"/>
        <v>0</v>
      </c>
      <c r="M1652" s="572"/>
      <c r="N1652" s="564"/>
      <c r="O1652" s="1"/>
      <c r="P1652" s="3"/>
      <c r="Q1652" s="1"/>
      <c r="R1652" s="1"/>
      <c r="S1652" s="1"/>
      <c r="T1652" s="1"/>
      <c r="U1652" s="4"/>
    </row>
    <row r="1653" spans="1:21" ht="18.75" hidden="1" customHeight="1">
      <c r="A1653" s="28"/>
      <c r="B1653" s="29"/>
      <c r="C1653" s="30"/>
      <c r="D1653" s="21"/>
      <c r="E1653" s="27"/>
      <c r="F1653" s="31">
        <f t="shared" si="802"/>
        <v>0</v>
      </c>
      <c r="G1653" s="27">
        <f t="shared" si="803"/>
        <v>0</v>
      </c>
      <c r="H1653" s="32">
        <f>IF(D1653="no",0,F1653*H1645)</f>
        <v>0</v>
      </c>
      <c r="I1653" s="33">
        <f t="shared" si="804"/>
        <v>0</v>
      </c>
      <c r="J1653" s="26"/>
      <c r="K1653" s="27">
        <f t="shared" si="805"/>
        <v>0</v>
      </c>
      <c r="L1653" s="27">
        <f t="shared" si="807"/>
        <v>0</v>
      </c>
      <c r="M1653" s="565"/>
      <c r="N1653" s="564"/>
      <c r="O1653" s="1"/>
      <c r="P1653" s="3"/>
      <c r="Q1653" s="1"/>
      <c r="R1653" s="1"/>
      <c r="S1653" s="1"/>
      <c r="T1653" s="1"/>
      <c r="U1653" s="4"/>
    </row>
    <row r="1654" spans="1:21" ht="18.75" hidden="1" customHeight="1">
      <c r="A1654" s="28"/>
      <c r="B1654" s="83"/>
      <c r="C1654" s="30"/>
      <c r="D1654" s="21"/>
      <c r="E1654" s="27"/>
      <c r="F1654" s="31">
        <f t="shared" si="802"/>
        <v>0</v>
      </c>
      <c r="G1654" s="27">
        <f t="shared" si="803"/>
        <v>0</v>
      </c>
      <c r="H1654" s="32">
        <f>IF(D1654="no",0,F1654*H1645)</f>
        <v>0</v>
      </c>
      <c r="I1654" s="33">
        <f t="shared" si="804"/>
        <v>0</v>
      </c>
      <c r="J1654" s="26"/>
      <c r="K1654" s="27">
        <f t="shared" si="805"/>
        <v>0</v>
      </c>
      <c r="L1654" s="27">
        <f>IF(D1654="no",F1654*H1645-J1654,0)</f>
        <v>0</v>
      </c>
      <c r="M1654" s="572"/>
      <c r="N1654" s="564"/>
      <c r="O1654" s="1"/>
      <c r="P1654" s="3"/>
      <c r="Q1654" s="1"/>
      <c r="R1654" s="1"/>
      <c r="S1654" s="1"/>
      <c r="T1654" s="1"/>
      <c r="U1654" s="4"/>
    </row>
    <row r="1655" spans="1:21" ht="18.75" hidden="1" customHeight="1">
      <c r="A1655" s="28"/>
      <c r="B1655" s="29"/>
      <c r="C1655" s="30"/>
      <c r="D1655" s="21"/>
      <c r="E1655" s="27"/>
      <c r="F1655" s="31"/>
      <c r="G1655" s="27"/>
      <c r="H1655" s="32"/>
      <c r="I1655" s="33"/>
      <c r="J1655" s="26"/>
      <c r="K1655" s="27">
        <f t="shared" si="805"/>
        <v>0</v>
      </c>
      <c r="L1655" s="27"/>
      <c r="M1655" s="578"/>
      <c r="N1655" s="564"/>
      <c r="O1655" s="1"/>
      <c r="P1655" s="3"/>
      <c r="Q1655" s="1"/>
      <c r="R1655" s="1"/>
      <c r="S1655" s="1"/>
      <c r="T1655" s="1"/>
      <c r="U1655" s="4"/>
    </row>
    <row r="1656" spans="1:21" ht="18.75" hidden="1" customHeight="1">
      <c r="A1656" s="28"/>
      <c r="B1656" s="29"/>
      <c r="C1656" s="30"/>
      <c r="D1656" s="21"/>
      <c r="E1656" s="27"/>
      <c r="F1656" s="31">
        <f t="shared" ref="F1656:F1660" si="808">IF(D1656="no",E1656,E1656/1.1)</f>
        <v>0</v>
      </c>
      <c r="G1656" s="27">
        <f t="shared" ref="G1656:G1660" si="809">IF(D1656="no",0,F1656*0.1)</f>
        <v>0</v>
      </c>
      <c r="H1656" s="32"/>
      <c r="I1656" s="33">
        <f t="shared" ref="I1656:I1660" si="810">IF(D1656="no",0,H1656*3.3%)</f>
        <v>0</v>
      </c>
      <c r="J1656" s="26"/>
      <c r="K1656" s="27">
        <f t="shared" si="805"/>
        <v>0</v>
      </c>
      <c r="L1656" s="27">
        <f>IF(D1656="no",F1656*H1600-J1656,0)</f>
        <v>0</v>
      </c>
      <c r="M1656" s="578"/>
      <c r="N1656" s="564"/>
      <c r="O1656" s="1"/>
      <c r="P1656" s="3"/>
      <c r="Q1656" s="1"/>
      <c r="R1656" s="1"/>
      <c r="S1656" s="1"/>
      <c r="T1656" s="1"/>
      <c r="U1656" s="4"/>
    </row>
    <row r="1657" spans="1:21" ht="18.75" customHeight="1">
      <c r="A1657" s="28"/>
      <c r="B1657" s="29"/>
      <c r="C1657" s="30"/>
      <c r="D1657" s="21"/>
      <c r="E1657" s="27"/>
      <c r="F1657" s="31">
        <f t="shared" si="808"/>
        <v>0</v>
      </c>
      <c r="G1657" s="27">
        <f t="shared" si="809"/>
        <v>0</v>
      </c>
      <c r="H1657" s="32"/>
      <c r="I1657" s="33">
        <f t="shared" si="810"/>
        <v>0</v>
      </c>
      <c r="J1657" s="26"/>
      <c r="K1657" s="27">
        <f t="shared" si="805"/>
        <v>0</v>
      </c>
      <c r="L1657" s="27">
        <f>IF(D1657="no",F1657*H1646-J1657,0)</f>
        <v>0</v>
      </c>
      <c r="M1657" s="572"/>
      <c r="N1657" s="564"/>
      <c r="O1657" s="1"/>
      <c r="P1657" s="3"/>
      <c r="Q1657" s="1"/>
      <c r="R1657" s="1"/>
      <c r="S1657" s="1"/>
      <c r="T1657" s="1"/>
      <c r="U1657" s="4"/>
    </row>
    <row r="1658" spans="1:21" ht="18.75" customHeight="1">
      <c r="A1658" s="39" t="s">
        <v>616</v>
      </c>
      <c r="B1658" s="29" t="s">
        <v>35</v>
      </c>
      <c r="C1658" s="30"/>
      <c r="D1658" s="21"/>
      <c r="E1658" s="27"/>
      <c r="F1658" s="31">
        <f t="shared" si="808"/>
        <v>0</v>
      </c>
      <c r="G1658" s="27">
        <f t="shared" si="809"/>
        <v>0</v>
      </c>
      <c r="H1658" s="32"/>
      <c r="I1658" s="33">
        <f t="shared" si="810"/>
        <v>0</v>
      </c>
      <c r="J1658" s="26"/>
      <c r="K1658" s="27">
        <f t="shared" si="805"/>
        <v>0</v>
      </c>
      <c r="L1658" s="27">
        <f>IF(D1658="no",F1658*H1654-J1658,0)</f>
        <v>0</v>
      </c>
      <c r="M1658" s="578"/>
      <c r="N1658" s="564"/>
      <c r="O1658" s="1"/>
      <c r="P1658" s="3"/>
      <c r="Q1658" s="1"/>
      <c r="R1658" s="3"/>
      <c r="S1658" s="1"/>
      <c r="T1658" s="1"/>
      <c r="U1658" s="4"/>
    </row>
    <row r="1659" spans="1:21" ht="18.75" customHeight="1">
      <c r="A1659" s="39" t="s">
        <v>616</v>
      </c>
      <c r="B1659" s="29" t="s">
        <v>61</v>
      </c>
      <c r="C1659" s="30"/>
      <c r="D1659" s="38"/>
      <c r="E1659" s="27"/>
      <c r="F1659" s="31">
        <f t="shared" si="808"/>
        <v>0</v>
      </c>
      <c r="G1659" s="27">
        <f t="shared" si="809"/>
        <v>0</v>
      </c>
      <c r="H1659" s="32"/>
      <c r="I1659" s="33">
        <f t="shared" si="810"/>
        <v>0</v>
      </c>
      <c r="J1659" s="26"/>
      <c r="K1659" s="27">
        <f t="shared" si="805"/>
        <v>0</v>
      </c>
      <c r="L1659" s="27">
        <f>IF(D1659="no",F1659*H1654-J1659,0)</f>
        <v>0</v>
      </c>
      <c r="M1659" s="585"/>
      <c r="N1659" s="564"/>
      <c r="O1659" s="1"/>
      <c r="P1659" s="3"/>
      <c r="Q1659" s="1"/>
      <c r="R1659" s="3"/>
      <c r="S1659" s="1"/>
      <c r="T1659" s="1"/>
      <c r="U1659" s="4"/>
    </row>
    <row r="1660" spans="1:21" ht="18.75" customHeight="1">
      <c r="A1660" s="39" t="s">
        <v>616</v>
      </c>
      <c r="B1660" s="29" t="s">
        <v>37</v>
      </c>
      <c r="C1660" s="30"/>
      <c r="D1660" s="38"/>
      <c r="E1660" s="27"/>
      <c r="F1660" s="31">
        <f t="shared" si="808"/>
        <v>0</v>
      </c>
      <c r="G1660" s="27">
        <f t="shared" si="809"/>
        <v>0</v>
      </c>
      <c r="H1660" s="37"/>
      <c r="I1660" s="33">
        <f t="shared" si="810"/>
        <v>0</v>
      </c>
      <c r="J1660" s="26"/>
      <c r="K1660" s="27">
        <f t="shared" si="805"/>
        <v>0</v>
      </c>
      <c r="L1660" s="27">
        <f>IF(D1660="no",F1660*#REF!-J1660,0)</f>
        <v>0</v>
      </c>
      <c r="M1660" s="578"/>
      <c r="N1660" s="564"/>
      <c r="O1660" s="1"/>
      <c r="P1660" s="3"/>
      <c r="Q1660" s="1"/>
      <c r="R1660" s="163"/>
      <c r="S1660" s="3"/>
      <c r="T1660" s="1"/>
      <c r="U1660" s="4"/>
    </row>
    <row r="1661" spans="1:21" ht="18.75" customHeight="1">
      <c r="A1661" s="575" t="s">
        <v>42</v>
      </c>
      <c r="B1661" s="576"/>
      <c r="C1661" s="576"/>
      <c r="D1661" s="577"/>
      <c r="E1661" s="42">
        <f t="shared" ref="E1661:L1661" si="811">SUM(E1647:E1660)</f>
        <v>1650000</v>
      </c>
      <c r="F1661" s="17">
        <f t="shared" si="811"/>
        <v>1499999.9999999998</v>
      </c>
      <c r="G1661" s="42">
        <f t="shared" si="811"/>
        <v>150000</v>
      </c>
      <c r="H1661" s="43">
        <f t="shared" si="811"/>
        <v>600000</v>
      </c>
      <c r="I1661" s="42">
        <f t="shared" si="811"/>
        <v>19800</v>
      </c>
      <c r="J1661" s="43">
        <f t="shared" si="811"/>
        <v>0</v>
      </c>
      <c r="K1661" s="42">
        <f t="shared" si="811"/>
        <v>580200</v>
      </c>
      <c r="L1661" s="42">
        <f t="shared" si="811"/>
        <v>0</v>
      </c>
      <c r="M1661" s="44"/>
      <c r="N1661" s="45"/>
      <c r="O1661" s="1"/>
      <c r="P1661" s="3"/>
      <c r="Q1661" s="1"/>
      <c r="R1661" s="1"/>
      <c r="S1661" s="1"/>
      <c r="T1661" s="1"/>
      <c r="U1661" s="4"/>
    </row>
    <row r="1662" spans="1:21" ht="18.75" customHeight="1">
      <c r="A1662" s="46" t="s">
        <v>37</v>
      </c>
      <c r="B1662" s="47" t="s">
        <v>132</v>
      </c>
      <c r="C1662" s="48">
        <f>D1645</f>
        <v>3</v>
      </c>
      <c r="D1662" s="47" t="s">
        <v>44</v>
      </c>
      <c r="E1662" s="49"/>
      <c r="F1662" s="50"/>
      <c r="G1662" s="51"/>
      <c r="H1662" s="49">
        <f>IF(G1662&gt;=25,"팀포상 대상",0)</f>
        <v>0</v>
      </c>
      <c r="I1662" s="53" t="s">
        <v>46</v>
      </c>
      <c r="J1662" s="54"/>
      <c r="K1662" s="59"/>
      <c r="L1662" s="62"/>
      <c r="M1662" s="63"/>
      <c r="N1662" s="64"/>
      <c r="O1662" s="1"/>
      <c r="P1662" s="3"/>
      <c r="Q1662" s="1"/>
      <c r="R1662" s="1"/>
      <c r="S1662" s="1"/>
      <c r="T1662" s="1"/>
      <c r="U1662" s="4"/>
    </row>
    <row r="1663" spans="1:21" ht="18.75" customHeight="1" thickBot="1">
      <c r="A1663" s="56" t="s">
        <v>48</v>
      </c>
      <c r="B1663" s="57" t="s">
        <v>133</v>
      </c>
      <c r="C1663" s="58">
        <f>ROUND(F1661/10000,0)</f>
        <v>150</v>
      </c>
      <c r="D1663" s="57" t="s">
        <v>50</v>
      </c>
      <c r="E1663" s="52"/>
      <c r="F1663" s="59"/>
      <c r="G1663" s="60"/>
      <c r="H1663" s="52"/>
      <c r="I1663" s="59"/>
      <c r="J1663" s="61"/>
      <c r="K1663" s="59"/>
      <c r="L1663" s="62"/>
      <c r="M1663" s="63"/>
      <c r="N1663" s="148"/>
      <c r="O1663" s="1"/>
      <c r="P1663" s="3"/>
      <c r="Q1663" s="1"/>
      <c r="R1663" s="1"/>
      <c r="S1663" s="1"/>
      <c r="T1663" s="1"/>
      <c r="U1663" s="4"/>
    </row>
    <row r="1664" spans="1:21" ht="18.75" customHeight="1" thickBot="1">
      <c r="A1664" s="566" t="s">
        <v>52</v>
      </c>
      <c r="B1664" s="567"/>
      <c r="C1664" s="567"/>
      <c r="D1664" s="568"/>
      <c r="E1664" s="65"/>
      <c r="F1664" s="569" t="s">
        <v>53</v>
      </c>
      <c r="G1664" s="568"/>
      <c r="H1664" s="66">
        <f>H1661-J1662</f>
        <v>600000</v>
      </c>
      <c r="I1664" s="67">
        <f>H1664*3.3%</f>
        <v>19800</v>
      </c>
      <c r="J1664" s="68">
        <f>SUM(J1661)</f>
        <v>0</v>
      </c>
      <c r="K1664" s="69">
        <f>H1664-I1664-J1664</f>
        <v>580200</v>
      </c>
      <c r="L1664" s="70">
        <f>L1661+SUM(H1662:H1663)+J1663</f>
        <v>0</v>
      </c>
      <c r="M1664" s="570">
        <f>K1664+L1664</f>
        <v>580200</v>
      </c>
      <c r="N1664" s="571"/>
      <c r="O1664" s="1"/>
      <c r="P1664" s="3"/>
      <c r="Q1664" s="1"/>
      <c r="R1664" s="1"/>
      <c r="S1664" s="1"/>
      <c r="T1664" s="1"/>
      <c r="U1664" s="4"/>
    </row>
    <row r="1665" spans="1:21" ht="18.75" customHeight="1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3"/>
      <c r="Q1665" s="1"/>
      <c r="R1665" s="1"/>
      <c r="S1665" s="205"/>
      <c r="T1665" s="1"/>
      <c r="U1665" s="4"/>
    </row>
    <row r="1666" spans="1:21" ht="18.75" hidden="1" customHeight="1">
      <c r="A1666" s="6"/>
      <c r="B1666" s="7" t="str">
        <f>$B$34</f>
        <v>1월</v>
      </c>
      <c r="C1666" s="8" t="s">
        <v>1</v>
      </c>
      <c r="D1666" s="9">
        <f>COUNTIF($C1668:$C1681,"계약")+(COUNTIF($C1668:$C1681,"계약2")*2)</f>
        <v>0</v>
      </c>
      <c r="E1666" s="3">
        <f>COUNTIF(C1668:C1681,"낙찰수수료")</f>
        <v>0</v>
      </c>
      <c r="F1666" s="3"/>
      <c r="G1666" s="89"/>
      <c r="H1666" s="123">
        <v>0.4</v>
      </c>
      <c r="I1666" s="12">
        <v>3.3000000000000002E-2</v>
      </c>
      <c r="J1666" s="1"/>
      <c r="K1666" s="1"/>
      <c r="L1666" s="1"/>
      <c r="M1666" s="1"/>
      <c r="N1666" s="1"/>
      <c r="O1666" s="1"/>
      <c r="P1666" s="3"/>
      <c r="Q1666" s="1"/>
      <c r="R1666" s="1"/>
      <c r="S1666" s="1"/>
      <c r="T1666" s="1"/>
      <c r="U1666" s="4"/>
    </row>
    <row r="1667" spans="1:21" ht="18.75" hidden="1" customHeight="1">
      <c r="A1667" s="13" t="s">
        <v>3</v>
      </c>
      <c r="B1667" s="14" t="s">
        <v>4</v>
      </c>
      <c r="C1667" s="14" t="s">
        <v>5</v>
      </c>
      <c r="D1667" s="15" t="s">
        <v>6</v>
      </c>
      <c r="E1667" s="16" t="s">
        <v>7</v>
      </c>
      <c r="F1667" s="17" t="s">
        <v>8</v>
      </c>
      <c r="G1667" s="14" t="s">
        <v>9</v>
      </c>
      <c r="H1667" s="15" t="s">
        <v>10</v>
      </c>
      <c r="I1667" s="14" t="s">
        <v>11</v>
      </c>
      <c r="J1667" s="15" t="s">
        <v>12</v>
      </c>
      <c r="K1667" s="14" t="s">
        <v>13</v>
      </c>
      <c r="L1667" s="14" t="s">
        <v>14</v>
      </c>
      <c r="M1667" s="579" t="s">
        <v>15</v>
      </c>
      <c r="N1667" s="577"/>
      <c r="O1667" s="1"/>
      <c r="P1667" s="3"/>
      <c r="Q1667" s="1"/>
      <c r="R1667" s="1"/>
      <c r="S1667" s="1"/>
      <c r="T1667" s="1"/>
      <c r="U1667" s="4"/>
    </row>
    <row r="1668" spans="1:21" ht="18.75" hidden="1" customHeight="1">
      <c r="A1668" s="28"/>
      <c r="B1668" s="29"/>
      <c r="C1668" s="30"/>
      <c r="D1668" s="21"/>
      <c r="E1668" s="27"/>
      <c r="F1668" s="31">
        <f t="shared" ref="F1668:F1681" si="812">IF(D1668="no",E1668,E1668/1.1)</f>
        <v>0</v>
      </c>
      <c r="G1668" s="27">
        <f t="shared" ref="G1668:G1681" si="813">IF(D1668="no",0,F1668*0.1)</f>
        <v>0</v>
      </c>
      <c r="H1668" s="32">
        <f>IF(D1668="no",0,F1668*H1666)</f>
        <v>0</v>
      </c>
      <c r="I1668" s="33">
        <f t="shared" ref="I1668:I1681" si="814">IF(D1668="no",0,H1668*3.3%)</f>
        <v>0</v>
      </c>
      <c r="J1668" s="26"/>
      <c r="K1668" s="27">
        <f t="shared" ref="K1668:K1681" si="815">IF(D1668="no",0,H1668-I1668-J1668)</f>
        <v>0</v>
      </c>
      <c r="L1668" s="27">
        <f>IF(D1668="no",F1668*H1666-J1668,0)</f>
        <v>0</v>
      </c>
      <c r="M1668" s="580"/>
      <c r="N1668" s="581"/>
      <c r="O1668" s="1"/>
      <c r="P1668" s="3"/>
      <c r="Q1668" s="1"/>
      <c r="R1668" s="1"/>
      <c r="S1668" s="1"/>
      <c r="T1668" s="1"/>
      <c r="U1668" s="4"/>
    </row>
    <row r="1669" spans="1:21" ht="18.75" hidden="1" customHeight="1">
      <c r="A1669" s="28"/>
      <c r="B1669" s="29"/>
      <c r="C1669" s="30"/>
      <c r="D1669" s="21"/>
      <c r="E1669" s="27"/>
      <c r="F1669" s="31">
        <f t="shared" si="812"/>
        <v>0</v>
      </c>
      <c r="G1669" s="27">
        <f t="shared" si="813"/>
        <v>0</v>
      </c>
      <c r="H1669" s="32">
        <f>IF(D1669="no",0,F1669*H1666)</f>
        <v>0</v>
      </c>
      <c r="I1669" s="33">
        <f t="shared" si="814"/>
        <v>0</v>
      </c>
      <c r="J1669" s="26"/>
      <c r="K1669" s="27">
        <f t="shared" si="815"/>
        <v>0</v>
      </c>
      <c r="L1669" s="27">
        <f>IF(D1669="no",F1669*H1666-J1669,0)</f>
        <v>0</v>
      </c>
      <c r="M1669" s="572"/>
      <c r="N1669" s="564"/>
      <c r="O1669" s="1"/>
      <c r="P1669" s="572"/>
      <c r="Q1669" s="606"/>
      <c r="R1669" s="1"/>
      <c r="S1669" s="1"/>
      <c r="T1669" s="1"/>
      <c r="U1669" s="4"/>
    </row>
    <row r="1670" spans="1:21" ht="18.75" hidden="1" customHeight="1">
      <c r="A1670" s="28"/>
      <c r="B1670" s="29"/>
      <c r="C1670" s="30"/>
      <c r="D1670" s="21"/>
      <c r="E1670" s="27"/>
      <c r="F1670" s="31">
        <f t="shared" si="812"/>
        <v>0</v>
      </c>
      <c r="G1670" s="27">
        <f t="shared" si="813"/>
        <v>0</v>
      </c>
      <c r="H1670" s="32">
        <f>IF(D1670="no",0,F1670*H1666)</f>
        <v>0</v>
      </c>
      <c r="I1670" s="33">
        <f t="shared" si="814"/>
        <v>0</v>
      </c>
      <c r="J1670" s="26"/>
      <c r="K1670" s="27">
        <f t="shared" si="815"/>
        <v>0</v>
      </c>
      <c r="L1670" s="27">
        <f>IF(D1670="no",F1670*H1666-J1670,0)</f>
        <v>0</v>
      </c>
      <c r="M1670" s="572"/>
      <c r="N1670" s="564"/>
      <c r="O1670" s="1"/>
      <c r="P1670" s="3"/>
      <c r="Q1670" s="1"/>
      <c r="R1670" s="1"/>
      <c r="S1670" s="1"/>
      <c r="T1670" s="1"/>
      <c r="U1670" s="4"/>
    </row>
    <row r="1671" spans="1:21" ht="18.75" hidden="1" customHeight="1">
      <c r="A1671" s="28"/>
      <c r="B1671" s="29"/>
      <c r="C1671" s="30"/>
      <c r="D1671" s="21"/>
      <c r="E1671" s="27"/>
      <c r="F1671" s="31">
        <f t="shared" si="812"/>
        <v>0</v>
      </c>
      <c r="G1671" s="27">
        <f t="shared" si="813"/>
        <v>0</v>
      </c>
      <c r="H1671" s="32">
        <f>IF(D1671="no",0,F1671*H1666)</f>
        <v>0</v>
      </c>
      <c r="I1671" s="33">
        <f t="shared" si="814"/>
        <v>0</v>
      </c>
      <c r="J1671" s="26"/>
      <c r="K1671" s="27">
        <f t="shared" si="815"/>
        <v>0</v>
      </c>
      <c r="L1671" s="27">
        <f>IF(D1671="no",F1671*H1666-J1671,0)</f>
        <v>0</v>
      </c>
      <c r="M1671" s="572"/>
      <c r="N1671" s="564"/>
      <c r="O1671" s="1"/>
      <c r="P1671" s="3"/>
      <c r="Q1671" s="1"/>
      <c r="R1671" s="1"/>
      <c r="S1671" s="1"/>
      <c r="T1671" s="1"/>
      <c r="U1671" s="4"/>
    </row>
    <row r="1672" spans="1:21" ht="18.75" hidden="1" customHeight="1">
      <c r="A1672" s="28"/>
      <c r="B1672" s="29"/>
      <c r="C1672" s="30"/>
      <c r="D1672" s="21"/>
      <c r="E1672" s="27"/>
      <c r="F1672" s="31">
        <f t="shared" si="812"/>
        <v>0</v>
      </c>
      <c r="G1672" s="27">
        <f t="shared" si="813"/>
        <v>0</v>
      </c>
      <c r="H1672" s="32">
        <f>IF(D1672="no",0,F1672*H1666)</f>
        <v>0</v>
      </c>
      <c r="I1672" s="33">
        <f t="shared" si="814"/>
        <v>0</v>
      </c>
      <c r="J1672" s="26"/>
      <c r="K1672" s="27">
        <f t="shared" si="815"/>
        <v>0</v>
      </c>
      <c r="L1672" s="27">
        <f>IF(D1672="no",F1672*H1666-J1672,0)</f>
        <v>0</v>
      </c>
      <c r="M1672" s="572"/>
      <c r="N1672" s="564"/>
      <c r="O1672" s="1"/>
      <c r="P1672" s="3"/>
      <c r="Q1672" s="1"/>
      <c r="R1672" s="1"/>
      <c r="S1672" s="1"/>
      <c r="T1672" s="1"/>
      <c r="U1672" s="4"/>
    </row>
    <row r="1673" spans="1:21" ht="18.75" hidden="1" customHeight="1">
      <c r="A1673" s="28"/>
      <c r="B1673" s="29"/>
      <c r="C1673" s="30"/>
      <c r="D1673" s="21"/>
      <c r="E1673" s="27"/>
      <c r="F1673" s="31">
        <f t="shared" si="812"/>
        <v>0</v>
      </c>
      <c r="G1673" s="27">
        <f t="shared" si="813"/>
        <v>0</v>
      </c>
      <c r="H1673" s="32">
        <f>IF(D1673="no",0,F1673*H1666)</f>
        <v>0</v>
      </c>
      <c r="I1673" s="33">
        <f t="shared" si="814"/>
        <v>0</v>
      </c>
      <c r="J1673" s="26"/>
      <c r="K1673" s="27">
        <f t="shared" si="815"/>
        <v>0</v>
      </c>
      <c r="L1673" s="27">
        <f>IF(D1673="no",F1673*H1666-J1673,0)</f>
        <v>0</v>
      </c>
      <c r="M1673" s="563"/>
      <c r="N1673" s="564"/>
      <c r="O1673" s="1"/>
      <c r="P1673" s="3"/>
      <c r="Q1673" s="1"/>
      <c r="R1673" s="1"/>
      <c r="S1673" s="1"/>
      <c r="T1673" s="1"/>
      <c r="U1673" s="4"/>
    </row>
    <row r="1674" spans="1:21" ht="18.75" hidden="1" customHeight="1">
      <c r="A1674" s="28"/>
      <c r="B1674" s="29"/>
      <c r="C1674" s="30"/>
      <c r="D1674" s="21"/>
      <c r="E1674" s="27"/>
      <c r="F1674" s="31">
        <f t="shared" si="812"/>
        <v>0</v>
      </c>
      <c r="G1674" s="27">
        <f t="shared" si="813"/>
        <v>0</v>
      </c>
      <c r="H1674" s="32">
        <f>IF(D1674="no",0,F1674*H1666)</f>
        <v>0</v>
      </c>
      <c r="I1674" s="33">
        <f t="shared" si="814"/>
        <v>0</v>
      </c>
      <c r="J1674" s="26"/>
      <c r="K1674" s="27">
        <f t="shared" si="815"/>
        <v>0</v>
      </c>
      <c r="L1674" s="27">
        <f>IF(D1674="no",F1674*H1666-J1674,0)</f>
        <v>0</v>
      </c>
      <c r="M1674" s="563"/>
      <c r="N1674" s="564"/>
      <c r="O1674" s="1"/>
      <c r="P1674" s="3"/>
      <c r="Q1674" s="1"/>
      <c r="R1674" s="1"/>
      <c r="S1674" s="1"/>
      <c r="T1674" s="1"/>
      <c r="U1674" s="4"/>
    </row>
    <row r="1675" spans="1:21" ht="18.75" hidden="1" customHeight="1">
      <c r="A1675" s="28"/>
      <c r="B1675" s="29"/>
      <c r="C1675" s="30"/>
      <c r="D1675" s="21"/>
      <c r="E1675" s="27"/>
      <c r="F1675" s="31">
        <f t="shared" si="812"/>
        <v>0</v>
      </c>
      <c r="G1675" s="27">
        <f t="shared" si="813"/>
        <v>0</v>
      </c>
      <c r="H1675" s="32">
        <f>IF(D1675="no",0,F1675*H1666)</f>
        <v>0</v>
      </c>
      <c r="I1675" s="33">
        <f t="shared" si="814"/>
        <v>0</v>
      </c>
      <c r="J1675" s="26"/>
      <c r="K1675" s="27">
        <f t="shared" si="815"/>
        <v>0</v>
      </c>
      <c r="L1675" s="27">
        <f>IF(D1675="no",F1675*H1666-J1675,0)</f>
        <v>0</v>
      </c>
      <c r="M1675" s="563"/>
      <c r="N1675" s="564"/>
      <c r="O1675" s="1"/>
      <c r="P1675" s="3"/>
      <c r="Q1675" s="1"/>
      <c r="R1675" s="1"/>
      <c r="S1675" s="1"/>
      <c r="T1675" s="1"/>
      <c r="U1675" s="4"/>
    </row>
    <row r="1676" spans="1:21" ht="18.75" hidden="1" customHeight="1">
      <c r="A1676" s="28"/>
      <c r="B1676" s="29"/>
      <c r="C1676" s="30"/>
      <c r="D1676" s="21"/>
      <c r="E1676" s="27"/>
      <c r="F1676" s="31">
        <f t="shared" si="812"/>
        <v>0</v>
      </c>
      <c r="G1676" s="27">
        <f t="shared" si="813"/>
        <v>0</v>
      </c>
      <c r="H1676" s="32">
        <f>IF(D1676="no",0,F1676*H1666)</f>
        <v>0</v>
      </c>
      <c r="I1676" s="33">
        <f t="shared" si="814"/>
        <v>0</v>
      </c>
      <c r="J1676" s="26"/>
      <c r="K1676" s="27">
        <f t="shared" si="815"/>
        <v>0</v>
      </c>
      <c r="L1676" s="27">
        <f>IF(D1676="no",F1676*H1666-J1676,0)</f>
        <v>0</v>
      </c>
      <c r="M1676" s="563"/>
      <c r="N1676" s="564"/>
      <c r="O1676" s="1"/>
      <c r="P1676" s="3"/>
      <c r="Q1676" s="3"/>
      <c r="R1676" s="141"/>
      <c r="S1676" s="1"/>
      <c r="T1676" s="1"/>
      <c r="U1676" s="4"/>
    </row>
    <row r="1677" spans="1:21" ht="18.75" hidden="1" customHeight="1">
      <c r="A1677" s="28"/>
      <c r="B1677" s="29"/>
      <c r="C1677" s="30"/>
      <c r="D1677" s="21"/>
      <c r="E1677" s="27"/>
      <c r="F1677" s="31">
        <f t="shared" si="812"/>
        <v>0</v>
      </c>
      <c r="G1677" s="27">
        <f t="shared" si="813"/>
        <v>0</v>
      </c>
      <c r="H1677" s="32">
        <f>IF(D1677="no",0,F1677*H1666)</f>
        <v>0</v>
      </c>
      <c r="I1677" s="33">
        <f t="shared" si="814"/>
        <v>0</v>
      </c>
      <c r="J1677" s="26"/>
      <c r="K1677" s="27">
        <f t="shared" si="815"/>
        <v>0</v>
      </c>
      <c r="L1677" s="27">
        <f>IF(D1677="no",F1677*H1666-J1677,0)</f>
        <v>0</v>
      </c>
      <c r="M1677" s="563"/>
      <c r="N1677" s="564"/>
      <c r="O1677" s="1"/>
      <c r="P1677" s="3"/>
      <c r="Q1677" s="1"/>
      <c r="R1677" s="3"/>
      <c r="S1677" s="1"/>
      <c r="T1677" s="1"/>
      <c r="U1677" s="4"/>
    </row>
    <row r="1678" spans="1:21" ht="18.75" hidden="1" customHeight="1">
      <c r="A1678" s="28"/>
      <c r="B1678" s="29"/>
      <c r="C1678" s="30"/>
      <c r="D1678" s="21"/>
      <c r="E1678" s="27"/>
      <c r="F1678" s="31">
        <f t="shared" si="812"/>
        <v>0</v>
      </c>
      <c r="G1678" s="27">
        <f t="shared" si="813"/>
        <v>0</v>
      </c>
      <c r="H1678" s="32">
        <f>IF(D1678="no",0,F1678*H1666)</f>
        <v>0</v>
      </c>
      <c r="I1678" s="33">
        <f t="shared" si="814"/>
        <v>0</v>
      </c>
      <c r="J1678" s="26"/>
      <c r="K1678" s="27">
        <f t="shared" si="815"/>
        <v>0</v>
      </c>
      <c r="L1678" s="27">
        <f>IF(D1678="no",F1678*H1666-J1678,0)</f>
        <v>0</v>
      </c>
      <c r="M1678" s="563"/>
      <c r="N1678" s="564"/>
      <c r="O1678" s="1"/>
      <c r="P1678" s="3"/>
      <c r="Q1678" s="1"/>
      <c r="R1678" s="1"/>
      <c r="S1678" s="1"/>
      <c r="T1678" s="1"/>
      <c r="U1678" s="4"/>
    </row>
    <row r="1679" spans="1:21" ht="18.75" hidden="1" customHeight="1">
      <c r="A1679" s="39" t="s">
        <v>501</v>
      </c>
      <c r="B1679" s="29" t="s">
        <v>35</v>
      </c>
      <c r="C1679" s="30"/>
      <c r="D1679" s="21"/>
      <c r="E1679" s="27"/>
      <c r="F1679" s="31">
        <f t="shared" si="812"/>
        <v>0</v>
      </c>
      <c r="G1679" s="27">
        <f t="shared" si="813"/>
        <v>0</v>
      </c>
      <c r="H1679" s="37">
        <f>(E1683+E1684+N1683)/0.967</f>
        <v>0</v>
      </c>
      <c r="I1679" s="33">
        <f t="shared" si="814"/>
        <v>0</v>
      </c>
      <c r="J1679" s="26"/>
      <c r="K1679" s="27">
        <f t="shared" si="815"/>
        <v>0</v>
      </c>
      <c r="L1679" s="27"/>
      <c r="M1679" s="572"/>
      <c r="N1679" s="564"/>
      <c r="O1679" s="1"/>
      <c r="P1679" s="3"/>
      <c r="Q1679" s="1"/>
      <c r="R1679" s="1"/>
      <c r="S1679" s="1"/>
      <c r="T1679" s="1"/>
      <c r="U1679" s="4"/>
    </row>
    <row r="1680" spans="1:21" ht="18.75" hidden="1" customHeight="1">
      <c r="A1680" s="39" t="s">
        <v>501</v>
      </c>
      <c r="B1680" s="29" t="s">
        <v>61</v>
      </c>
      <c r="C1680" s="30"/>
      <c r="D1680" s="38"/>
      <c r="E1680" s="27"/>
      <c r="F1680" s="31">
        <f t="shared" si="812"/>
        <v>0</v>
      </c>
      <c r="G1680" s="27">
        <f t="shared" si="813"/>
        <v>0</v>
      </c>
      <c r="H1680" s="37">
        <f>L1682/0.967</f>
        <v>0</v>
      </c>
      <c r="I1680" s="33">
        <f t="shared" si="814"/>
        <v>0</v>
      </c>
      <c r="J1680" s="26"/>
      <c r="K1680" s="27">
        <f t="shared" si="815"/>
        <v>0</v>
      </c>
      <c r="L1680" s="27">
        <f>IF(D1680="no",F1680*H1666-J1680,0)</f>
        <v>0</v>
      </c>
      <c r="M1680" s="563"/>
      <c r="N1680" s="564"/>
      <c r="O1680" s="1"/>
      <c r="P1680" s="3"/>
      <c r="Q1680" s="1"/>
      <c r="R1680" s="1"/>
      <c r="S1680" s="1"/>
      <c r="T1680" s="1"/>
      <c r="U1680" s="4"/>
    </row>
    <row r="1681" spans="1:21" ht="18.75" hidden="1" customHeight="1">
      <c r="A1681" s="39" t="s">
        <v>501</v>
      </c>
      <c r="B1681" s="29" t="s">
        <v>37</v>
      </c>
      <c r="C1681" s="30"/>
      <c r="D1681" s="38"/>
      <c r="E1681" s="27"/>
      <c r="F1681" s="31">
        <f t="shared" si="812"/>
        <v>0</v>
      </c>
      <c r="G1681" s="27">
        <f t="shared" si="813"/>
        <v>0</v>
      </c>
      <c r="H1681" s="37"/>
      <c r="I1681" s="33">
        <f t="shared" si="814"/>
        <v>0</v>
      </c>
      <c r="J1681" s="26"/>
      <c r="K1681" s="27">
        <f t="shared" si="815"/>
        <v>0</v>
      </c>
      <c r="L1681" s="27">
        <f>IF(D1681="no",F1681*#REF!-J1681,0)</f>
        <v>0</v>
      </c>
      <c r="M1681" s="563"/>
      <c r="N1681" s="564"/>
      <c r="O1681" s="1"/>
      <c r="P1681" s="3"/>
      <c r="Q1681" s="1"/>
      <c r="R1681" s="1"/>
      <c r="S1681" s="1"/>
      <c r="T1681" s="1"/>
      <c r="U1681" s="4"/>
    </row>
    <row r="1682" spans="1:21" ht="18.75" hidden="1" customHeight="1">
      <c r="A1682" s="575" t="s">
        <v>42</v>
      </c>
      <c r="B1682" s="576"/>
      <c r="C1682" s="576"/>
      <c r="D1682" s="577"/>
      <c r="E1682" s="42">
        <f t="shared" ref="E1682:L1682" si="816">SUM(E1668:E1681)</f>
        <v>0</v>
      </c>
      <c r="F1682" s="17">
        <f t="shared" si="816"/>
        <v>0</v>
      </c>
      <c r="G1682" s="42">
        <f t="shared" si="816"/>
        <v>0</v>
      </c>
      <c r="H1682" s="43">
        <f t="shared" si="816"/>
        <v>0</v>
      </c>
      <c r="I1682" s="42">
        <f t="shared" si="816"/>
        <v>0</v>
      </c>
      <c r="J1682" s="43">
        <f t="shared" si="816"/>
        <v>0</v>
      </c>
      <c r="K1682" s="42">
        <f t="shared" si="816"/>
        <v>0</v>
      </c>
      <c r="L1682" s="42">
        <f t="shared" si="816"/>
        <v>0</v>
      </c>
      <c r="M1682" s="44"/>
      <c r="N1682" s="45"/>
      <c r="O1682" s="1"/>
      <c r="P1682" s="3"/>
      <c r="Q1682" s="1"/>
      <c r="R1682" s="1"/>
      <c r="S1682" s="1"/>
      <c r="T1682" s="1"/>
      <c r="U1682" s="4"/>
    </row>
    <row r="1683" spans="1:21" ht="18.75" hidden="1" customHeight="1">
      <c r="A1683" s="46" t="s">
        <v>37</v>
      </c>
      <c r="B1683" s="47" t="s">
        <v>132</v>
      </c>
      <c r="C1683" s="48">
        <f>D1666</f>
        <v>0</v>
      </c>
      <c r="D1683" s="47" t="s">
        <v>44</v>
      </c>
      <c r="E1683" s="49"/>
      <c r="F1683" s="84"/>
      <c r="G1683" s="85"/>
      <c r="H1683" s="49"/>
      <c r="I1683" s="53" t="s">
        <v>46</v>
      </c>
      <c r="J1683" s="54"/>
      <c r="K1683" s="50"/>
      <c r="L1683" s="55"/>
      <c r="M1683" s="63"/>
      <c r="N1683" s="64"/>
      <c r="O1683" s="1"/>
      <c r="P1683" s="3"/>
      <c r="Q1683" s="1"/>
      <c r="R1683" s="1"/>
      <c r="S1683" s="1"/>
      <c r="T1683" s="1"/>
      <c r="U1683" s="4"/>
    </row>
    <row r="1684" spans="1:21" ht="18.75" hidden="1" customHeight="1" thickBot="1">
      <c r="A1684" s="56" t="s">
        <v>48</v>
      </c>
      <c r="B1684" s="57" t="s">
        <v>133</v>
      </c>
      <c r="C1684" s="58">
        <f>ROUND(F1682/10000,0)</f>
        <v>0</v>
      </c>
      <c r="D1684" s="57" t="s">
        <v>50</v>
      </c>
      <c r="E1684" s="52">
        <f>IF(C1684&gt;=8000,5200000,IF(C1684&gt;=5000,2700000,IF(C1684&gt;=200,200000,0)))</f>
        <v>0</v>
      </c>
      <c r="F1684" s="86"/>
      <c r="G1684" s="87"/>
      <c r="H1684" s="52"/>
      <c r="I1684" s="59"/>
      <c r="J1684" s="61"/>
      <c r="K1684" s="59"/>
      <c r="L1684" s="62"/>
      <c r="M1684" s="63"/>
      <c r="N1684" s="64"/>
      <c r="O1684" s="1"/>
      <c r="P1684" s="3"/>
      <c r="Q1684" s="1"/>
      <c r="R1684" s="1"/>
      <c r="S1684" s="1"/>
      <c r="T1684" s="1"/>
      <c r="U1684" s="4"/>
    </row>
    <row r="1685" spans="1:21" ht="18.75" hidden="1" customHeight="1" thickBot="1">
      <c r="A1685" s="566" t="s">
        <v>52</v>
      </c>
      <c r="B1685" s="567"/>
      <c r="C1685" s="567"/>
      <c r="D1685" s="568"/>
      <c r="E1685" s="65"/>
      <c r="F1685" s="569" t="s">
        <v>53</v>
      </c>
      <c r="G1685" s="568"/>
      <c r="H1685" s="66">
        <f>H1682-J1683</f>
        <v>0</v>
      </c>
      <c r="I1685" s="67">
        <f>H1685*3.3%</f>
        <v>0</v>
      </c>
      <c r="J1685" s="68">
        <f>SUM(J1682)</f>
        <v>0</v>
      </c>
      <c r="K1685" s="69">
        <f>H1685-I1685-J1685</f>
        <v>0</v>
      </c>
      <c r="L1685" s="70">
        <f>L1682+SUM(H1683:H1684)+J1684</f>
        <v>0</v>
      </c>
      <c r="M1685" s="570">
        <f>K1685+L1685</f>
        <v>0</v>
      </c>
      <c r="N1685" s="571"/>
      <c r="O1685" s="1"/>
      <c r="P1685" s="3"/>
      <c r="Q1685" s="1"/>
      <c r="R1685" s="1"/>
      <c r="S1685" s="1"/>
      <c r="T1685" s="1"/>
      <c r="U1685" s="4"/>
    </row>
    <row r="1686" spans="1:21" ht="18.75" hidden="1" customHeight="1">
      <c r="A1686" s="1"/>
      <c r="B1686" s="1"/>
      <c r="C1686" s="1"/>
      <c r="D1686" s="1"/>
      <c r="E1686" s="1"/>
      <c r="F1686" s="1"/>
      <c r="G1686" s="1"/>
      <c r="H1686" s="141"/>
      <c r="I1686" s="1"/>
      <c r="J1686" s="1"/>
      <c r="K1686" s="1"/>
      <c r="L1686" s="1"/>
      <c r="M1686" s="1"/>
      <c r="N1686" s="1"/>
      <c r="O1686" s="1"/>
      <c r="P1686" s="3"/>
      <c r="Q1686" s="1"/>
      <c r="R1686" s="1"/>
      <c r="S1686" s="1"/>
      <c r="T1686" s="1"/>
      <c r="U1686" s="4"/>
    </row>
    <row r="1687" spans="1:21" ht="18.75" hidden="1" customHeight="1">
      <c r="A1687" s="6"/>
      <c r="B1687" s="7" t="str">
        <f>$B$34</f>
        <v>1월</v>
      </c>
      <c r="C1687" s="8" t="s">
        <v>1</v>
      </c>
      <c r="D1687" s="9">
        <f>COUNTIF($C1689:$C1706,"계약")+(COUNTIF($C1689:$C1706,"계약2")*2)</f>
        <v>0</v>
      </c>
      <c r="E1687" s="3">
        <f>COUNTIF(C1689:C1706,"낙찰수수료")</f>
        <v>0</v>
      </c>
      <c r="F1687" s="10"/>
      <c r="G1687" s="1"/>
      <c r="H1687" s="11">
        <v>0.5</v>
      </c>
      <c r="I1687" s="12">
        <v>3.3000000000000002E-2</v>
      </c>
      <c r="J1687" s="1"/>
      <c r="K1687" s="1"/>
      <c r="L1687" s="1"/>
      <c r="M1687" s="1"/>
      <c r="N1687" s="1"/>
      <c r="O1687" s="1"/>
      <c r="P1687" s="3"/>
      <c r="Q1687" s="1"/>
      <c r="R1687" s="1"/>
      <c r="S1687" s="1"/>
      <c r="T1687" s="1"/>
      <c r="U1687" s="4"/>
    </row>
    <row r="1688" spans="1:21" ht="18.75" hidden="1" customHeight="1">
      <c r="A1688" s="13" t="s">
        <v>3</v>
      </c>
      <c r="B1688" s="14" t="s">
        <v>4</v>
      </c>
      <c r="C1688" s="14" t="s">
        <v>5</v>
      </c>
      <c r="D1688" s="15" t="s">
        <v>6</v>
      </c>
      <c r="E1688" s="16" t="s">
        <v>7</v>
      </c>
      <c r="F1688" s="17" t="s">
        <v>8</v>
      </c>
      <c r="G1688" s="14" t="s">
        <v>9</v>
      </c>
      <c r="H1688" s="15" t="s">
        <v>10</v>
      </c>
      <c r="I1688" s="14" t="s">
        <v>11</v>
      </c>
      <c r="J1688" s="15" t="s">
        <v>12</v>
      </c>
      <c r="K1688" s="14" t="s">
        <v>13</v>
      </c>
      <c r="L1688" s="14" t="s">
        <v>14</v>
      </c>
      <c r="M1688" s="579" t="s">
        <v>15</v>
      </c>
      <c r="N1688" s="577"/>
      <c r="O1688" s="1"/>
      <c r="P1688" s="3"/>
      <c r="Q1688" s="1"/>
      <c r="R1688" s="1"/>
      <c r="S1688" s="1"/>
      <c r="T1688" s="1"/>
      <c r="U1688" s="4"/>
    </row>
    <row r="1689" spans="1:21" ht="18.75" hidden="1" customHeight="1">
      <c r="A1689" s="28"/>
      <c r="B1689" s="29"/>
      <c r="C1689" s="29"/>
      <c r="D1689" s="21"/>
      <c r="E1689" s="27"/>
      <c r="F1689" s="31">
        <f t="shared" ref="F1689:F1695" si="817">IF(D1689="no",E1689,E1689/1.1)</f>
        <v>0</v>
      </c>
      <c r="G1689" s="27">
        <f t="shared" ref="G1689:G1695" si="818">IF(D1689="no",0,F1689*0.1)</f>
        <v>0</v>
      </c>
      <c r="H1689" s="32">
        <f>IF(D1689="no",0,F1689*H1687)</f>
        <v>0</v>
      </c>
      <c r="I1689" s="33">
        <f t="shared" ref="I1689:I1695" si="819">IF(D1689="no",0,H1689*3.3%)</f>
        <v>0</v>
      </c>
      <c r="J1689" s="26"/>
      <c r="K1689" s="27">
        <f t="shared" ref="K1689:K1695" si="820">IF(D1689="no",0,H1689-I1689-J1689)</f>
        <v>0</v>
      </c>
      <c r="L1689" s="27">
        <f>IF(D1689="no",F1689*H1687-J1689,0)</f>
        <v>0</v>
      </c>
      <c r="M1689" s="582"/>
      <c r="N1689" s="581"/>
      <c r="O1689" s="1"/>
      <c r="P1689" s="3"/>
      <c r="Q1689" s="1"/>
      <c r="R1689" s="1"/>
      <c r="S1689" s="1"/>
      <c r="T1689" s="1"/>
      <c r="U1689" s="4"/>
    </row>
    <row r="1690" spans="1:21" ht="18.75" hidden="1" customHeight="1">
      <c r="A1690" s="28"/>
      <c r="B1690" s="29"/>
      <c r="C1690" s="29"/>
      <c r="D1690" s="21"/>
      <c r="E1690" s="27"/>
      <c r="F1690" s="31">
        <f t="shared" si="817"/>
        <v>0</v>
      </c>
      <c r="G1690" s="27">
        <f t="shared" si="818"/>
        <v>0</v>
      </c>
      <c r="H1690" s="32">
        <f>IF(D1690="no",0,F1690*H1687)</f>
        <v>0</v>
      </c>
      <c r="I1690" s="33">
        <f t="shared" si="819"/>
        <v>0</v>
      </c>
      <c r="J1690" s="26"/>
      <c r="K1690" s="27">
        <f t="shared" si="820"/>
        <v>0</v>
      </c>
      <c r="L1690" s="27">
        <f>IF(D1690="no",F1690*H1687-J1690,0)</f>
        <v>0</v>
      </c>
      <c r="M1690" s="572"/>
      <c r="N1690" s="564"/>
      <c r="O1690" s="1"/>
      <c r="P1690" s="3"/>
      <c r="Q1690" s="1"/>
      <c r="R1690" s="1"/>
      <c r="S1690" s="1"/>
      <c r="T1690" s="1"/>
      <c r="U1690" s="4"/>
    </row>
    <row r="1691" spans="1:21" ht="18.75" hidden="1" customHeight="1">
      <c r="A1691" s="28"/>
      <c r="B1691" s="29"/>
      <c r="C1691" s="29"/>
      <c r="D1691" s="21"/>
      <c r="E1691" s="27"/>
      <c r="F1691" s="31">
        <f t="shared" si="817"/>
        <v>0</v>
      </c>
      <c r="G1691" s="27">
        <f t="shared" si="818"/>
        <v>0</v>
      </c>
      <c r="H1691" s="32">
        <f>IF(D1691="no",0,F1691*H1687)</f>
        <v>0</v>
      </c>
      <c r="I1691" s="33">
        <f t="shared" si="819"/>
        <v>0</v>
      </c>
      <c r="J1691" s="26"/>
      <c r="K1691" s="27">
        <f t="shared" si="820"/>
        <v>0</v>
      </c>
      <c r="L1691" s="27">
        <f t="shared" ref="L1691:L1692" si="821">IF(D1691="no",F1691*H1686-J1691,0)</f>
        <v>0</v>
      </c>
      <c r="M1691" s="578"/>
      <c r="N1691" s="564"/>
      <c r="O1691" s="1"/>
      <c r="P1691" s="3"/>
      <c r="Q1691" s="1"/>
      <c r="R1691" s="1"/>
      <c r="S1691" s="1"/>
      <c r="T1691" s="1"/>
      <c r="U1691" s="4"/>
    </row>
    <row r="1692" spans="1:21" ht="18.75" hidden="1" customHeight="1">
      <c r="A1692" s="28"/>
      <c r="B1692" s="29"/>
      <c r="C1692" s="29"/>
      <c r="D1692" s="21"/>
      <c r="E1692" s="27"/>
      <c r="F1692" s="31">
        <f t="shared" si="817"/>
        <v>0</v>
      </c>
      <c r="G1692" s="27">
        <f t="shared" si="818"/>
        <v>0</v>
      </c>
      <c r="H1692" s="32">
        <f>IF(D1692="no",0,F1692*H1687)</f>
        <v>0</v>
      </c>
      <c r="I1692" s="33">
        <f t="shared" si="819"/>
        <v>0</v>
      </c>
      <c r="J1692" s="26"/>
      <c r="K1692" s="27">
        <f t="shared" si="820"/>
        <v>0</v>
      </c>
      <c r="L1692" s="27">
        <f t="shared" si="821"/>
        <v>0</v>
      </c>
      <c r="M1692" s="585"/>
      <c r="N1692" s="564"/>
      <c r="O1692" s="1"/>
      <c r="P1692" s="3"/>
      <c r="Q1692" s="1"/>
      <c r="R1692" s="1"/>
      <c r="S1692" s="1"/>
      <c r="T1692" s="1"/>
      <c r="U1692" s="4"/>
    </row>
    <row r="1693" spans="1:21" ht="18.75" hidden="1" customHeight="1">
      <c r="A1693" s="28"/>
      <c r="B1693" s="29"/>
      <c r="C1693" s="30"/>
      <c r="D1693" s="21"/>
      <c r="E1693" s="27"/>
      <c r="F1693" s="31">
        <f t="shared" si="817"/>
        <v>0</v>
      </c>
      <c r="G1693" s="27">
        <f t="shared" si="818"/>
        <v>0</v>
      </c>
      <c r="H1693" s="32">
        <f>IF(D1693="no",0,F1693*H1687)</f>
        <v>0</v>
      </c>
      <c r="I1693" s="33">
        <f t="shared" si="819"/>
        <v>0</v>
      </c>
      <c r="J1693" s="26"/>
      <c r="K1693" s="27">
        <f t="shared" si="820"/>
        <v>0</v>
      </c>
      <c r="L1693" s="27">
        <f>IF(D1693="no",F1693*H1687-J1693,0)</f>
        <v>0</v>
      </c>
      <c r="M1693" s="605"/>
      <c r="N1693" s="564"/>
      <c r="O1693" s="1"/>
      <c r="P1693" s="3"/>
      <c r="Q1693" s="1"/>
      <c r="R1693" s="1"/>
      <c r="S1693" s="1"/>
      <c r="T1693" s="1"/>
      <c r="U1693" s="4"/>
    </row>
    <row r="1694" spans="1:21" ht="18.75" hidden="1" customHeight="1">
      <c r="A1694" s="28"/>
      <c r="B1694" s="29"/>
      <c r="C1694" s="29"/>
      <c r="D1694" s="21"/>
      <c r="E1694" s="27"/>
      <c r="F1694" s="31">
        <f t="shared" si="817"/>
        <v>0</v>
      </c>
      <c r="G1694" s="27">
        <f t="shared" si="818"/>
        <v>0</v>
      </c>
      <c r="H1694" s="32">
        <f>IF(D1694="no",0,F1694*H1687)</f>
        <v>0</v>
      </c>
      <c r="I1694" s="33">
        <f t="shared" si="819"/>
        <v>0</v>
      </c>
      <c r="J1694" s="26"/>
      <c r="K1694" s="27">
        <f t="shared" si="820"/>
        <v>0</v>
      </c>
      <c r="L1694" s="27">
        <f>IF(D1694="no",F1694*H1691-J1694,0)</f>
        <v>0</v>
      </c>
      <c r="M1694" s="604"/>
      <c r="N1694" s="564"/>
      <c r="O1694" s="1"/>
      <c r="P1694" s="3"/>
      <c r="Q1694" s="1"/>
      <c r="R1694" s="1"/>
      <c r="S1694" s="1"/>
      <c r="T1694" s="1"/>
      <c r="U1694" s="4"/>
    </row>
    <row r="1695" spans="1:21" ht="18.75" hidden="1" customHeight="1">
      <c r="A1695" s="28"/>
      <c r="B1695" s="29"/>
      <c r="C1695" s="30"/>
      <c r="D1695" s="21"/>
      <c r="E1695" s="27"/>
      <c r="F1695" s="31">
        <f t="shared" si="817"/>
        <v>0</v>
      </c>
      <c r="G1695" s="27">
        <f t="shared" si="818"/>
        <v>0</v>
      </c>
      <c r="H1695" s="32">
        <f>IF(D1695="no",0,F1695*H1687)</f>
        <v>0</v>
      </c>
      <c r="I1695" s="33">
        <f t="shared" si="819"/>
        <v>0</v>
      </c>
      <c r="J1695" s="26"/>
      <c r="K1695" s="27">
        <f t="shared" si="820"/>
        <v>0</v>
      </c>
      <c r="L1695" s="27">
        <f>IF(D1695="no",F1695*H1687-J1695,0)</f>
        <v>0</v>
      </c>
      <c r="M1695" s="578"/>
      <c r="N1695" s="564"/>
      <c r="O1695" s="1"/>
      <c r="P1695" s="1"/>
      <c r="Q1695" s="1"/>
      <c r="R1695" s="1"/>
      <c r="S1695" s="1"/>
      <c r="T1695" s="1"/>
      <c r="U1695" s="4"/>
    </row>
    <row r="1696" spans="1:21" ht="18.75" hidden="1" customHeight="1">
      <c r="A1696" s="28"/>
      <c r="B1696" s="29"/>
      <c r="C1696" s="29"/>
      <c r="D1696" s="21"/>
      <c r="E1696" s="27"/>
      <c r="F1696" s="31"/>
      <c r="G1696" s="27"/>
      <c r="H1696" s="32"/>
      <c r="I1696" s="33"/>
      <c r="J1696" s="26"/>
      <c r="K1696" s="27"/>
      <c r="L1696" s="27"/>
      <c r="M1696" s="604"/>
      <c r="N1696" s="564"/>
      <c r="O1696" s="1"/>
      <c r="P1696" s="1"/>
      <c r="Q1696" s="1"/>
      <c r="R1696" s="1"/>
      <c r="S1696" s="1"/>
      <c r="T1696" s="1"/>
      <c r="U1696" s="4"/>
    </row>
    <row r="1697" spans="1:21" ht="18.75" hidden="1" customHeight="1">
      <c r="A1697" s="28"/>
      <c r="B1697" s="29"/>
      <c r="C1697" s="30"/>
      <c r="D1697" s="21"/>
      <c r="E1697" s="27"/>
      <c r="F1697" s="31">
        <f t="shared" ref="F1697:F1698" si="822">IF(D1697="no",E1697,E1697/1.1)</f>
        <v>0</v>
      </c>
      <c r="G1697" s="27">
        <f t="shared" ref="G1697:G1698" si="823">IF(D1697="no",0,F1697*0.1)</f>
        <v>0</v>
      </c>
      <c r="H1697" s="32">
        <f>IF(D1697="no",0,F1697*H1687)</f>
        <v>0</v>
      </c>
      <c r="I1697" s="33">
        <f t="shared" ref="I1697:I1706" si="824">IF(D1697="no",0,H1697*3.3%)</f>
        <v>0</v>
      </c>
      <c r="J1697" s="26"/>
      <c r="K1697" s="27">
        <f t="shared" ref="K1697:K1706" si="825">IF(D1697="no",0,H1697-I1697-J1697)</f>
        <v>0</v>
      </c>
      <c r="L1697" s="27">
        <f>IF(D1697="no",F1697*H1687-J1697,0)</f>
        <v>0</v>
      </c>
      <c r="M1697" s="578"/>
      <c r="N1697" s="564"/>
      <c r="O1697" s="1"/>
      <c r="P1697" s="1"/>
      <c r="Q1697" s="1"/>
      <c r="R1697" s="1"/>
      <c r="S1697" s="1"/>
      <c r="T1697" s="1"/>
      <c r="U1697" s="4"/>
    </row>
    <row r="1698" spans="1:21" ht="18.75" hidden="1" customHeight="1">
      <c r="A1698" s="28"/>
      <c r="B1698" s="29"/>
      <c r="C1698" s="30"/>
      <c r="D1698" s="21"/>
      <c r="E1698" s="27"/>
      <c r="F1698" s="31">
        <f t="shared" si="822"/>
        <v>0</v>
      </c>
      <c r="G1698" s="27">
        <f t="shared" si="823"/>
        <v>0</v>
      </c>
      <c r="H1698" s="32">
        <f>IF(D1698="no",0,F1698*H1687)</f>
        <v>0</v>
      </c>
      <c r="I1698" s="33">
        <f t="shared" si="824"/>
        <v>0</v>
      </c>
      <c r="J1698" s="26"/>
      <c r="K1698" s="27">
        <f t="shared" si="825"/>
        <v>0</v>
      </c>
      <c r="L1698" s="27">
        <f>IF(D1698="no",F1698*H1687-J1698,0)</f>
        <v>0</v>
      </c>
      <c r="M1698" s="585"/>
      <c r="N1698" s="564"/>
      <c r="O1698" s="1"/>
      <c r="P1698" s="1"/>
      <c r="Q1698" s="1"/>
      <c r="R1698" s="1"/>
      <c r="S1698" s="1"/>
      <c r="T1698" s="1"/>
      <c r="U1698" s="4"/>
    </row>
    <row r="1699" spans="1:21" ht="18.75" hidden="1" customHeight="1">
      <c r="A1699" s="28"/>
      <c r="B1699" s="29"/>
      <c r="C1699" s="20"/>
      <c r="D1699" s="21"/>
      <c r="E1699" s="22"/>
      <c r="F1699" s="23"/>
      <c r="G1699" s="22"/>
      <c r="H1699" s="32"/>
      <c r="I1699" s="33">
        <f t="shared" si="824"/>
        <v>0</v>
      </c>
      <c r="J1699" s="97"/>
      <c r="K1699" s="27">
        <f t="shared" si="825"/>
        <v>0</v>
      </c>
      <c r="L1699" s="40">
        <f>IF(D1699="no",F1699*H1692-J1699,0)</f>
        <v>0</v>
      </c>
      <c r="M1699" s="578"/>
      <c r="N1699" s="564"/>
      <c r="O1699" s="1"/>
      <c r="P1699" s="1"/>
      <c r="Q1699" s="1"/>
      <c r="R1699" s="1"/>
      <c r="S1699" s="1"/>
      <c r="T1699" s="1"/>
      <c r="U1699" s="4"/>
    </row>
    <row r="1700" spans="1:21" ht="18.75" hidden="1" customHeight="1">
      <c r="A1700" s="28" t="s">
        <v>164</v>
      </c>
      <c r="B1700" s="29" t="s">
        <v>33</v>
      </c>
      <c r="C1700" s="30"/>
      <c r="D1700" s="21"/>
      <c r="E1700" s="27"/>
      <c r="F1700" s="31"/>
      <c r="G1700" s="27">
        <f t="shared" ref="G1700:G1705" si="826">IF(D1700="no",0,F1700*0.1)</f>
        <v>0</v>
      </c>
      <c r="H1700" s="32">
        <f>IF(D1700="no",0,F1700*H1687)</f>
        <v>0</v>
      </c>
      <c r="I1700" s="33">
        <f t="shared" si="824"/>
        <v>0</v>
      </c>
      <c r="J1700" s="26"/>
      <c r="K1700" s="27">
        <f t="shared" si="825"/>
        <v>0</v>
      </c>
      <c r="L1700" s="27">
        <f t="shared" ref="L1700:L1702" si="827">IF(D1700="no",F1700*H1688-J1700,0)</f>
        <v>0</v>
      </c>
      <c r="M1700" s="585"/>
      <c r="N1700" s="564"/>
      <c r="O1700" s="1"/>
      <c r="P1700" s="1"/>
      <c r="Q1700" s="1"/>
      <c r="R1700" s="1"/>
      <c r="S1700" s="1"/>
      <c r="T1700" s="1"/>
      <c r="U1700" s="4"/>
    </row>
    <row r="1701" spans="1:21" ht="18.75" hidden="1" customHeight="1">
      <c r="A1701" s="28" t="s">
        <v>164</v>
      </c>
      <c r="B1701" s="29" t="s">
        <v>61</v>
      </c>
      <c r="C1701" s="30"/>
      <c r="D1701" s="21"/>
      <c r="E1701" s="27"/>
      <c r="F1701" s="31">
        <f t="shared" ref="F1701:F1705" si="828">IF(D1701="no",E1701,E1701/1.1)</f>
        <v>0</v>
      </c>
      <c r="G1701" s="27">
        <f t="shared" si="826"/>
        <v>0</v>
      </c>
      <c r="H1701" s="32">
        <f>IF(D1701="no",0,F1701*H1687)</f>
        <v>0</v>
      </c>
      <c r="I1701" s="33">
        <f t="shared" si="824"/>
        <v>0</v>
      </c>
      <c r="J1701" s="26"/>
      <c r="K1701" s="27">
        <f t="shared" si="825"/>
        <v>0</v>
      </c>
      <c r="L1701" s="27">
        <f t="shared" si="827"/>
        <v>0</v>
      </c>
      <c r="M1701" s="563"/>
      <c r="N1701" s="564"/>
      <c r="O1701" s="1"/>
      <c r="P1701" s="1"/>
      <c r="Q1701" s="1"/>
      <c r="R1701" s="1"/>
      <c r="S1701" s="1"/>
      <c r="T1701" s="1"/>
      <c r="U1701" s="4"/>
    </row>
    <row r="1702" spans="1:21" ht="18.75" hidden="1" customHeight="1">
      <c r="A1702" s="28" t="s">
        <v>164</v>
      </c>
      <c r="B1702" s="29" t="s">
        <v>35</v>
      </c>
      <c r="C1702" s="30"/>
      <c r="D1702" s="21"/>
      <c r="E1702" s="27"/>
      <c r="F1702" s="31">
        <f t="shared" si="828"/>
        <v>0</v>
      </c>
      <c r="G1702" s="27">
        <f t="shared" si="826"/>
        <v>0</v>
      </c>
      <c r="H1702" s="32"/>
      <c r="I1702" s="33">
        <f t="shared" si="824"/>
        <v>0</v>
      </c>
      <c r="J1702" s="26"/>
      <c r="K1702" s="27">
        <f t="shared" si="825"/>
        <v>0</v>
      </c>
      <c r="L1702" s="27">
        <f t="shared" si="827"/>
        <v>0</v>
      </c>
      <c r="M1702" s="574"/>
      <c r="N1702" s="564"/>
      <c r="O1702" s="1"/>
      <c r="P1702" s="1"/>
      <c r="Q1702" s="1"/>
      <c r="R1702" s="1"/>
      <c r="S1702" s="1"/>
      <c r="T1702" s="1"/>
      <c r="U1702" s="4"/>
    </row>
    <row r="1703" spans="1:21" ht="18.75" hidden="1" customHeight="1">
      <c r="A1703" s="28" t="s">
        <v>164</v>
      </c>
      <c r="B1703" s="29" t="s">
        <v>37</v>
      </c>
      <c r="C1703" s="30"/>
      <c r="D1703" s="21"/>
      <c r="E1703" s="27"/>
      <c r="F1703" s="31">
        <f t="shared" si="828"/>
        <v>0</v>
      </c>
      <c r="G1703" s="27">
        <f t="shared" si="826"/>
        <v>0</v>
      </c>
      <c r="H1703" s="32">
        <f>(E1708+E1709+N1708)/0.967</f>
        <v>0</v>
      </c>
      <c r="I1703" s="33">
        <f t="shared" si="824"/>
        <v>0</v>
      </c>
      <c r="J1703" s="26"/>
      <c r="K1703" s="27">
        <f t="shared" si="825"/>
        <v>0</v>
      </c>
      <c r="L1703" s="27">
        <f>IF(D1703="no",F1703*H1699-J1703,0)</f>
        <v>0</v>
      </c>
      <c r="M1703" s="572"/>
      <c r="N1703" s="564"/>
      <c r="O1703" s="1"/>
      <c r="P1703" s="1"/>
      <c r="Q1703" s="1"/>
      <c r="R1703" s="1"/>
      <c r="S1703" s="1"/>
      <c r="T1703" s="1"/>
      <c r="U1703" s="4"/>
    </row>
    <row r="1704" spans="1:21" ht="18.75" hidden="1" customHeight="1">
      <c r="A1704" s="28" t="s">
        <v>164</v>
      </c>
      <c r="B1704" s="29" t="s">
        <v>65</v>
      </c>
      <c r="C1704" s="30"/>
      <c r="D1704" s="38"/>
      <c r="E1704" s="27"/>
      <c r="F1704" s="31">
        <f t="shared" si="828"/>
        <v>0</v>
      </c>
      <c r="G1704" s="27">
        <f t="shared" si="826"/>
        <v>0</v>
      </c>
      <c r="H1704" s="37">
        <f>N1709/0.967</f>
        <v>0</v>
      </c>
      <c r="I1704" s="33">
        <f t="shared" si="824"/>
        <v>0</v>
      </c>
      <c r="J1704" s="26"/>
      <c r="K1704" s="27">
        <f t="shared" si="825"/>
        <v>0</v>
      </c>
      <c r="L1704" s="27">
        <f t="shared" ref="L1704:L1705" si="829">IF(D1704="no",F1704*H1704-J1704,0)</f>
        <v>0</v>
      </c>
      <c r="M1704" s="578"/>
      <c r="N1704" s="564"/>
      <c r="O1704" s="1"/>
      <c r="P1704" s="1"/>
      <c r="Q1704" s="1"/>
      <c r="R1704" s="1"/>
      <c r="S1704" s="1"/>
      <c r="T1704" s="1"/>
      <c r="U1704" s="4"/>
    </row>
    <row r="1705" spans="1:21" ht="18.75" hidden="1" customHeight="1">
      <c r="A1705" s="28" t="s">
        <v>164</v>
      </c>
      <c r="B1705" s="29" t="s">
        <v>165</v>
      </c>
      <c r="C1705" s="30"/>
      <c r="D1705" s="38"/>
      <c r="E1705" s="27"/>
      <c r="F1705" s="31">
        <f t="shared" si="828"/>
        <v>0</v>
      </c>
      <c r="G1705" s="27">
        <f t="shared" si="826"/>
        <v>0</v>
      </c>
      <c r="H1705" s="32">
        <f>L1709/0.967</f>
        <v>0</v>
      </c>
      <c r="I1705" s="33">
        <f t="shared" si="824"/>
        <v>0</v>
      </c>
      <c r="J1705" s="26"/>
      <c r="K1705" s="27">
        <f t="shared" si="825"/>
        <v>0</v>
      </c>
      <c r="L1705" s="27">
        <f t="shared" si="829"/>
        <v>0</v>
      </c>
      <c r="M1705" s="578"/>
      <c r="N1705" s="564"/>
      <c r="O1705" s="1"/>
      <c r="P1705" s="1"/>
      <c r="Q1705" s="1"/>
      <c r="R1705" s="1"/>
      <c r="S1705" s="1"/>
      <c r="T1705" s="1"/>
      <c r="U1705" s="4"/>
    </row>
    <row r="1706" spans="1:21" ht="18.75" hidden="1" customHeight="1">
      <c r="A1706" s="28" t="s">
        <v>164</v>
      </c>
      <c r="B1706" s="29" t="s">
        <v>131</v>
      </c>
      <c r="C1706" s="30"/>
      <c r="D1706" s="21"/>
      <c r="E1706" s="27"/>
      <c r="F1706" s="31">
        <v>0</v>
      </c>
      <c r="G1706" s="27">
        <v>0</v>
      </c>
      <c r="H1706" s="37"/>
      <c r="I1706" s="33">
        <f t="shared" si="824"/>
        <v>0</v>
      </c>
      <c r="J1706" s="26"/>
      <c r="K1706" s="27">
        <f t="shared" si="825"/>
        <v>0</v>
      </c>
      <c r="L1706" s="27">
        <f>IF(D1706="no",F1706*H1701-J1706,0)</f>
        <v>0</v>
      </c>
      <c r="M1706" s="578"/>
      <c r="N1706" s="564"/>
      <c r="O1706" s="1"/>
      <c r="P1706" s="1"/>
      <c r="Q1706" s="1"/>
      <c r="R1706" s="1"/>
      <c r="S1706" s="1"/>
      <c r="T1706" s="1"/>
      <c r="U1706" s="4"/>
    </row>
    <row r="1707" spans="1:21" ht="18.75" hidden="1" customHeight="1">
      <c r="A1707" s="575" t="s">
        <v>42</v>
      </c>
      <c r="B1707" s="576"/>
      <c r="C1707" s="576"/>
      <c r="D1707" s="577"/>
      <c r="E1707" s="42">
        <f t="shared" ref="E1707:G1707" si="830">SUM(E1689:E1706)</f>
        <v>0</v>
      </c>
      <c r="F1707" s="17">
        <f t="shared" si="830"/>
        <v>0</v>
      </c>
      <c r="G1707" s="42">
        <f t="shared" si="830"/>
        <v>0</v>
      </c>
      <c r="H1707" s="43">
        <f>SUM(H1689:H1703,H1704:H1706)</f>
        <v>0</v>
      </c>
      <c r="I1707" s="42">
        <f t="shared" ref="I1707:L1707" si="831">SUM(I1689:I1706)</f>
        <v>0</v>
      </c>
      <c r="J1707" s="43">
        <f t="shared" si="831"/>
        <v>0</v>
      </c>
      <c r="K1707" s="42">
        <f t="shared" si="831"/>
        <v>0</v>
      </c>
      <c r="L1707" s="42">
        <f t="shared" si="831"/>
        <v>0</v>
      </c>
      <c r="M1707" s="44"/>
      <c r="N1707" s="45"/>
      <c r="O1707" s="1"/>
      <c r="P1707" s="1"/>
      <c r="Q1707" s="1"/>
      <c r="R1707" s="1"/>
      <c r="S1707" s="1"/>
      <c r="T1707" s="1"/>
      <c r="U1707" s="4"/>
    </row>
    <row r="1708" spans="1:21" ht="18.75" hidden="1" customHeight="1">
      <c r="A1708" s="46" t="s">
        <v>37</v>
      </c>
      <c r="B1708" s="47" t="s">
        <v>132</v>
      </c>
      <c r="C1708" s="48">
        <f>D1687</f>
        <v>0</v>
      </c>
      <c r="D1708" s="47" t="s">
        <v>44</v>
      </c>
      <c r="E1708" s="49"/>
      <c r="F1708" s="50"/>
      <c r="G1708" s="51"/>
      <c r="H1708" s="49">
        <f>IF(G1708&gt;=25,"팀포상 대상",0)</f>
        <v>0</v>
      </c>
      <c r="I1708" s="53" t="s">
        <v>46</v>
      </c>
      <c r="J1708" s="54"/>
      <c r="K1708" s="50"/>
      <c r="L1708" s="55"/>
      <c r="M1708" s="63"/>
      <c r="N1708" s="64"/>
      <c r="O1708" s="1"/>
      <c r="P1708" s="1"/>
      <c r="Q1708" s="1"/>
      <c r="R1708" s="1"/>
      <c r="S1708" s="1"/>
      <c r="T1708" s="1"/>
      <c r="U1708" s="4"/>
    </row>
    <row r="1709" spans="1:21" ht="18.75" hidden="1" customHeight="1" thickBot="1">
      <c r="A1709" s="56" t="s">
        <v>48</v>
      </c>
      <c r="B1709" s="57" t="s">
        <v>133</v>
      </c>
      <c r="C1709" s="58">
        <f>ROUND(F1707/10000,0)</f>
        <v>0</v>
      </c>
      <c r="D1709" s="57" t="s">
        <v>50</v>
      </c>
      <c r="E1709" s="52">
        <f>IF(C1709&gt;=8000,5200000,IF(C1709&gt;=5000,2700000,IF(C1709&gt;=200,200000,0)))</f>
        <v>0</v>
      </c>
      <c r="F1709" s="59"/>
      <c r="G1709" s="60"/>
      <c r="H1709" s="52"/>
      <c r="I1709" s="59"/>
      <c r="J1709" s="61"/>
      <c r="K1709" s="59" t="s">
        <v>165</v>
      </c>
      <c r="L1709" s="62">
        <f>IF(G1709&gt;=2500,1500000,0)</f>
        <v>0</v>
      </c>
      <c r="M1709" s="63"/>
      <c r="N1709" s="64"/>
      <c r="O1709" s="1"/>
      <c r="P1709" s="1"/>
      <c r="Q1709" s="1"/>
      <c r="R1709" s="1"/>
      <c r="S1709" s="1"/>
      <c r="T1709" s="1"/>
      <c r="U1709" s="4"/>
    </row>
    <row r="1710" spans="1:21" ht="18.75" hidden="1" customHeight="1" thickBot="1">
      <c r="A1710" s="566" t="s">
        <v>52</v>
      </c>
      <c r="B1710" s="567"/>
      <c r="C1710" s="567"/>
      <c r="D1710" s="568"/>
      <c r="E1710" s="65"/>
      <c r="F1710" s="569" t="s">
        <v>53</v>
      </c>
      <c r="G1710" s="568"/>
      <c r="H1710" s="66">
        <f>H1707-J1708</f>
        <v>0</v>
      </c>
      <c r="I1710" s="67">
        <f>H1710*3.3%</f>
        <v>0</v>
      </c>
      <c r="J1710" s="68">
        <f>SUM(J1707)</f>
        <v>0</v>
      </c>
      <c r="K1710" s="69">
        <f>H1710-I1710-J1710</f>
        <v>0</v>
      </c>
      <c r="L1710" s="70">
        <f>L1707+SUM(H1708:H1709)+J1709</f>
        <v>0</v>
      </c>
      <c r="M1710" s="570">
        <f>K1710+L1710</f>
        <v>0</v>
      </c>
      <c r="N1710" s="571"/>
      <c r="O1710" s="1"/>
      <c r="P1710" s="1"/>
      <c r="Q1710" s="1"/>
      <c r="R1710" s="1"/>
      <c r="S1710" s="1"/>
      <c r="T1710" s="1"/>
      <c r="U1710" s="4"/>
    </row>
    <row r="1711" spans="1:21" ht="18.75" hidden="1" customHeight="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3"/>
      <c r="Q1711" s="3"/>
      <c r="R1711" s="1"/>
      <c r="S1711" s="1"/>
      <c r="T1711" s="1"/>
      <c r="U1711" s="4"/>
    </row>
    <row r="1712" spans="1:21" ht="18.75" hidden="1" customHeight="1">
      <c r="A1712" s="6"/>
      <c r="B1712" s="7" t="str">
        <f>$B$34</f>
        <v>1월</v>
      </c>
      <c r="C1712" s="8" t="s">
        <v>1</v>
      </c>
      <c r="D1712" s="9">
        <f>COUNTIF($C1714:$C1732,"계약")+(COUNTIF($C1714:$C1732,"계약2")*2)</f>
        <v>0</v>
      </c>
      <c r="E1712" s="3">
        <f>COUNTIF(C1714:C1732,"낙찰수수료")</f>
        <v>0</v>
      </c>
      <c r="F1712" s="3"/>
      <c r="G1712" s="1" t="s">
        <v>166</v>
      </c>
      <c r="H1712" s="11">
        <v>0.5</v>
      </c>
      <c r="I1712" s="12">
        <v>3.3000000000000002E-2</v>
      </c>
      <c r="J1712" s="1"/>
      <c r="K1712" s="1"/>
      <c r="L1712" s="1"/>
      <c r="M1712" s="1"/>
      <c r="N1712" s="1"/>
      <c r="O1712" s="1"/>
      <c r="P1712" s="3"/>
      <c r="Q1712" s="1"/>
      <c r="R1712" s="1"/>
      <c r="S1712" s="1"/>
      <c r="T1712" s="1"/>
      <c r="U1712" s="4"/>
    </row>
    <row r="1713" spans="1:21" ht="18.75" hidden="1" customHeight="1">
      <c r="A1713" s="13" t="s">
        <v>3</v>
      </c>
      <c r="B1713" s="14" t="s">
        <v>4</v>
      </c>
      <c r="C1713" s="14" t="s">
        <v>5</v>
      </c>
      <c r="D1713" s="15" t="s">
        <v>6</v>
      </c>
      <c r="E1713" s="16" t="s">
        <v>7</v>
      </c>
      <c r="F1713" s="17" t="s">
        <v>8</v>
      </c>
      <c r="G1713" s="14" t="s">
        <v>9</v>
      </c>
      <c r="H1713" s="15" t="s">
        <v>10</v>
      </c>
      <c r="I1713" s="14" t="s">
        <v>11</v>
      </c>
      <c r="J1713" s="15" t="s">
        <v>12</v>
      </c>
      <c r="K1713" s="14" t="s">
        <v>13</v>
      </c>
      <c r="L1713" s="14" t="s">
        <v>14</v>
      </c>
      <c r="M1713" s="603" t="s">
        <v>15</v>
      </c>
      <c r="N1713" s="581"/>
      <c r="O1713" s="1"/>
      <c r="P1713" s="3"/>
      <c r="Q1713" s="1"/>
      <c r="R1713" s="1"/>
      <c r="S1713" s="1"/>
      <c r="T1713" s="1"/>
      <c r="U1713" s="4"/>
    </row>
    <row r="1714" spans="1:21" ht="18.75" hidden="1" customHeight="1">
      <c r="A1714" s="28"/>
      <c r="B1714" s="29"/>
      <c r="C1714" s="30"/>
      <c r="D1714" s="21"/>
      <c r="E1714" s="27"/>
      <c r="F1714" s="31">
        <f t="shared" ref="F1714:F1726" si="832">IF(D1714="no",E1714,E1714/1.1)</f>
        <v>0</v>
      </c>
      <c r="G1714" s="27">
        <f t="shared" ref="G1714:G1726" si="833">IF(D1714="no",0,F1714*0.1)</f>
        <v>0</v>
      </c>
      <c r="H1714" s="32">
        <f>IF(D1714="no",0,F1714*H1712)</f>
        <v>0</v>
      </c>
      <c r="I1714" s="33">
        <f t="shared" ref="I1714:I1726" si="834">IF(D1714="no",0,H1714*3.3%)</f>
        <v>0</v>
      </c>
      <c r="J1714" s="26"/>
      <c r="K1714" s="27">
        <f t="shared" ref="K1714:K1726" si="835">IF(D1714="no",0,H1714-I1714-J1714)</f>
        <v>0</v>
      </c>
      <c r="L1714" s="27">
        <f>IF(D1714="no",F1714*H1712-J1714,0)</f>
        <v>0</v>
      </c>
      <c r="M1714" s="580"/>
      <c r="N1714" s="581"/>
      <c r="O1714" s="1"/>
      <c r="P1714" s="3"/>
      <c r="Q1714" s="1"/>
      <c r="R1714" s="1"/>
      <c r="S1714" s="1"/>
      <c r="T1714" s="1"/>
      <c r="U1714" s="4"/>
    </row>
    <row r="1715" spans="1:21" ht="18.75" hidden="1" customHeight="1">
      <c r="A1715" s="28"/>
      <c r="B1715" s="29"/>
      <c r="C1715" s="30"/>
      <c r="D1715" s="21"/>
      <c r="E1715" s="27"/>
      <c r="F1715" s="31">
        <f t="shared" si="832"/>
        <v>0</v>
      </c>
      <c r="G1715" s="27">
        <f t="shared" si="833"/>
        <v>0</v>
      </c>
      <c r="H1715" s="32">
        <f>IF(D1715="no",0,F1715*H1712)</f>
        <v>0</v>
      </c>
      <c r="I1715" s="33">
        <f t="shared" si="834"/>
        <v>0</v>
      </c>
      <c r="J1715" s="26"/>
      <c r="K1715" s="27">
        <f t="shared" si="835"/>
        <v>0</v>
      </c>
      <c r="L1715" s="27">
        <f>IF(D1715="no",F1715*H1712-J1715,0)</f>
        <v>0</v>
      </c>
      <c r="M1715" s="572"/>
      <c r="N1715" s="564"/>
      <c r="O1715" s="1"/>
      <c r="P1715" s="3"/>
      <c r="Q1715" s="1"/>
      <c r="R1715" s="1"/>
      <c r="S1715" s="1"/>
      <c r="T1715" s="1"/>
      <c r="U1715" s="4"/>
    </row>
    <row r="1716" spans="1:21" ht="18.75" hidden="1" customHeight="1">
      <c r="A1716" s="28"/>
      <c r="B1716" s="29"/>
      <c r="C1716" s="30"/>
      <c r="D1716" s="21"/>
      <c r="E1716" s="27"/>
      <c r="F1716" s="31">
        <f t="shared" si="832"/>
        <v>0</v>
      </c>
      <c r="G1716" s="27">
        <f t="shared" si="833"/>
        <v>0</v>
      </c>
      <c r="H1716" s="32">
        <f>IF(D1716="no",0,F1716*H1712)</f>
        <v>0</v>
      </c>
      <c r="I1716" s="33">
        <f t="shared" si="834"/>
        <v>0</v>
      </c>
      <c r="J1716" s="26"/>
      <c r="K1716" s="27">
        <f t="shared" si="835"/>
        <v>0</v>
      </c>
      <c r="L1716" s="27">
        <f>IF(D1716="no",F1716*H1712-J1716,0)</f>
        <v>0</v>
      </c>
      <c r="M1716" s="572"/>
      <c r="N1716" s="564"/>
      <c r="O1716" s="1"/>
      <c r="P1716" s="3"/>
      <c r="Q1716" s="1"/>
      <c r="R1716" s="1"/>
      <c r="S1716" s="1"/>
      <c r="T1716" s="1"/>
      <c r="U1716" s="4"/>
    </row>
    <row r="1717" spans="1:21" ht="18.75" hidden="1" customHeight="1">
      <c r="A1717" s="28"/>
      <c r="B1717" s="29"/>
      <c r="C1717" s="30"/>
      <c r="D1717" s="38"/>
      <c r="E1717" s="27"/>
      <c r="F1717" s="31">
        <f t="shared" si="832"/>
        <v>0</v>
      </c>
      <c r="G1717" s="27">
        <f t="shared" si="833"/>
        <v>0</v>
      </c>
      <c r="H1717" s="32">
        <f>IF(D1717="no",0,F1717*H1712)</f>
        <v>0</v>
      </c>
      <c r="I1717" s="33">
        <f t="shared" si="834"/>
        <v>0</v>
      </c>
      <c r="J1717" s="26"/>
      <c r="K1717" s="27">
        <f t="shared" si="835"/>
        <v>0</v>
      </c>
      <c r="L1717" s="27">
        <f>IF(D1717="no",F1717*H1712-J1717,0)</f>
        <v>0</v>
      </c>
      <c r="M1717" s="572"/>
      <c r="N1717" s="564"/>
      <c r="O1717" s="1"/>
      <c r="P1717" s="3"/>
      <c r="Q1717" s="1"/>
      <c r="R1717" s="1"/>
      <c r="S1717" s="1"/>
      <c r="T1717" s="1"/>
      <c r="U1717" s="4"/>
    </row>
    <row r="1718" spans="1:21" ht="18.75" hidden="1" customHeight="1">
      <c r="A1718" s="28"/>
      <c r="B1718" s="29"/>
      <c r="C1718" s="30"/>
      <c r="D1718" s="38"/>
      <c r="E1718" s="27"/>
      <c r="F1718" s="31">
        <f t="shared" si="832"/>
        <v>0</v>
      </c>
      <c r="G1718" s="27">
        <f t="shared" si="833"/>
        <v>0</v>
      </c>
      <c r="H1718" s="32">
        <f>IF(D1718="no",0,F1718*H1712)</f>
        <v>0</v>
      </c>
      <c r="I1718" s="33">
        <f t="shared" si="834"/>
        <v>0</v>
      </c>
      <c r="J1718" s="26"/>
      <c r="K1718" s="27">
        <f t="shared" si="835"/>
        <v>0</v>
      </c>
      <c r="L1718" s="27">
        <f>IF(D1718="no",F1718*H1712-J1718,0)</f>
        <v>0</v>
      </c>
      <c r="M1718" s="572"/>
      <c r="N1718" s="564"/>
      <c r="O1718" s="1"/>
      <c r="P1718" s="3"/>
      <c r="Q1718" s="1"/>
      <c r="R1718" s="1"/>
      <c r="S1718" s="1"/>
      <c r="T1718" s="1"/>
      <c r="U1718" s="4"/>
    </row>
    <row r="1719" spans="1:21" ht="18.75" hidden="1" customHeight="1">
      <c r="A1719" s="28"/>
      <c r="B1719" s="29"/>
      <c r="C1719" s="30"/>
      <c r="D1719" s="21"/>
      <c r="E1719" s="27"/>
      <c r="F1719" s="31">
        <f t="shared" si="832"/>
        <v>0</v>
      </c>
      <c r="G1719" s="27">
        <f t="shared" si="833"/>
        <v>0</v>
      </c>
      <c r="H1719" s="32">
        <f>IF(D1719="no",0,F1719*H1712)</f>
        <v>0</v>
      </c>
      <c r="I1719" s="33">
        <f t="shared" si="834"/>
        <v>0</v>
      </c>
      <c r="J1719" s="26"/>
      <c r="K1719" s="27">
        <f t="shared" si="835"/>
        <v>0</v>
      </c>
      <c r="L1719" s="27">
        <f>IF(D1719="no",F1719*#REF!-J1719,0)</f>
        <v>0</v>
      </c>
      <c r="M1719" s="563"/>
      <c r="N1719" s="564"/>
      <c r="O1719" s="1"/>
      <c r="P1719" s="3"/>
      <c r="Q1719" s="1"/>
      <c r="R1719" s="1"/>
      <c r="S1719" s="1"/>
      <c r="T1719" s="1"/>
      <c r="U1719" s="4"/>
    </row>
    <row r="1720" spans="1:21" ht="18.75" hidden="1" customHeight="1">
      <c r="A1720" s="28"/>
      <c r="B1720" s="29"/>
      <c r="C1720" s="30"/>
      <c r="D1720" s="21"/>
      <c r="E1720" s="27"/>
      <c r="F1720" s="31">
        <f t="shared" si="832"/>
        <v>0</v>
      </c>
      <c r="G1720" s="27">
        <f t="shared" si="833"/>
        <v>0</v>
      </c>
      <c r="H1720" s="32">
        <f>IF(D1720="no",0,F1720*H1712)</f>
        <v>0</v>
      </c>
      <c r="I1720" s="33">
        <f t="shared" si="834"/>
        <v>0</v>
      </c>
      <c r="J1720" s="26"/>
      <c r="K1720" s="27">
        <f t="shared" si="835"/>
        <v>0</v>
      </c>
      <c r="L1720" s="27">
        <f>IF(D1720="no",F1720*H1718-J1720,0)</f>
        <v>0</v>
      </c>
      <c r="M1720" s="563"/>
      <c r="N1720" s="564"/>
      <c r="O1720" s="1"/>
      <c r="P1720" s="3"/>
      <c r="Q1720" s="1"/>
      <c r="R1720" s="1"/>
      <c r="S1720" s="1"/>
      <c r="T1720" s="1"/>
      <c r="U1720" s="4"/>
    </row>
    <row r="1721" spans="1:21" ht="18.75" hidden="1" customHeight="1">
      <c r="A1721" s="28"/>
      <c r="B1721" s="29"/>
      <c r="C1721" s="30"/>
      <c r="D1721" s="21"/>
      <c r="E1721" s="27"/>
      <c r="F1721" s="31">
        <f t="shared" si="832"/>
        <v>0</v>
      </c>
      <c r="G1721" s="27">
        <f t="shared" si="833"/>
        <v>0</v>
      </c>
      <c r="H1721" s="32">
        <f>IF(D1721="no",0,F1721*H1712)</f>
        <v>0</v>
      </c>
      <c r="I1721" s="33">
        <f t="shared" si="834"/>
        <v>0</v>
      </c>
      <c r="J1721" s="26"/>
      <c r="K1721" s="27">
        <f t="shared" si="835"/>
        <v>0</v>
      </c>
      <c r="L1721" s="27">
        <f>IF(D1721="no",F1721*H1718-J1721,0)</f>
        <v>0</v>
      </c>
      <c r="M1721" s="563"/>
      <c r="N1721" s="564"/>
      <c r="O1721" s="1"/>
      <c r="P1721" s="3"/>
      <c r="Q1721" s="1"/>
      <c r="R1721" s="1"/>
      <c r="S1721" s="1"/>
      <c r="T1721" s="1"/>
      <c r="U1721" s="4"/>
    </row>
    <row r="1722" spans="1:21" ht="18.75" hidden="1" customHeight="1">
      <c r="A1722" s="28"/>
      <c r="B1722" s="29"/>
      <c r="C1722" s="30"/>
      <c r="D1722" s="21"/>
      <c r="E1722" s="27"/>
      <c r="F1722" s="31">
        <f t="shared" si="832"/>
        <v>0</v>
      </c>
      <c r="G1722" s="27">
        <f t="shared" si="833"/>
        <v>0</v>
      </c>
      <c r="H1722" s="32">
        <f>IF(D1722="no",0,F1722*H1712)</f>
        <v>0</v>
      </c>
      <c r="I1722" s="33">
        <f t="shared" si="834"/>
        <v>0</v>
      </c>
      <c r="J1722" s="26"/>
      <c r="K1722" s="27">
        <f t="shared" si="835"/>
        <v>0</v>
      </c>
      <c r="L1722" s="27">
        <f>IF(D1722="no",F1722*H1718-J1722,0)</f>
        <v>0</v>
      </c>
      <c r="M1722" s="563"/>
      <c r="N1722" s="564"/>
      <c r="O1722" s="1"/>
      <c r="P1722" s="3"/>
      <c r="Q1722" s="1"/>
      <c r="R1722" s="1"/>
      <c r="S1722" s="1"/>
      <c r="T1722" s="1"/>
      <c r="U1722" s="4"/>
    </row>
    <row r="1723" spans="1:21" ht="18.75" hidden="1" customHeight="1">
      <c r="A1723" s="28"/>
      <c r="B1723" s="29"/>
      <c r="C1723" s="30"/>
      <c r="D1723" s="21"/>
      <c r="E1723" s="27"/>
      <c r="F1723" s="31">
        <f t="shared" si="832"/>
        <v>0</v>
      </c>
      <c r="G1723" s="27">
        <f t="shared" si="833"/>
        <v>0</v>
      </c>
      <c r="H1723" s="32">
        <f>IF(D1723="no",0,F1723*H1712)</f>
        <v>0</v>
      </c>
      <c r="I1723" s="33">
        <f t="shared" si="834"/>
        <v>0</v>
      </c>
      <c r="J1723" s="26"/>
      <c r="K1723" s="27">
        <f t="shared" si="835"/>
        <v>0</v>
      </c>
      <c r="L1723" s="27">
        <f>IF(D1723="no",F1723*H1718-J1723,0)</f>
        <v>0</v>
      </c>
      <c r="M1723" s="563"/>
      <c r="N1723" s="564"/>
      <c r="O1723" s="1"/>
      <c r="P1723" s="3"/>
      <c r="Q1723" s="1"/>
      <c r="R1723" s="1"/>
      <c r="S1723" s="1"/>
      <c r="T1723" s="1"/>
      <c r="U1723" s="4"/>
    </row>
    <row r="1724" spans="1:21" ht="18.75" hidden="1" customHeight="1">
      <c r="A1724" s="28"/>
      <c r="B1724" s="29"/>
      <c r="C1724" s="30"/>
      <c r="D1724" s="21"/>
      <c r="E1724" s="27"/>
      <c r="F1724" s="31">
        <f t="shared" si="832"/>
        <v>0</v>
      </c>
      <c r="G1724" s="27">
        <f t="shared" si="833"/>
        <v>0</v>
      </c>
      <c r="H1724" s="32">
        <f>IF(D1724="no",0,F1724*H1712)</f>
        <v>0</v>
      </c>
      <c r="I1724" s="33">
        <f t="shared" si="834"/>
        <v>0</v>
      </c>
      <c r="J1724" s="26"/>
      <c r="K1724" s="27">
        <f t="shared" si="835"/>
        <v>0</v>
      </c>
      <c r="L1724" s="27">
        <f>IF(D1724="no",F1724*H1718-J1724,0)</f>
        <v>0</v>
      </c>
      <c r="M1724" s="563"/>
      <c r="N1724" s="564"/>
      <c r="O1724" s="1"/>
      <c r="P1724" s="3"/>
      <c r="Q1724" s="1"/>
      <c r="R1724" s="1"/>
      <c r="S1724" s="1"/>
      <c r="T1724" s="1"/>
      <c r="U1724" s="4"/>
    </row>
    <row r="1725" spans="1:21" ht="18.75" hidden="1" customHeight="1">
      <c r="A1725" s="28"/>
      <c r="B1725" s="29"/>
      <c r="C1725" s="30"/>
      <c r="D1725" s="38"/>
      <c r="E1725" s="27"/>
      <c r="F1725" s="31">
        <f t="shared" si="832"/>
        <v>0</v>
      </c>
      <c r="G1725" s="27">
        <f t="shared" si="833"/>
        <v>0</v>
      </c>
      <c r="H1725" s="32">
        <f>IF(D1725="no",0,F1725*H1712)</f>
        <v>0</v>
      </c>
      <c r="I1725" s="33">
        <f t="shared" si="834"/>
        <v>0</v>
      </c>
      <c r="J1725" s="26"/>
      <c r="K1725" s="27">
        <f t="shared" si="835"/>
        <v>0</v>
      </c>
      <c r="L1725" s="27">
        <f>IF(D1725="no",F1725*H1715-J1725,0)</f>
        <v>0</v>
      </c>
      <c r="M1725" s="572"/>
      <c r="N1725" s="564"/>
      <c r="O1725" s="1"/>
      <c r="P1725" s="3"/>
      <c r="Q1725" s="1"/>
      <c r="R1725" s="1"/>
      <c r="S1725" s="1"/>
      <c r="T1725" s="1"/>
      <c r="U1725" s="4"/>
    </row>
    <row r="1726" spans="1:21" ht="18.75" hidden="1" customHeight="1">
      <c r="A1726" s="28"/>
      <c r="B1726" s="29"/>
      <c r="C1726" s="30"/>
      <c r="D1726" s="38"/>
      <c r="E1726" s="27"/>
      <c r="F1726" s="31">
        <f t="shared" si="832"/>
        <v>0</v>
      </c>
      <c r="G1726" s="27">
        <f t="shared" si="833"/>
        <v>0</v>
      </c>
      <c r="H1726" s="32">
        <f>IF(D1726="no",0,F1726*H1712)</f>
        <v>0</v>
      </c>
      <c r="I1726" s="33">
        <f t="shared" si="834"/>
        <v>0</v>
      </c>
      <c r="J1726" s="26"/>
      <c r="K1726" s="27">
        <f t="shared" si="835"/>
        <v>0</v>
      </c>
      <c r="L1726" s="27">
        <f>IF(D1726="no",F1726*H1719-J1726,0)</f>
        <v>0</v>
      </c>
      <c r="M1726" s="563"/>
      <c r="N1726" s="564"/>
      <c r="O1726" s="1"/>
      <c r="P1726" s="3"/>
      <c r="Q1726" s="1"/>
      <c r="R1726" s="1"/>
      <c r="S1726" s="1"/>
      <c r="T1726" s="1"/>
      <c r="U1726" s="4"/>
    </row>
    <row r="1727" spans="1:21" ht="18.75" hidden="1" customHeight="1">
      <c r="A1727" s="28"/>
      <c r="B1727" s="29"/>
      <c r="C1727" s="30"/>
      <c r="D1727" s="21"/>
      <c r="E1727" s="27"/>
      <c r="F1727" s="31"/>
      <c r="G1727" s="27"/>
      <c r="H1727" s="32"/>
      <c r="I1727" s="33"/>
      <c r="J1727" s="26"/>
      <c r="K1727" s="27"/>
      <c r="L1727" s="27"/>
      <c r="M1727" s="124"/>
      <c r="N1727" s="38"/>
      <c r="O1727" s="1"/>
      <c r="P1727" s="3"/>
      <c r="Q1727" s="1"/>
      <c r="R1727" s="1"/>
      <c r="S1727" s="1"/>
      <c r="T1727" s="1"/>
      <c r="U1727" s="4"/>
    </row>
    <row r="1728" spans="1:21" ht="18.75" hidden="1" customHeight="1">
      <c r="A1728" s="28"/>
      <c r="B1728" s="29"/>
      <c r="C1728" s="30"/>
      <c r="D1728" s="21"/>
      <c r="E1728" s="27"/>
      <c r="F1728" s="31"/>
      <c r="G1728" s="27"/>
      <c r="H1728" s="32"/>
      <c r="I1728" s="33"/>
      <c r="J1728" s="26"/>
      <c r="K1728" s="27"/>
      <c r="L1728" s="27"/>
      <c r="M1728" s="572"/>
      <c r="N1728" s="564"/>
      <c r="O1728" s="1"/>
      <c r="P1728" s="3"/>
      <c r="Q1728" s="1"/>
      <c r="R1728" s="1"/>
      <c r="S1728" s="1"/>
      <c r="T1728" s="1"/>
      <c r="U1728" s="4"/>
    </row>
    <row r="1729" spans="1:21" ht="18.75" hidden="1" customHeight="1">
      <c r="A1729" s="28" t="s">
        <v>167</v>
      </c>
      <c r="B1729" s="29" t="s">
        <v>33</v>
      </c>
      <c r="C1729" s="30"/>
      <c r="D1729" s="21"/>
      <c r="E1729" s="27"/>
      <c r="F1729" s="31">
        <f t="shared" ref="F1729:F1732" si="836">IF(D1729="no",E1729,E1729/1.1)</f>
        <v>0</v>
      </c>
      <c r="G1729" s="27">
        <f t="shared" ref="G1729:G1732" si="837">IF(D1729="no",0,F1729*0.1)</f>
        <v>0</v>
      </c>
      <c r="H1729" s="32">
        <f>IF(D1729="no",0,F1729*H1715)</f>
        <v>0</v>
      </c>
      <c r="I1729" s="33">
        <f t="shared" ref="I1729:I1732" si="838">IF(D1729="no",0,H1729*3.3%)</f>
        <v>0</v>
      </c>
      <c r="J1729" s="26"/>
      <c r="K1729" s="27">
        <f t="shared" ref="K1729:K1732" si="839">IF(D1729="no",0,H1729-I1729-J1729)</f>
        <v>0</v>
      </c>
      <c r="L1729" s="27">
        <f>IF(D1729="no",F1729*H1726-J1729,0)</f>
        <v>0</v>
      </c>
      <c r="M1729" s="572"/>
      <c r="N1729" s="564"/>
      <c r="O1729" s="1"/>
      <c r="P1729" s="3"/>
      <c r="Q1729" s="1"/>
      <c r="R1729" s="1"/>
      <c r="S1729" s="1"/>
      <c r="T1729" s="1"/>
      <c r="U1729" s="4"/>
    </row>
    <row r="1730" spans="1:21" ht="18.75" hidden="1" customHeight="1">
      <c r="A1730" s="28">
        <v>44834</v>
      </c>
      <c r="B1730" s="29" t="s">
        <v>37</v>
      </c>
      <c r="C1730" s="30"/>
      <c r="D1730" s="21"/>
      <c r="E1730" s="27"/>
      <c r="F1730" s="31">
        <f t="shared" si="836"/>
        <v>0</v>
      </c>
      <c r="G1730" s="27">
        <f t="shared" si="837"/>
        <v>0</v>
      </c>
      <c r="H1730" s="37">
        <f>(E1734+E1735+N1734)/0.967</f>
        <v>0</v>
      </c>
      <c r="I1730" s="33">
        <f t="shared" si="838"/>
        <v>0</v>
      </c>
      <c r="J1730" s="26"/>
      <c r="K1730" s="27">
        <f t="shared" si="839"/>
        <v>0</v>
      </c>
      <c r="L1730" s="27"/>
      <c r="M1730" s="572"/>
      <c r="N1730" s="564"/>
      <c r="O1730" s="1"/>
      <c r="P1730" s="3"/>
      <c r="Q1730" s="1"/>
      <c r="R1730" s="1"/>
      <c r="S1730" s="1"/>
      <c r="T1730" s="1"/>
      <c r="U1730" s="4"/>
    </row>
    <row r="1731" spans="1:21" ht="18.75" hidden="1" customHeight="1">
      <c r="A1731" s="28">
        <v>44834</v>
      </c>
      <c r="B1731" s="29" t="s">
        <v>39</v>
      </c>
      <c r="C1731" s="30"/>
      <c r="D1731" s="38"/>
      <c r="E1731" s="27"/>
      <c r="F1731" s="31">
        <f t="shared" si="836"/>
        <v>0</v>
      </c>
      <c r="G1731" s="27">
        <f t="shared" si="837"/>
        <v>0</v>
      </c>
      <c r="H1731" s="37">
        <f>L1735/0.967</f>
        <v>0</v>
      </c>
      <c r="I1731" s="33">
        <f t="shared" si="838"/>
        <v>0</v>
      </c>
      <c r="J1731" s="26"/>
      <c r="K1731" s="27">
        <f t="shared" si="839"/>
        <v>0</v>
      </c>
      <c r="L1731" s="27">
        <f>IF(D1731="no",F1731*H1718-J1731,0)</f>
        <v>0</v>
      </c>
      <c r="M1731" s="563"/>
      <c r="N1731" s="564"/>
      <c r="O1731" s="1"/>
      <c r="P1731" s="3"/>
      <c r="Q1731" s="1"/>
      <c r="R1731" s="1"/>
      <c r="S1731" s="1"/>
      <c r="T1731" s="1"/>
      <c r="U1731" s="4"/>
    </row>
    <row r="1732" spans="1:21" ht="18.75" hidden="1" customHeight="1">
      <c r="A1732" s="28">
        <v>44834</v>
      </c>
      <c r="B1732" s="29" t="s">
        <v>131</v>
      </c>
      <c r="C1732" s="30"/>
      <c r="D1732" s="38"/>
      <c r="E1732" s="27"/>
      <c r="F1732" s="31">
        <f t="shared" si="836"/>
        <v>0</v>
      </c>
      <c r="G1732" s="27">
        <f t="shared" si="837"/>
        <v>0</v>
      </c>
      <c r="H1732" s="37"/>
      <c r="I1732" s="33">
        <f t="shared" si="838"/>
        <v>0</v>
      </c>
      <c r="J1732" s="26"/>
      <c r="K1732" s="27">
        <f t="shared" si="839"/>
        <v>0</v>
      </c>
      <c r="L1732" s="27">
        <f>IF(D1732="no",F1732*H1716-J1732,0)</f>
        <v>0</v>
      </c>
      <c r="M1732" s="563"/>
      <c r="N1732" s="564"/>
      <c r="O1732" s="1"/>
      <c r="P1732" s="3"/>
      <c r="Q1732" s="1"/>
      <c r="R1732" s="1"/>
      <c r="S1732" s="1"/>
      <c r="T1732" s="1"/>
      <c r="U1732" s="4"/>
    </row>
    <row r="1733" spans="1:21" ht="18.75" hidden="1" customHeight="1">
      <c r="A1733" s="575" t="s">
        <v>42</v>
      </c>
      <c r="B1733" s="576"/>
      <c r="C1733" s="576"/>
      <c r="D1733" s="577"/>
      <c r="E1733" s="42">
        <f t="shared" ref="E1733:L1733" si="840">SUM(E1714:E1732)</f>
        <v>0</v>
      </c>
      <c r="F1733" s="17">
        <f t="shared" si="840"/>
        <v>0</v>
      </c>
      <c r="G1733" s="42">
        <f t="shared" si="840"/>
        <v>0</v>
      </c>
      <c r="H1733" s="43">
        <f t="shared" si="840"/>
        <v>0</v>
      </c>
      <c r="I1733" s="42">
        <f t="shared" si="840"/>
        <v>0</v>
      </c>
      <c r="J1733" s="43">
        <f t="shared" si="840"/>
        <v>0</v>
      </c>
      <c r="K1733" s="42">
        <f t="shared" si="840"/>
        <v>0</v>
      </c>
      <c r="L1733" s="42">
        <f t="shared" si="840"/>
        <v>0</v>
      </c>
      <c r="M1733" s="44"/>
      <c r="N1733" s="45"/>
      <c r="O1733" s="1"/>
      <c r="P1733" s="3"/>
      <c r="Q1733" s="1"/>
      <c r="R1733" s="1"/>
      <c r="S1733" s="1"/>
      <c r="T1733" s="1"/>
      <c r="U1733" s="4"/>
    </row>
    <row r="1734" spans="1:21" ht="18.75" hidden="1" customHeight="1">
      <c r="A1734" s="46" t="s">
        <v>37</v>
      </c>
      <c r="B1734" s="47" t="s">
        <v>132</v>
      </c>
      <c r="C1734" s="48">
        <f>D1712</f>
        <v>0</v>
      </c>
      <c r="D1734" s="47" t="s">
        <v>44</v>
      </c>
      <c r="E1734" s="49"/>
      <c r="F1734" s="84"/>
      <c r="G1734" s="85"/>
      <c r="H1734" s="49"/>
      <c r="I1734" s="53" t="s">
        <v>46</v>
      </c>
      <c r="J1734" s="54"/>
      <c r="K1734" s="50"/>
      <c r="L1734" s="55"/>
      <c r="M1734" s="63"/>
      <c r="N1734" s="64"/>
      <c r="O1734" s="1"/>
      <c r="P1734" s="3"/>
      <c r="Q1734" s="1"/>
      <c r="R1734" s="1"/>
      <c r="S1734" s="1"/>
      <c r="T1734" s="1"/>
      <c r="U1734" s="4"/>
    </row>
    <row r="1735" spans="1:21" ht="18.75" hidden="1" customHeight="1" thickBot="1">
      <c r="A1735" s="56" t="s">
        <v>48</v>
      </c>
      <c r="B1735" s="57" t="s">
        <v>133</v>
      </c>
      <c r="C1735" s="58">
        <f>ROUND(F1733/10000,0)</f>
        <v>0</v>
      </c>
      <c r="D1735" s="57" t="s">
        <v>50</v>
      </c>
      <c r="E1735" s="52">
        <f>IF(C1735&gt;=8000,5200000,IF(C1735&gt;=5000,2700000,IF(C1735&gt;=200,200000,0)))</f>
        <v>0</v>
      </c>
      <c r="F1735" s="86"/>
      <c r="G1735" s="87"/>
      <c r="H1735" s="52"/>
      <c r="I1735" s="59"/>
      <c r="J1735" s="61"/>
      <c r="K1735" s="59" t="s">
        <v>39</v>
      </c>
      <c r="L1735" s="62">
        <f>IF(C1735&gt;=1000,500000,0)</f>
        <v>0</v>
      </c>
      <c r="M1735" s="63"/>
      <c r="N1735" s="64"/>
      <c r="O1735" s="1"/>
      <c r="P1735" s="3"/>
      <c r="Q1735" s="1"/>
      <c r="R1735" s="1"/>
      <c r="S1735" s="1"/>
      <c r="T1735" s="1"/>
      <c r="U1735" s="4"/>
    </row>
    <row r="1736" spans="1:21" ht="18.75" hidden="1" customHeight="1" thickBot="1">
      <c r="A1736" s="566" t="s">
        <v>52</v>
      </c>
      <c r="B1736" s="567"/>
      <c r="C1736" s="567"/>
      <c r="D1736" s="568"/>
      <c r="E1736" s="65"/>
      <c r="F1736" s="569" t="s">
        <v>53</v>
      </c>
      <c r="G1736" s="568"/>
      <c r="H1736" s="66">
        <f>H1733-J1734</f>
        <v>0</v>
      </c>
      <c r="I1736" s="67">
        <f>H1736*3.3%</f>
        <v>0</v>
      </c>
      <c r="J1736" s="68">
        <f>SUM(J1733)</f>
        <v>0</v>
      </c>
      <c r="K1736" s="69">
        <f>H1736-I1736-J1736</f>
        <v>0</v>
      </c>
      <c r="L1736" s="70">
        <f>L1733+SUM(H1734:H1735)+J1735</f>
        <v>0</v>
      </c>
      <c r="M1736" s="570">
        <f>K1736+L1736</f>
        <v>0</v>
      </c>
      <c r="N1736" s="571"/>
      <c r="O1736" s="1"/>
      <c r="P1736" s="3"/>
      <c r="Q1736" s="1"/>
      <c r="R1736" s="1"/>
      <c r="S1736" s="1"/>
      <c r="T1736" s="1"/>
      <c r="U1736" s="4"/>
    </row>
    <row r="1737" spans="1:21" ht="18.75" hidden="1" customHeight="1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3"/>
      <c r="Q1737" s="1"/>
      <c r="R1737" s="1"/>
      <c r="S1737" s="1"/>
      <c r="T1737" s="1"/>
      <c r="U1737" s="4"/>
    </row>
    <row r="1738" spans="1:21" ht="18.75" hidden="1" customHeight="1">
      <c r="A1738" s="6"/>
      <c r="B1738" s="7" t="str">
        <f>$B$34</f>
        <v>1월</v>
      </c>
      <c r="C1738" s="8" t="s">
        <v>1</v>
      </c>
      <c r="D1738" s="9">
        <f>COUNTIF($C1740:$C1757,"계약")+(COUNTIF($C1740:$C1757,"계약2")*2)</f>
        <v>0</v>
      </c>
      <c r="E1738" s="3">
        <f>COUNTIF(C1740:C1757,"낙찰수수료")</f>
        <v>0</v>
      </c>
      <c r="F1738" s="3"/>
      <c r="G1738" s="1" t="s">
        <v>168</v>
      </c>
      <c r="H1738" s="11">
        <v>0.5</v>
      </c>
      <c r="I1738" s="12">
        <v>3.3000000000000002E-2</v>
      </c>
      <c r="J1738" s="1"/>
      <c r="K1738" s="1"/>
      <c r="L1738" s="1"/>
      <c r="M1738" s="1"/>
      <c r="N1738" s="1"/>
      <c r="O1738" s="1"/>
      <c r="P1738" s="3"/>
      <c r="Q1738" s="1"/>
      <c r="R1738" s="1"/>
      <c r="S1738" s="1"/>
      <c r="T1738" s="1"/>
      <c r="U1738" s="4"/>
    </row>
    <row r="1739" spans="1:21" ht="18.75" hidden="1" customHeight="1">
      <c r="A1739" s="13" t="s">
        <v>3</v>
      </c>
      <c r="B1739" s="14" t="s">
        <v>4</v>
      </c>
      <c r="C1739" s="14" t="s">
        <v>5</v>
      </c>
      <c r="D1739" s="15" t="s">
        <v>6</v>
      </c>
      <c r="E1739" s="16" t="s">
        <v>7</v>
      </c>
      <c r="F1739" s="17" t="s">
        <v>8</v>
      </c>
      <c r="G1739" s="14" t="s">
        <v>9</v>
      </c>
      <c r="H1739" s="15" t="s">
        <v>10</v>
      </c>
      <c r="I1739" s="14" t="s">
        <v>11</v>
      </c>
      <c r="J1739" s="15" t="s">
        <v>12</v>
      </c>
      <c r="K1739" s="14" t="s">
        <v>13</v>
      </c>
      <c r="L1739" s="14" t="s">
        <v>14</v>
      </c>
      <c r="M1739" s="603" t="s">
        <v>15</v>
      </c>
      <c r="N1739" s="581"/>
      <c r="O1739" s="1"/>
      <c r="P1739" s="3"/>
      <c r="Q1739" s="1"/>
      <c r="R1739" s="1"/>
      <c r="S1739" s="1"/>
      <c r="T1739" s="1"/>
      <c r="U1739" s="4"/>
    </row>
    <row r="1740" spans="1:21" ht="18.75" hidden="1" customHeight="1">
      <c r="A1740" s="28"/>
      <c r="B1740" s="29"/>
      <c r="C1740" s="30"/>
      <c r="D1740" s="21"/>
      <c r="E1740" s="27"/>
      <c r="F1740" s="31">
        <f t="shared" ref="F1740:F1753" si="841">IF(D1740="no",E1740,E1740/1.1)</f>
        <v>0</v>
      </c>
      <c r="G1740" s="27">
        <f t="shared" ref="G1740:G1753" si="842">IF(D1740="no",0,F1740*0.1)</f>
        <v>0</v>
      </c>
      <c r="H1740" s="32">
        <f>IF(D1740="no",0,F1740*H1738)</f>
        <v>0</v>
      </c>
      <c r="I1740" s="33">
        <f t="shared" ref="I1740:I1757" si="843">IF(D1740="no",0,H1740*3.3%)</f>
        <v>0</v>
      </c>
      <c r="J1740" s="26"/>
      <c r="K1740" s="27">
        <f t="shared" ref="K1740:K1757" si="844">IF(D1740="no",0,H1740-I1740-J1740)</f>
        <v>0</v>
      </c>
      <c r="L1740" s="27">
        <f>IF(D1740="no",F1740*H1738-J1740,0)</f>
        <v>0</v>
      </c>
      <c r="M1740" s="580"/>
      <c r="N1740" s="581"/>
      <c r="O1740" s="1"/>
      <c r="P1740" s="3"/>
      <c r="Q1740" s="1"/>
      <c r="R1740" s="1"/>
      <c r="S1740" s="1"/>
      <c r="T1740" s="1"/>
      <c r="U1740" s="4"/>
    </row>
    <row r="1741" spans="1:21" ht="18.75" hidden="1" customHeight="1">
      <c r="A1741" s="28"/>
      <c r="B1741" s="29"/>
      <c r="C1741" s="30"/>
      <c r="D1741" s="21"/>
      <c r="E1741" s="27"/>
      <c r="F1741" s="31">
        <f t="shared" si="841"/>
        <v>0</v>
      </c>
      <c r="G1741" s="27">
        <f t="shared" si="842"/>
        <v>0</v>
      </c>
      <c r="H1741" s="32">
        <f>IF(D1741="no",0,F1741*H1738)</f>
        <v>0</v>
      </c>
      <c r="I1741" s="33">
        <f t="shared" si="843"/>
        <v>0</v>
      </c>
      <c r="J1741" s="26"/>
      <c r="K1741" s="27">
        <f t="shared" si="844"/>
        <v>0</v>
      </c>
      <c r="L1741" s="27">
        <f>IF(D1741="no",F1741*H1738-J1741,0)</f>
        <v>0</v>
      </c>
      <c r="M1741" s="572"/>
      <c r="N1741" s="564"/>
      <c r="O1741" s="1"/>
      <c r="P1741" s="3"/>
      <c r="Q1741" s="1"/>
      <c r="R1741" s="1"/>
      <c r="S1741" s="1"/>
      <c r="T1741" s="1"/>
      <c r="U1741" s="4"/>
    </row>
    <row r="1742" spans="1:21" ht="18.75" hidden="1" customHeight="1">
      <c r="A1742" s="28"/>
      <c r="B1742" s="29"/>
      <c r="C1742" s="30"/>
      <c r="D1742" s="21"/>
      <c r="E1742" s="27"/>
      <c r="F1742" s="31">
        <f t="shared" si="841"/>
        <v>0</v>
      </c>
      <c r="G1742" s="27">
        <f t="shared" si="842"/>
        <v>0</v>
      </c>
      <c r="H1742" s="32">
        <f>IF(D1742="no",0,F1742*H1738)</f>
        <v>0</v>
      </c>
      <c r="I1742" s="33">
        <f t="shared" si="843"/>
        <v>0</v>
      </c>
      <c r="J1742" s="26"/>
      <c r="K1742" s="27">
        <f t="shared" si="844"/>
        <v>0</v>
      </c>
      <c r="L1742" s="27">
        <f>IF(D1742="no",F1742*H1738-J1742,0)</f>
        <v>0</v>
      </c>
      <c r="M1742" s="572"/>
      <c r="N1742" s="564"/>
      <c r="O1742" s="1"/>
      <c r="P1742" s="3"/>
      <c r="Q1742" s="1"/>
      <c r="R1742" s="1"/>
      <c r="S1742" s="1"/>
      <c r="T1742" s="1"/>
      <c r="U1742" s="4"/>
    </row>
    <row r="1743" spans="1:21" ht="18.75" hidden="1" customHeight="1">
      <c r="A1743" s="28"/>
      <c r="B1743" s="29"/>
      <c r="C1743" s="30"/>
      <c r="D1743" s="38"/>
      <c r="E1743" s="27"/>
      <c r="F1743" s="31">
        <f t="shared" si="841"/>
        <v>0</v>
      </c>
      <c r="G1743" s="27">
        <f t="shared" si="842"/>
        <v>0</v>
      </c>
      <c r="H1743" s="32">
        <f>IF(D1743="no",0,F1743*H1738)</f>
        <v>0</v>
      </c>
      <c r="I1743" s="33">
        <f t="shared" si="843"/>
        <v>0</v>
      </c>
      <c r="J1743" s="26"/>
      <c r="K1743" s="27">
        <f t="shared" si="844"/>
        <v>0</v>
      </c>
      <c r="L1743" s="27">
        <f>IF(D1743="no",F1743*H1738-J1743,0)</f>
        <v>0</v>
      </c>
      <c r="M1743" s="572"/>
      <c r="N1743" s="564"/>
      <c r="O1743" s="1"/>
      <c r="P1743" s="3"/>
      <c r="Q1743" s="1"/>
      <c r="R1743" s="1"/>
      <c r="S1743" s="1"/>
      <c r="T1743" s="1"/>
      <c r="U1743" s="4"/>
    </row>
    <row r="1744" spans="1:21" ht="18.75" hidden="1" customHeight="1">
      <c r="A1744" s="28"/>
      <c r="B1744" s="29"/>
      <c r="C1744" s="30"/>
      <c r="D1744" s="38"/>
      <c r="E1744" s="27"/>
      <c r="F1744" s="31">
        <f t="shared" si="841"/>
        <v>0</v>
      </c>
      <c r="G1744" s="27">
        <f t="shared" si="842"/>
        <v>0</v>
      </c>
      <c r="H1744" s="32">
        <f>IF(D1744="no",0,F1744*H1738)</f>
        <v>0</v>
      </c>
      <c r="I1744" s="33">
        <f t="shared" si="843"/>
        <v>0</v>
      </c>
      <c r="J1744" s="26"/>
      <c r="K1744" s="27">
        <f t="shared" si="844"/>
        <v>0</v>
      </c>
      <c r="L1744" s="27">
        <f>IF(D1744="no",F1744*H1738-J1744,0)</f>
        <v>0</v>
      </c>
      <c r="M1744" s="572"/>
      <c r="N1744" s="564"/>
      <c r="O1744" s="1"/>
      <c r="P1744" s="3"/>
      <c r="Q1744" s="1"/>
      <c r="R1744" s="1"/>
      <c r="S1744" s="1"/>
      <c r="T1744" s="1"/>
      <c r="U1744" s="4"/>
    </row>
    <row r="1745" spans="1:21" ht="18.75" hidden="1" customHeight="1">
      <c r="A1745" s="28"/>
      <c r="B1745" s="29"/>
      <c r="C1745" s="30"/>
      <c r="D1745" s="21"/>
      <c r="E1745" s="27"/>
      <c r="F1745" s="31">
        <f t="shared" si="841"/>
        <v>0</v>
      </c>
      <c r="G1745" s="27">
        <f t="shared" si="842"/>
        <v>0</v>
      </c>
      <c r="H1745" s="32">
        <f>IF(D1745="no",0,F1745*H1738)</f>
        <v>0</v>
      </c>
      <c r="I1745" s="33">
        <f t="shared" si="843"/>
        <v>0</v>
      </c>
      <c r="J1745" s="26"/>
      <c r="K1745" s="27">
        <f t="shared" si="844"/>
        <v>0</v>
      </c>
      <c r="L1745" s="27">
        <f>IF(D1745="no",F1745*#REF!-J1745,0)</f>
        <v>0</v>
      </c>
      <c r="M1745" s="563"/>
      <c r="N1745" s="564"/>
      <c r="O1745" s="1"/>
      <c r="P1745" s="3"/>
      <c r="Q1745" s="1"/>
      <c r="R1745" s="1"/>
      <c r="S1745" s="1"/>
      <c r="T1745" s="1"/>
      <c r="U1745" s="4"/>
    </row>
    <row r="1746" spans="1:21" ht="18.75" hidden="1" customHeight="1">
      <c r="A1746" s="28"/>
      <c r="B1746" s="29"/>
      <c r="C1746" s="30"/>
      <c r="D1746" s="21"/>
      <c r="E1746" s="27"/>
      <c r="F1746" s="31">
        <f t="shared" si="841"/>
        <v>0</v>
      </c>
      <c r="G1746" s="27">
        <f t="shared" si="842"/>
        <v>0</v>
      </c>
      <c r="H1746" s="32">
        <f>IF(D1746="no",0,F1746*H1738)</f>
        <v>0</v>
      </c>
      <c r="I1746" s="33">
        <f t="shared" si="843"/>
        <v>0</v>
      </c>
      <c r="J1746" s="26"/>
      <c r="K1746" s="27">
        <f t="shared" si="844"/>
        <v>0</v>
      </c>
      <c r="L1746" s="27">
        <f>IF(D1746="no",F1746*H1744-J1746,0)</f>
        <v>0</v>
      </c>
      <c r="M1746" s="563"/>
      <c r="N1746" s="564"/>
      <c r="O1746" s="1"/>
      <c r="P1746" s="3"/>
      <c r="Q1746" s="1"/>
      <c r="R1746" s="1"/>
      <c r="S1746" s="1"/>
      <c r="T1746" s="1"/>
      <c r="U1746" s="4"/>
    </row>
    <row r="1747" spans="1:21" ht="18.75" hidden="1" customHeight="1">
      <c r="A1747" s="28"/>
      <c r="B1747" s="29"/>
      <c r="C1747" s="30"/>
      <c r="D1747" s="21"/>
      <c r="E1747" s="27"/>
      <c r="F1747" s="31">
        <f t="shared" si="841"/>
        <v>0</v>
      </c>
      <c r="G1747" s="27">
        <f t="shared" si="842"/>
        <v>0</v>
      </c>
      <c r="H1747" s="32">
        <f>IF(D1747="no",0,F1747*H1738)</f>
        <v>0</v>
      </c>
      <c r="I1747" s="33">
        <f t="shared" si="843"/>
        <v>0</v>
      </c>
      <c r="J1747" s="26"/>
      <c r="K1747" s="27">
        <f t="shared" si="844"/>
        <v>0</v>
      </c>
      <c r="L1747" s="27">
        <f>IF(D1747="no",F1747*H1744-J1747,0)</f>
        <v>0</v>
      </c>
      <c r="M1747" s="563"/>
      <c r="N1747" s="564"/>
      <c r="O1747" s="1"/>
      <c r="P1747" s="3"/>
      <c r="Q1747" s="1"/>
      <c r="R1747" s="1"/>
      <c r="S1747" s="1"/>
      <c r="T1747" s="1"/>
      <c r="U1747" s="4"/>
    </row>
    <row r="1748" spans="1:21" ht="18.75" hidden="1" customHeight="1">
      <c r="A1748" s="28"/>
      <c r="B1748" s="29"/>
      <c r="C1748" s="30"/>
      <c r="D1748" s="21"/>
      <c r="E1748" s="27"/>
      <c r="F1748" s="31">
        <f t="shared" si="841"/>
        <v>0</v>
      </c>
      <c r="G1748" s="27">
        <f t="shared" si="842"/>
        <v>0</v>
      </c>
      <c r="H1748" s="32">
        <f>IF(D1748="no",0,F1748*H1738)</f>
        <v>0</v>
      </c>
      <c r="I1748" s="33">
        <f t="shared" si="843"/>
        <v>0</v>
      </c>
      <c r="J1748" s="26"/>
      <c r="K1748" s="27">
        <f t="shared" si="844"/>
        <v>0</v>
      </c>
      <c r="L1748" s="27">
        <f>IF(D1748="no",F1748*H1744-J1748,0)</f>
        <v>0</v>
      </c>
      <c r="M1748" s="563"/>
      <c r="N1748" s="564"/>
      <c r="O1748" s="1"/>
      <c r="P1748" s="3"/>
      <c r="Q1748" s="1"/>
      <c r="R1748" s="1"/>
      <c r="S1748" s="1"/>
      <c r="T1748" s="1"/>
      <c r="U1748" s="4"/>
    </row>
    <row r="1749" spans="1:21" ht="18.75" hidden="1" customHeight="1">
      <c r="A1749" s="28"/>
      <c r="B1749" s="29"/>
      <c r="C1749" s="30"/>
      <c r="D1749" s="21"/>
      <c r="E1749" s="27"/>
      <c r="F1749" s="31">
        <f t="shared" si="841"/>
        <v>0</v>
      </c>
      <c r="G1749" s="27">
        <f t="shared" si="842"/>
        <v>0</v>
      </c>
      <c r="H1749" s="32">
        <f>IF(D1749="no",0,F1749*H1738)</f>
        <v>0</v>
      </c>
      <c r="I1749" s="33">
        <f t="shared" si="843"/>
        <v>0</v>
      </c>
      <c r="J1749" s="26"/>
      <c r="K1749" s="27">
        <f t="shared" si="844"/>
        <v>0</v>
      </c>
      <c r="L1749" s="27">
        <f>IF(D1749="no",F1749*H1744-J1749,0)</f>
        <v>0</v>
      </c>
      <c r="M1749" s="563"/>
      <c r="N1749" s="564"/>
      <c r="O1749" s="1"/>
      <c r="P1749" s="3"/>
      <c r="Q1749" s="1"/>
      <c r="R1749" s="1"/>
      <c r="S1749" s="1"/>
      <c r="T1749" s="1"/>
      <c r="U1749" s="4"/>
    </row>
    <row r="1750" spans="1:21" ht="18.75" hidden="1" customHeight="1">
      <c r="A1750" s="28"/>
      <c r="B1750" s="29"/>
      <c r="C1750" s="30"/>
      <c r="D1750" s="21"/>
      <c r="E1750" s="27"/>
      <c r="F1750" s="31">
        <f t="shared" si="841"/>
        <v>0</v>
      </c>
      <c r="G1750" s="27">
        <f t="shared" si="842"/>
        <v>0</v>
      </c>
      <c r="H1750" s="32">
        <f>IF(D1750="no",0,F1750*H1738)</f>
        <v>0</v>
      </c>
      <c r="I1750" s="33">
        <f t="shared" si="843"/>
        <v>0</v>
      </c>
      <c r="J1750" s="26"/>
      <c r="K1750" s="27">
        <f t="shared" si="844"/>
        <v>0</v>
      </c>
      <c r="L1750" s="27">
        <f>IF(D1750="no",F1750*H1744-J1750,0)</f>
        <v>0</v>
      </c>
      <c r="M1750" s="563"/>
      <c r="N1750" s="564"/>
      <c r="O1750" s="1"/>
      <c r="P1750" s="3"/>
      <c r="Q1750" s="1"/>
      <c r="R1750" s="1"/>
      <c r="S1750" s="1"/>
      <c r="T1750" s="1"/>
      <c r="U1750" s="4"/>
    </row>
    <row r="1751" spans="1:21" ht="18.75" hidden="1" customHeight="1">
      <c r="A1751" s="28"/>
      <c r="B1751" s="29"/>
      <c r="C1751" s="30"/>
      <c r="D1751" s="38"/>
      <c r="E1751" s="27"/>
      <c r="F1751" s="31">
        <f t="shared" si="841"/>
        <v>0</v>
      </c>
      <c r="G1751" s="27">
        <f t="shared" si="842"/>
        <v>0</v>
      </c>
      <c r="H1751" s="32">
        <f>IF(D1751="no",0,F1751*H1738)</f>
        <v>0</v>
      </c>
      <c r="I1751" s="33">
        <f t="shared" si="843"/>
        <v>0</v>
      </c>
      <c r="J1751" s="26"/>
      <c r="K1751" s="27">
        <f t="shared" si="844"/>
        <v>0</v>
      </c>
      <c r="L1751" s="27">
        <f>IF(D1751="no",F1751*H1741-J1751,0)</f>
        <v>0</v>
      </c>
      <c r="M1751" s="572"/>
      <c r="N1751" s="564"/>
      <c r="O1751" s="1"/>
      <c r="P1751" s="3"/>
      <c r="Q1751" s="1"/>
      <c r="R1751" s="1"/>
      <c r="S1751" s="1"/>
      <c r="T1751" s="1"/>
      <c r="U1751" s="4"/>
    </row>
    <row r="1752" spans="1:21" ht="18.75" hidden="1" customHeight="1">
      <c r="A1752" s="28"/>
      <c r="B1752" s="29"/>
      <c r="C1752" s="30"/>
      <c r="D1752" s="38"/>
      <c r="E1752" s="27"/>
      <c r="F1752" s="31">
        <f t="shared" si="841"/>
        <v>0</v>
      </c>
      <c r="G1752" s="27">
        <f t="shared" si="842"/>
        <v>0</v>
      </c>
      <c r="H1752" s="32">
        <f>IF(D1752="no",0,F1752*H1738)</f>
        <v>0</v>
      </c>
      <c r="I1752" s="33">
        <f t="shared" si="843"/>
        <v>0</v>
      </c>
      <c r="J1752" s="26"/>
      <c r="K1752" s="27">
        <f t="shared" si="844"/>
        <v>0</v>
      </c>
      <c r="L1752" s="27">
        <f>IF(D1752="no",F1752*H1745-J1752,0)</f>
        <v>0</v>
      </c>
      <c r="M1752" s="563"/>
      <c r="N1752" s="564"/>
      <c r="O1752" s="1"/>
      <c r="P1752" s="3"/>
      <c r="Q1752" s="1"/>
      <c r="R1752" s="1"/>
      <c r="S1752" s="1"/>
      <c r="T1752" s="1"/>
      <c r="U1752" s="4"/>
    </row>
    <row r="1753" spans="1:21" ht="18.75" hidden="1" customHeight="1">
      <c r="A1753" s="28"/>
      <c r="B1753" s="29"/>
      <c r="C1753" s="30"/>
      <c r="D1753" s="21"/>
      <c r="E1753" s="27"/>
      <c r="F1753" s="31">
        <f t="shared" si="841"/>
        <v>0</v>
      </c>
      <c r="G1753" s="27">
        <f t="shared" si="842"/>
        <v>0</v>
      </c>
      <c r="H1753" s="32">
        <f>IF(D1753="no",0,F1753*H1738)</f>
        <v>0</v>
      </c>
      <c r="I1753" s="33">
        <f t="shared" si="843"/>
        <v>0</v>
      </c>
      <c r="J1753" s="26"/>
      <c r="K1753" s="27">
        <f t="shared" si="844"/>
        <v>0</v>
      </c>
      <c r="L1753" s="27">
        <f>IF(D1753="no",F1753*H1738-J1753,0)</f>
        <v>0</v>
      </c>
      <c r="M1753" s="563"/>
      <c r="N1753" s="564"/>
      <c r="O1753" s="1"/>
      <c r="P1753" s="3"/>
      <c r="Q1753" s="1"/>
      <c r="R1753" s="1"/>
      <c r="S1753" s="1"/>
      <c r="T1753" s="1"/>
      <c r="U1753" s="4"/>
    </row>
    <row r="1754" spans="1:21" ht="18.75" hidden="1" customHeight="1">
      <c r="A1754" s="28"/>
      <c r="B1754" s="29"/>
      <c r="C1754" s="30"/>
      <c r="D1754" s="21"/>
      <c r="E1754" s="27"/>
      <c r="F1754" s="31"/>
      <c r="G1754" s="27"/>
      <c r="H1754" s="32"/>
      <c r="I1754" s="33">
        <f t="shared" si="843"/>
        <v>0</v>
      </c>
      <c r="J1754" s="26"/>
      <c r="K1754" s="27">
        <f t="shared" si="844"/>
        <v>0</v>
      </c>
      <c r="L1754" s="27">
        <f>IF(D1754="no",F1754*H1752-J1754,0)</f>
        <v>0</v>
      </c>
      <c r="M1754" s="563"/>
      <c r="N1754" s="564"/>
      <c r="O1754" s="1"/>
      <c r="P1754" s="3"/>
      <c r="Q1754" s="1"/>
      <c r="R1754" s="1"/>
      <c r="S1754" s="1"/>
      <c r="T1754" s="1"/>
      <c r="U1754" s="4"/>
    </row>
    <row r="1755" spans="1:21" ht="18.75" hidden="1" customHeight="1">
      <c r="A1755" s="28"/>
      <c r="B1755" s="29"/>
      <c r="C1755" s="30"/>
      <c r="D1755" s="21"/>
      <c r="E1755" s="27"/>
      <c r="F1755" s="31">
        <f t="shared" ref="F1755:F1757" si="845">IF(D1755="no",E1755,E1755/1.1)</f>
        <v>0</v>
      </c>
      <c r="G1755" s="27">
        <f t="shared" ref="G1755:G1757" si="846">IF(D1755="no",0,F1755*0.1)</f>
        <v>0</v>
      </c>
      <c r="H1755" s="37">
        <f>(E1759+E1760+N1759)/0.967</f>
        <v>0</v>
      </c>
      <c r="I1755" s="33">
        <f t="shared" si="843"/>
        <v>0</v>
      </c>
      <c r="J1755" s="26"/>
      <c r="K1755" s="27">
        <f t="shared" si="844"/>
        <v>0</v>
      </c>
      <c r="L1755" s="27"/>
      <c r="M1755" s="572"/>
      <c r="N1755" s="564"/>
      <c r="O1755" s="1"/>
      <c r="P1755" s="3"/>
      <c r="Q1755" s="1"/>
      <c r="R1755" s="1"/>
      <c r="S1755" s="1"/>
      <c r="T1755" s="1"/>
      <c r="U1755" s="4"/>
    </row>
    <row r="1756" spans="1:21" ht="18.75" hidden="1" customHeight="1">
      <c r="A1756" s="28"/>
      <c r="B1756" s="29"/>
      <c r="C1756" s="30"/>
      <c r="D1756" s="38"/>
      <c r="E1756" s="27"/>
      <c r="F1756" s="31">
        <f t="shared" si="845"/>
        <v>0</v>
      </c>
      <c r="G1756" s="27">
        <f t="shared" si="846"/>
        <v>0</v>
      </c>
      <c r="H1756" s="37">
        <f>L1760/0.967</f>
        <v>0</v>
      </c>
      <c r="I1756" s="33">
        <f t="shared" si="843"/>
        <v>0</v>
      </c>
      <c r="J1756" s="26"/>
      <c r="K1756" s="27">
        <f t="shared" si="844"/>
        <v>0</v>
      </c>
      <c r="L1756" s="27">
        <f>IF(D1756="no",F1756*H1744-J1756,0)</f>
        <v>0</v>
      </c>
      <c r="M1756" s="563"/>
      <c r="N1756" s="564"/>
      <c r="O1756" s="1"/>
      <c r="P1756" s="3"/>
      <c r="Q1756" s="1"/>
      <c r="R1756" s="1"/>
      <c r="S1756" s="1"/>
      <c r="T1756" s="1"/>
      <c r="U1756" s="4"/>
    </row>
    <row r="1757" spans="1:21" ht="18.75" hidden="1" customHeight="1">
      <c r="A1757" s="28"/>
      <c r="B1757" s="29"/>
      <c r="C1757" s="30"/>
      <c r="D1757" s="38"/>
      <c r="E1757" s="27"/>
      <c r="F1757" s="31">
        <f t="shared" si="845"/>
        <v>0</v>
      </c>
      <c r="G1757" s="27">
        <f t="shared" si="846"/>
        <v>0</v>
      </c>
      <c r="H1757" s="37"/>
      <c r="I1757" s="33">
        <f t="shared" si="843"/>
        <v>0</v>
      </c>
      <c r="J1757" s="26"/>
      <c r="K1757" s="27">
        <f t="shared" si="844"/>
        <v>0</v>
      </c>
      <c r="L1757" s="27">
        <f>IF(D1757="no",F1757*H1742-J1757,0)</f>
        <v>0</v>
      </c>
      <c r="M1757" s="563"/>
      <c r="N1757" s="564"/>
      <c r="O1757" s="1"/>
      <c r="P1757" s="3"/>
      <c r="Q1757" s="1"/>
      <c r="R1757" s="1"/>
      <c r="S1757" s="1"/>
      <c r="T1757" s="1"/>
      <c r="U1757" s="4"/>
    </row>
    <row r="1758" spans="1:21" ht="18.75" hidden="1" customHeight="1">
      <c r="A1758" s="575" t="s">
        <v>42</v>
      </c>
      <c r="B1758" s="576"/>
      <c r="C1758" s="576"/>
      <c r="D1758" s="577"/>
      <c r="E1758" s="42">
        <f t="shared" ref="E1758:L1758" si="847">SUM(E1740:E1757)</f>
        <v>0</v>
      </c>
      <c r="F1758" s="17">
        <f t="shared" si="847"/>
        <v>0</v>
      </c>
      <c r="G1758" s="42">
        <f t="shared" si="847"/>
        <v>0</v>
      </c>
      <c r="H1758" s="43">
        <f t="shared" si="847"/>
        <v>0</v>
      </c>
      <c r="I1758" s="42">
        <f t="shared" si="847"/>
        <v>0</v>
      </c>
      <c r="J1758" s="43">
        <f t="shared" si="847"/>
        <v>0</v>
      </c>
      <c r="K1758" s="42">
        <f t="shared" si="847"/>
        <v>0</v>
      </c>
      <c r="L1758" s="42">
        <f t="shared" si="847"/>
        <v>0</v>
      </c>
      <c r="M1758" s="44"/>
      <c r="N1758" s="45"/>
      <c r="O1758" s="1"/>
      <c r="P1758" s="3"/>
      <c r="Q1758" s="1"/>
      <c r="R1758" s="1"/>
      <c r="S1758" s="1"/>
      <c r="T1758" s="1"/>
      <c r="U1758" s="4"/>
    </row>
    <row r="1759" spans="1:21" ht="18.75" hidden="1" customHeight="1">
      <c r="A1759" s="46" t="s">
        <v>37</v>
      </c>
      <c r="B1759" s="47" t="s">
        <v>132</v>
      </c>
      <c r="C1759" s="48">
        <f>D1738</f>
        <v>0</v>
      </c>
      <c r="D1759" s="47" t="s">
        <v>44</v>
      </c>
      <c r="E1759" s="49"/>
      <c r="F1759" s="84"/>
      <c r="G1759" s="85"/>
      <c r="H1759" s="49"/>
      <c r="I1759" s="53" t="s">
        <v>46</v>
      </c>
      <c r="J1759" s="54"/>
      <c r="K1759" s="50"/>
      <c r="L1759" s="55"/>
      <c r="M1759" s="63"/>
      <c r="N1759" s="64"/>
      <c r="O1759" s="1"/>
      <c r="P1759" s="3"/>
      <c r="Q1759" s="1"/>
      <c r="R1759" s="1"/>
      <c r="S1759" s="1"/>
      <c r="T1759" s="1"/>
      <c r="U1759" s="4"/>
    </row>
    <row r="1760" spans="1:21" ht="18.75" hidden="1" customHeight="1" thickBot="1">
      <c r="A1760" s="56" t="s">
        <v>48</v>
      </c>
      <c r="B1760" s="57" t="s">
        <v>133</v>
      </c>
      <c r="C1760" s="58">
        <f>ROUND(F1758/10000,0)</f>
        <v>0</v>
      </c>
      <c r="D1760" s="57" t="s">
        <v>50</v>
      </c>
      <c r="E1760" s="52">
        <f>IF(C1760&gt;=8000,5200000,IF(C1760&gt;=5000,2700000,IF(C1760&gt;=200,200000,0)))</f>
        <v>0</v>
      </c>
      <c r="F1760" s="86"/>
      <c r="G1760" s="87"/>
      <c r="H1760" s="52"/>
      <c r="I1760" s="59"/>
      <c r="J1760" s="61"/>
      <c r="K1760" s="59" t="s">
        <v>39</v>
      </c>
      <c r="L1760" s="62">
        <f>IF(C1760&gt;=1000,500000,0)</f>
        <v>0</v>
      </c>
      <c r="M1760" s="63"/>
      <c r="N1760" s="64"/>
      <c r="O1760" s="1"/>
      <c r="P1760" s="3"/>
      <c r="Q1760" s="1"/>
      <c r="R1760" s="1"/>
      <c r="S1760" s="1"/>
      <c r="T1760" s="1"/>
      <c r="U1760" s="4"/>
    </row>
    <row r="1761" spans="1:21" ht="18.75" hidden="1" customHeight="1" thickBot="1">
      <c r="A1761" s="566" t="s">
        <v>52</v>
      </c>
      <c r="B1761" s="567"/>
      <c r="C1761" s="567"/>
      <c r="D1761" s="568"/>
      <c r="E1761" s="65"/>
      <c r="F1761" s="569" t="s">
        <v>53</v>
      </c>
      <c r="G1761" s="568"/>
      <c r="H1761" s="66">
        <f>H1758-J1759</f>
        <v>0</v>
      </c>
      <c r="I1761" s="67">
        <f>H1761*3.3%</f>
        <v>0</v>
      </c>
      <c r="J1761" s="68">
        <f>SUM(J1758)</f>
        <v>0</v>
      </c>
      <c r="K1761" s="69">
        <f>H1761-I1761-J1761</f>
        <v>0</v>
      </c>
      <c r="L1761" s="70">
        <f>L1758+SUM(H1759:H1760)+J1760</f>
        <v>0</v>
      </c>
      <c r="M1761" s="570">
        <f>K1761+L1761</f>
        <v>0</v>
      </c>
      <c r="N1761" s="571"/>
      <c r="O1761" s="1"/>
      <c r="P1761" s="3"/>
      <c r="Q1761" s="1"/>
      <c r="R1761" s="1"/>
      <c r="S1761" s="1"/>
      <c r="T1761" s="1"/>
      <c r="U1761" s="4"/>
    </row>
    <row r="1762" spans="1:21" ht="18.75" hidden="1" customHeight="1">
      <c r="A1762" s="158"/>
      <c r="B1762" s="158"/>
      <c r="C1762" s="158"/>
      <c r="D1762" s="158"/>
      <c r="E1762" s="97"/>
      <c r="F1762" s="97"/>
      <c r="G1762" s="97"/>
      <c r="H1762" s="93"/>
      <c r="I1762" s="97"/>
      <c r="J1762" s="97"/>
      <c r="K1762" s="159"/>
      <c r="L1762" s="159"/>
      <c r="M1762" s="160"/>
      <c r="N1762" s="160"/>
      <c r="O1762" s="1"/>
      <c r="P1762" s="3"/>
      <c r="Q1762" s="1"/>
      <c r="R1762" s="1"/>
      <c r="S1762" s="1"/>
      <c r="T1762" s="1"/>
      <c r="U1762" s="4"/>
    </row>
    <row r="1763" spans="1:21" ht="18.75" hidden="1" customHeight="1">
      <c r="A1763" s="6"/>
      <c r="B1763" s="7" t="str">
        <f>$B$34</f>
        <v>1월</v>
      </c>
      <c r="C1763" s="8" t="s">
        <v>1</v>
      </c>
      <c r="D1763" s="9">
        <f>COUNTIF($C1765:$C1780,"계약")+(COUNTIF($C1765:$C1780,"계약2")*2)</f>
        <v>0</v>
      </c>
      <c r="E1763" s="3">
        <f>COUNTIF(C1765:C1780,"낙찰수수료")</f>
        <v>0</v>
      </c>
      <c r="F1763" s="10"/>
      <c r="G1763" s="1"/>
      <c r="H1763" s="11">
        <v>0.5</v>
      </c>
      <c r="I1763" s="12">
        <v>3.3000000000000002E-2</v>
      </c>
      <c r="J1763" s="1"/>
      <c r="K1763" s="1"/>
      <c r="L1763" s="1"/>
      <c r="M1763" s="1"/>
      <c r="N1763" s="1"/>
      <c r="O1763" s="1"/>
      <c r="P1763" s="3"/>
      <c r="Q1763" s="1"/>
      <c r="R1763" s="1"/>
      <c r="S1763" s="1"/>
      <c r="T1763" s="1"/>
      <c r="U1763" s="4"/>
    </row>
    <row r="1764" spans="1:21" ht="18.75" hidden="1" customHeight="1">
      <c r="A1764" s="13" t="s">
        <v>3</v>
      </c>
      <c r="B1764" s="14" t="s">
        <v>4</v>
      </c>
      <c r="C1764" s="14" t="s">
        <v>5</v>
      </c>
      <c r="D1764" s="15" t="s">
        <v>6</v>
      </c>
      <c r="E1764" s="16" t="s">
        <v>7</v>
      </c>
      <c r="F1764" s="17" t="s">
        <v>8</v>
      </c>
      <c r="G1764" s="14" t="s">
        <v>9</v>
      </c>
      <c r="H1764" s="15" t="s">
        <v>10</v>
      </c>
      <c r="I1764" s="14" t="s">
        <v>11</v>
      </c>
      <c r="J1764" s="15" t="s">
        <v>12</v>
      </c>
      <c r="K1764" s="14" t="s">
        <v>13</v>
      </c>
      <c r="L1764" s="14" t="s">
        <v>14</v>
      </c>
      <c r="M1764" s="579" t="s">
        <v>15</v>
      </c>
      <c r="N1764" s="577"/>
      <c r="O1764" s="1"/>
      <c r="P1764" s="3"/>
      <c r="Q1764" s="1"/>
      <c r="R1764" s="1"/>
      <c r="S1764" s="1"/>
      <c r="T1764" s="1"/>
      <c r="U1764" s="4"/>
    </row>
    <row r="1765" spans="1:21" ht="18.75" hidden="1" customHeight="1">
      <c r="A1765" s="28"/>
      <c r="B1765" s="29"/>
      <c r="C1765" s="30"/>
      <c r="D1765" s="21"/>
      <c r="E1765" s="27"/>
      <c r="F1765" s="31">
        <f t="shared" ref="F1765:F1774" si="848">IF(D1765="no",E1765,E1765/1.1)</f>
        <v>0</v>
      </c>
      <c r="G1765" s="27">
        <f t="shared" ref="G1765:G1777" si="849">IF(D1765="no",0,F1765*0.1)</f>
        <v>0</v>
      </c>
      <c r="H1765" s="32">
        <f>IF(D1765="no",0,F1765*H1763)</f>
        <v>0</v>
      </c>
      <c r="I1765" s="33">
        <f t="shared" ref="I1765:I1780" si="850">IF(D1765="no",0,H1765*3.3%)</f>
        <v>0</v>
      </c>
      <c r="J1765" s="26"/>
      <c r="K1765" s="27">
        <f t="shared" ref="K1765:K1780" si="851">IF(D1765="no",0,H1765-I1765-J1765)</f>
        <v>0</v>
      </c>
      <c r="L1765" s="27">
        <f>IF(D1765="no",F1765*H1758-J1765,0)</f>
        <v>0</v>
      </c>
      <c r="M1765" s="572"/>
      <c r="N1765" s="564"/>
      <c r="O1765" s="1"/>
      <c r="P1765" s="3"/>
      <c r="Q1765" s="1"/>
      <c r="R1765" s="1"/>
      <c r="S1765" s="1"/>
      <c r="T1765" s="1"/>
      <c r="U1765" s="4"/>
    </row>
    <row r="1766" spans="1:21" ht="18.75" hidden="1" customHeight="1">
      <c r="A1766" s="28"/>
      <c r="B1766" s="29"/>
      <c r="C1766" s="30"/>
      <c r="D1766" s="21"/>
      <c r="E1766" s="27"/>
      <c r="F1766" s="31">
        <f t="shared" si="848"/>
        <v>0</v>
      </c>
      <c r="G1766" s="27">
        <f t="shared" si="849"/>
        <v>0</v>
      </c>
      <c r="H1766" s="32">
        <f t="shared" ref="H1766:H1774" si="852">IF(D1766="no",0,F1766*H1755)</f>
        <v>0</v>
      </c>
      <c r="I1766" s="33">
        <f t="shared" si="850"/>
        <v>0</v>
      </c>
      <c r="J1766" s="26"/>
      <c r="K1766" s="27">
        <f t="shared" si="851"/>
        <v>0</v>
      </c>
      <c r="L1766" s="27">
        <f t="shared" ref="L1766:L1777" si="853">IF(D1766="no",F1766*H1755-J1766,0)</f>
        <v>0</v>
      </c>
      <c r="M1766" s="572"/>
      <c r="N1766" s="564"/>
      <c r="O1766" s="1"/>
      <c r="P1766" s="3"/>
      <c r="Q1766" s="1"/>
      <c r="R1766" s="1"/>
      <c r="S1766" s="1"/>
      <c r="T1766" s="1"/>
      <c r="U1766" s="4"/>
    </row>
    <row r="1767" spans="1:21" ht="18.75" hidden="1" customHeight="1">
      <c r="A1767" s="28"/>
      <c r="B1767" s="29"/>
      <c r="C1767" s="30"/>
      <c r="D1767" s="21"/>
      <c r="E1767" s="27"/>
      <c r="F1767" s="31">
        <f t="shared" si="848"/>
        <v>0</v>
      </c>
      <c r="G1767" s="27">
        <f t="shared" si="849"/>
        <v>0</v>
      </c>
      <c r="H1767" s="32">
        <f t="shared" si="852"/>
        <v>0</v>
      </c>
      <c r="I1767" s="33">
        <f t="shared" si="850"/>
        <v>0</v>
      </c>
      <c r="J1767" s="26"/>
      <c r="K1767" s="27">
        <f t="shared" si="851"/>
        <v>0</v>
      </c>
      <c r="L1767" s="27">
        <f t="shared" si="853"/>
        <v>0</v>
      </c>
      <c r="M1767" s="572"/>
      <c r="N1767" s="564"/>
      <c r="O1767" s="1"/>
      <c r="P1767" s="3"/>
      <c r="Q1767" s="1"/>
      <c r="R1767" s="1"/>
      <c r="S1767" s="1"/>
      <c r="T1767" s="1"/>
      <c r="U1767" s="4"/>
    </row>
    <row r="1768" spans="1:21" ht="18.75" hidden="1" customHeight="1">
      <c r="A1768" s="28"/>
      <c r="B1768" s="29"/>
      <c r="C1768" s="30"/>
      <c r="D1768" s="21"/>
      <c r="E1768" s="27"/>
      <c r="F1768" s="31">
        <f t="shared" si="848"/>
        <v>0</v>
      </c>
      <c r="G1768" s="27">
        <f t="shared" si="849"/>
        <v>0</v>
      </c>
      <c r="H1768" s="32">
        <f t="shared" si="852"/>
        <v>0</v>
      </c>
      <c r="I1768" s="33">
        <f t="shared" si="850"/>
        <v>0</v>
      </c>
      <c r="J1768" s="26"/>
      <c r="K1768" s="27">
        <f t="shared" si="851"/>
        <v>0</v>
      </c>
      <c r="L1768" s="27">
        <f t="shared" si="853"/>
        <v>0</v>
      </c>
      <c r="M1768" s="572"/>
      <c r="N1768" s="564"/>
      <c r="O1768" s="1"/>
      <c r="P1768" s="3"/>
      <c r="Q1768" s="1"/>
      <c r="R1768" s="1"/>
      <c r="S1768" s="1"/>
      <c r="T1768" s="1"/>
      <c r="U1768" s="4"/>
    </row>
    <row r="1769" spans="1:21" ht="18.75" hidden="1" customHeight="1">
      <c r="A1769" s="28"/>
      <c r="B1769" s="29"/>
      <c r="C1769" s="30"/>
      <c r="D1769" s="21"/>
      <c r="E1769" s="27"/>
      <c r="F1769" s="31">
        <f t="shared" si="848"/>
        <v>0</v>
      </c>
      <c r="G1769" s="27">
        <f t="shared" si="849"/>
        <v>0</v>
      </c>
      <c r="H1769" s="32">
        <f t="shared" si="852"/>
        <v>0</v>
      </c>
      <c r="I1769" s="33">
        <f t="shared" si="850"/>
        <v>0</v>
      </c>
      <c r="J1769" s="26"/>
      <c r="K1769" s="27">
        <f t="shared" si="851"/>
        <v>0</v>
      </c>
      <c r="L1769" s="27">
        <f t="shared" si="853"/>
        <v>0</v>
      </c>
      <c r="M1769" s="572"/>
      <c r="N1769" s="564"/>
      <c r="O1769" s="1"/>
      <c r="P1769" s="3"/>
      <c r="Q1769" s="1"/>
      <c r="R1769" s="1"/>
      <c r="S1769" s="1"/>
      <c r="T1769" s="1"/>
      <c r="U1769" s="4"/>
    </row>
    <row r="1770" spans="1:21" ht="18.75" hidden="1" customHeight="1">
      <c r="A1770" s="28"/>
      <c r="B1770" s="29"/>
      <c r="C1770" s="30"/>
      <c r="D1770" s="21"/>
      <c r="E1770" s="27"/>
      <c r="F1770" s="31">
        <f t="shared" si="848"/>
        <v>0</v>
      </c>
      <c r="G1770" s="27">
        <f t="shared" si="849"/>
        <v>0</v>
      </c>
      <c r="H1770" s="32">
        <f t="shared" si="852"/>
        <v>0</v>
      </c>
      <c r="I1770" s="33">
        <f t="shared" si="850"/>
        <v>0</v>
      </c>
      <c r="J1770" s="26"/>
      <c r="K1770" s="27">
        <f t="shared" si="851"/>
        <v>0</v>
      </c>
      <c r="L1770" s="27">
        <f t="shared" si="853"/>
        <v>0</v>
      </c>
      <c r="M1770" s="572"/>
      <c r="N1770" s="564"/>
      <c r="O1770" s="1"/>
      <c r="P1770" s="3"/>
      <c r="Q1770" s="1"/>
      <c r="R1770" s="1"/>
      <c r="S1770" s="1"/>
      <c r="T1770" s="1"/>
      <c r="U1770" s="4"/>
    </row>
    <row r="1771" spans="1:21" ht="18.75" hidden="1" customHeight="1">
      <c r="A1771" s="28"/>
      <c r="B1771" s="29"/>
      <c r="C1771" s="30"/>
      <c r="D1771" s="21"/>
      <c r="E1771" s="27"/>
      <c r="F1771" s="31">
        <f t="shared" si="848"/>
        <v>0</v>
      </c>
      <c r="G1771" s="27">
        <f t="shared" si="849"/>
        <v>0</v>
      </c>
      <c r="H1771" s="32">
        <f t="shared" si="852"/>
        <v>0</v>
      </c>
      <c r="I1771" s="33">
        <f t="shared" si="850"/>
        <v>0</v>
      </c>
      <c r="J1771" s="26"/>
      <c r="K1771" s="27">
        <f t="shared" si="851"/>
        <v>0</v>
      </c>
      <c r="L1771" s="27">
        <f t="shared" si="853"/>
        <v>0</v>
      </c>
      <c r="M1771" s="572"/>
      <c r="N1771" s="564"/>
      <c r="O1771" s="1"/>
      <c r="P1771" s="3"/>
      <c r="Q1771" s="1"/>
      <c r="R1771" s="1"/>
      <c r="S1771" s="1"/>
      <c r="T1771" s="1"/>
      <c r="U1771" s="4"/>
    </row>
    <row r="1772" spans="1:21" ht="18.75" hidden="1" customHeight="1">
      <c r="A1772" s="28"/>
      <c r="B1772" s="29"/>
      <c r="C1772" s="30"/>
      <c r="D1772" s="21"/>
      <c r="E1772" s="27"/>
      <c r="F1772" s="31">
        <f t="shared" si="848"/>
        <v>0</v>
      </c>
      <c r="G1772" s="27">
        <f t="shared" si="849"/>
        <v>0</v>
      </c>
      <c r="H1772" s="32">
        <f t="shared" si="852"/>
        <v>0</v>
      </c>
      <c r="I1772" s="33">
        <f t="shared" si="850"/>
        <v>0</v>
      </c>
      <c r="J1772" s="26"/>
      <c r="K1772" s="27">
        <f t="shared" si="851"/>
        <v>0</v>
      </c>
      <c r="L1772" s="27">
        <f t="shared" si="853"/>
        <v>0</v>
      </c>
      <c r="M1772" s="572"/>
      <c r="N1772" s="564"/>
      <c r="O1772" s="1"/>
      <c r="P1772" s="3"/>
      <c r="Q1772" s="1"/>
      <c r="R1772" s="1"/>
      <c r="S1772" s="1"/>
      <c r="T1772" s="1"/>
      <c r="U1772" s="4"/>
    </row>
    <row r="1773" spans="1:21" ht="18.75" hidden="1" customHeight="1">
      <c r="A1773" s="28"/>
      <c r="B1773" s="29"/>
      <c r="C1773" s="30"/>
      <c r="D1773" s="21"/>
      <c r="E1773" s="27"/>
      <c r="F1773" s="31">
        <f t="shared" si="848"/>
        <v>0</v>
      </c>
      <c r="G1773" s="27">
        <f t="shared" si="849"/>
        <v>0</v>
      </c>
      <c r="H1773" s="32">
        <f t="shared" si="852"/>
        <v>0</v>
      </c>
      <c r="I1773" s="33">
        <f t="shared" si="850"/>
        <v>0</v>
      </c>
      <c r="J1773" s="26"/>
      <c r="K1773" s="27">
        <f t="shared" si="851"/>
        <v>0</v>
      </c>
      <c r="L1773" s="27">
        <f t="shared" si="853"/>
        <v>0</v>
      </c>
      <c r="M1773" s="572"/>
      <c r="N1773" s="564"/>
      <c r="O1773" s="1"/>
      <c r="P1773" s="3"/>
      <c r="Q1773" s="1"/>
      <c r="R1773" s="1"/>
      <c r="S1773" s="1"/>
      <c r="T1773" s="1"/>
      <c r="U1773" s="4"/>
    </row>
    <row r="1774" spans="1:21" ht="18.75" hidden="1" customHeight="1">
      <c r="A1774" s="28"/>
      <c r="B1774" s="29"/>
      <c r="C1774" s="30"/>
      <c r="D1774" s="21"/>
      <c r="E1774" s="27"/>
      <c r="F1774" s="31">
        <f t="shared" si="848"/>
        <v>0</v>
      </c>
      <c r="G1774" s="27">
        <f t="shared" si="849"/>
        <v>0</v>
      </c>
      <c r="H1774" s="32">
        <f t="shared" si="852"/>
        <v>0</v>
      </c>
      <c r="I1774" s="33">
        <f t="shared" si="850"/>
        <v>0</v>
      </c>
      <c r="J1774" s="26"/>
      <c r="K1774" s="27">
        <f t="shared" si="851"/>
        <v>0</v>
      </c>
      <c r="L1774" s="27">
        <f t="shared" si="853"/>
        <v>0</v>
      </c>
      <c r="M1774" s="572"/>
      <c r="N1774" s="564"/>
      <c r="O1774" s="1"/>
      <c r="P1774" s="3"/>
      <c r="Q1774" s="1"/>
      <c r="R1774" s="1"/>
      <c r="S1774" s="1"/>
      <c r="T1774" s="1"/>
      <c r="U1774" s="4"/>
    </row>
    <row r="1775" spans="1:21" ht="18.75" hidden="1" customHeight="1">
      <c r="A1775" s="28"/>
      <c r="B1775" s="29"/>
      <c r="C1775" s="30"/>
      <c r="D1775" s="21"/>
      <c r="E1775" s="27"/>
      <c r="F1775" s="31"/>
      <c r="G1775" s="27">
        <f t="shared" si="849"/>
        <v>0</v>
      </c>
      <c r="H1775" s="32">
        <f>IF(D1775="no",0,F1775*H1763)</f>
        <v>0</v>
      </c>
      <c r="I1775" s="33">
        <f t="shared" si="850"/>
        <v>0</v>
      </c>
      <c r="J1775" s="26"/>
      <c r="K1775" s="27">
        <f t="shared" si="851"/>
        <v>0</v>
      </c>
      <c r="L1775" s="27">
        <f t="shared" si="853"/>
        <v>0</v>
      </c>
      <c r="M1775" s="584"/>
      <c r="N1775" s="564"/>
      <c r="O1775" s="1"/>
      <c r="P1775" s="3"/>
      <c r="Q1775" s="1"/>
      <c r="R1775" s="1"/>
      <c r="S1775" s="1"/>
      <c r="T1775" s="1"/>
      <c r="U1775" s="4"/>
    </row>
    <row r="1776" spans="1:21" ht="18.75" hidden="1" customHeight="1">
      <c r="A1776" s="28"/>
      <c r="B1776" s="29"/>
      <c r="C1776" s="30"/>
      <c r="D1776" s="21"/>
      <c r="E1776" s="27"/>
      <c r="F1776" s="31">
        <f t="shared" ref="F1776:F1777" si="854">IF(D1776="no",E1776,E1776/1.1)</f>
        <v>0</v>
      </c>
      <c r="G1776" s="27">
        <f t="shared" si="849"/>
        <v>0</v>
      </c>
      <c r="H1776" s="32">
        <f>IF(D1776="no",0,F1776*H1763)</f>
        <v>0</v>
      </c>
      <c r="I1776" s="33">
        <f t="shared" si="850"/>
        <v>0</v>
      </c>
      <c r="J1776" s="26"/>
      <c r="K1776" s="27">
        <f t="shared" si="851"/>
        <v>0</v>
      </c>
      <c r="L1776" s="27">
        <f t="shared" si="853"/>
        <v>0</v>
      </c>
      <c r="M1776" s="584"/>
      <c r="N1776" s="564"/>
      <c r="O1776" s="1"/>
      <c r="P1776" s="3"/>
      <c r="Q1776" s="1"/>
      <c r="R1776" s="1"/>
      <c r="S1776" s="1"/>
      <c r="T1776" s="1"/>
      <c r="U1776" s="4"/>
    </row>
    <row r="1777" spans="1:21" ht="18.75" hidden="1" customHeight="1">
      <c r="A1777" s="28"/>
      <c r="B1777" s="29"/>
      <c r="C1777" s="30"/>
      <c r="D1777" s="21"/>
      <c r="E1777" s="27"/>
      <c r="F1777" s="31">
        <f t="shared" si="854"/>
        <v>0</v>
      </c>
      <c r="G1777" s="27">
        <f t="shared" si="849"/>
        <v>0</v>
      </c>
      <c r="H1777" s="32">
        <f>IF(D1777="no",0,F1777*H1763)</f>
        <v>0</v>
      </c>
      <c r="I1777" s="33">
        <f t="shared" si="850"/>
        <v>0</v>
      </c>
      <c r="J1777" s="93"/>
      <c r="K1777" s="27">
        <f t="shared" si="851"/>
        <v>0</v>
      </c>
      <c r="L1777" s="27">
        <f t="shared" si="853"/>
        <v>0</v>
      </c>
      <c r="M1777" s="584"/>
      <c r="N1777" s="564"/>
      <c r="O1777" s="1"/>
      <c r="P1777" s="3"/>
      <c r="Q1777" s="1"/>
      <c r="R1777" s="1"/>
      <c r="S1777" s="1"/>
      <c r="T1777" s="1"/>
      <c r="U1777" s="4"/>
    </row>
    <row r="1778" spans="1:21" ht="18.75" hidden="1" customHeight="1">
      <c r="A1778" s="28"/>
      <c r="B1778" s="29"/>
      <c r="C1778" s="30"/>
      <c r="D1778" s="21"/>
      <c r="E1778" s="27"/>
      <c r="F1778" s="31">
        <v>0</v>
      </c>
      <c r="G1778" s="27">
        <v>0</v>
      </c>
      <c r="H1778" s="32">
        <f>(E1782+E1783+N1782)/0.967</f>
        <v>0</v>
      </c>
      <c r="I1778" s="33">
        <f t="shared" si="850"/>
        <v>0</v>
      </c>
      <c r="J1778" s="26"/>
      <c r="K1778" s="27">
        <f t="shared" si="851"/>
        <v>0</v>
      </c>
      <c r="L1778" s="27">
        <f t="shared" ref="L1778:L1780" si="855">IF(D1778="no",F1778*H1778-J1778,0)</f>
        <v>0</v>
      </c>
      <c r="M1778" s="572"/>
      <c r="N1778" s="564"/>
      <c r="O1778" s="1"/>
      <c r="P1778" s="3"/>
      <c r="Q1778" s="1"/>
      <c r="R1778" s="1"/>
      <c r="S1778" s="1"/>
      <c r="T1778" s="1"/>
      <c r="U1778" s="4"/>
    </row>
    <row r="1779" spans="1:21" ht="18.75" hidden="1" customHeight="1">
      <c r="A1779" s="28"/>
      <c r="B1779" s="29"/>
      <c r="C1779" s="30"/>
      <c r="D1779" s="38"/>
      <c r="E1779" s="27"/>
      <c r="F1779" s="31">
        <f t="shared" ref="F1779:F1780" si="856">IF(D1779="no",E1779,E1779/1.1)</f>
        <v>0</v>
      </c>
      <c r="G1779" s="27">
        <f t="shared" ref="G1779:G1780" si="857">IF(D1779="no",0,F1779*0.1)</f>
        <v>0</v>
      </c>
      <c r="H1779" s="37">
        <f>N1783/0.967</f>
        <v>0</v>
      </c>
      <c r="I1779" s="33">
        <f t="shared" si="850"/>
        <v>0</v>
      </c>
      <c r="J1779" s="26"/>
      <c r="K1779" s="27">
        <f t="shared" si="851"/>
        <v>0</v>
      </c>
      <c r="L1779" s="27">
        <f t="shared" si="855"/>
        <v>0</v>
      </c>
      <c r="M1779" s="572"/>
      <c r="N1779" s="564"/>
      <c r="O1779" s="1"/>
      <c r="P1779" s="3"/>
      <c r="Q1779" s="1"/>
      <c r="R1779" s="1"/>
      <c r="S1779" s="1"/>
      <c r="T1779" s="1"/>
      <c r="U1779" s="4"/>
    </row>
    <row r="1780" spans="1:21" ht="18.75" hidden="1" customHeight="1">
      <c r="A1780" s="28"/>
      <c r="B1780" s="29"/>
      <c r="C1780" s="30"/>
      <c r="D1780" s="38"/>
      <c r="E1780" s="27"/>
      <c r="F1780" s="31">
        <f t="shared" si="856"/>
        <v>0</v>
      </c>
      <c r="G1780" s="27">
        <f t="shared" si="857"/>
        <v>0</v>
      </c>
      <c r="H1780" s="32">
        <f>L1783/0.967</f>
        <v>0</v>
      </c>
      <c r="I1780" s="33">
        <f t="shared" si="850"/>
        <v>0</v>
      </c>
      <c r="J1780" s="26"/>
      <c r="K1780" s="27">
        <f t="shared" si="851"/>
        <v>0</v>
      </c>
      <c r="L1780" s="27">
        <f t="shared" si="855"/>
        <v>0</v>
      </c>
      <c r="M1780" s="572"/>
      <c r="N1780" s="564"/>
      <c r="O1780" s="1"/>
      <c r="P1780" s="3"/>
      <c r="Q1780" s="1"/>
      <c r="R1780" s="1"/>
      <c r="S1780" s="1"/>
      <c r="T1780" s="1"/>
      <c r="U1780" s="4"/>
    </row>
    <row r="1781" spans="1:21" ht="18.75" hidden="1" customHeight="1">
      <c r="A1781" s="575" t="s">
        <v>42</v>
      </c>
      <c r="B1781" s="576"/>
      <c r="C1781" s="576"/>
      <c r="D1781" s="577"/>
      <c r="E1781" s="42">
        <f t="shared" ref="E1781:G1781" si="858">SUM(E1765:E1780)</f>
        <v>0</v>
      </c>
      <c r="F1781" s="17">
        <f t="shared" si="858"/>
        <v>0</v>
      </c>
      <c r="G1781" s="42">
        <f t="shared" si="858"/>
        <v>0</v>
      </c>
      <c r="H1781" s="43">
        <f>SUM(H1765:H1778,H1779:H1780)</f>
        <v>0</v>
      </c>
      <c r="I1781" s="42">
        <f t="shared" ref="I1781:L1781" si="859">SUM(I1765:I1780)</f>
        <v>0</v>
      </c>
      <c r="J1781" s="43">
        <f t="shared" si="859"/>
        <v>0</v>
      </c>
      <c r="K1781" s="42">
        <f t="shared" si="859"/>
        <v>0</v>
      </c>
      <c r="L1781" s="42">
        <f t="shared" si="859"/>
        <v>0</v>
      </c>
      <c r="M1781" s="44"/>
      <c r="N1781" s="45"/>
      <c r="O1781" s="1"/>
      <c r="P1781" s="1"/>
      <c r="Q1781" s="1"/>
      <c r="R1781" s="1"/>
      <c r="S1781" s="1"/>
      <c r="T1781" s="1"/>
      <c r="U1781" s="4"/>
    </row>
    <row r="1782" spans="1:21" ht="18.75" hidden="1" customHeight="1">
      <c r="A1782" s="46" t="s">
        <v>37</v>
      </c>
      <c r="B1782" s="47" t="s">
        <v>132</v>
      </c>
      <c r="C1782" s="48">
        <f>D1763</f>
        <v>0</v>
      </c>
      <c r="D1782" s="47" t="s">
        <v>44</v>
      </c>
      <c r="E1782" s="49"/>
      <c r="F1782" s="84"/>
      <c r="G1782" s="85"/>
      <c r="H1782" s="49"/>
      <c r="I1782" s="53" t="s">
        <v>46</v>
      </c>
      <c r="J1782" s="54"/>
      <c r="K1782" s="50"/>
      <c r="L1782" s="55"/>
      <c r="M1782" s="63"/>
      <c r="N1782" s="64"/>
      <c r="O1782" s="1"/>
      <c r="P1782" s="3"/>
      <c r="Q1782" s="1"/>
      <c r="R1782" s="1"/>
      <c r="S1782" s="1"/>
      <c r="T1782" s="1"/>
      <c r="U1782" s="4"/>
    </row>
    <row r="1783" spans="1:21" ht="18.75" hidden="1" customHeight="1" thickBot="1">
      <c r="A1783" s="56" t="s">
        <v>48</v>
      </c>
      <c r="B1783" s="57" t="s">
        <v>133</v>
      </c>
      <c r="C1783" s="58">
        <f>ROUND(F1781/10000,0)</f>
        <v>0</v>
      </c>
      <c r="D1783" s="57" t="s">
        <v>50</v>
      </c>
      <c r="E1783" s="52"/>
      <c r="F1783" s="86"/>
      <c r="G1783" s="87"/>
      <c r="H1783" s="52"/>
      <c r="I1783" s="59"/>
      <c r="J1783" s="61"/>
      <c r="K1783" s="59"/>
      <c r="L1783" s="62"/>
      <c r="M1783" s="63"/>
      <c r="N1783" s="64"/>
      <c r="O1783" s="1"/>
      <c r="P1783" s="1"/>
      <c r="Q1783" s="1"/>
      <c r="R1783" s="1"/>
      <c r="S1783" s="1"/>
      <c r="T1783" s="1"/>
      <c r="U1783" s="4"/>
    </row>
    <row r="1784" spans="1:21" ht="18.75" hidden="1" customHeight="1" thickBot="1">
      <c r="A1784" s="566" t="s">
        <v>52</v>
      </c>
      <c r="B1784" s="567"/>
      <c r="C1784" s="567"/>
      <c r="D1784" s="568"/>
      <c r="E1784" s="65"/>
      <c r="F1784" s="569" t="s">
        <v>53</v>
      </c>
      <c r="G1784" s="568"/>
      <c r="H1784" s="66">
        <f>H1781-J1782</f>
        <v>0</v>
      </c>
      <c r="I1784" s="67">
        <f>H1784*3.3%</f>
        <v>0</v>
      </c>
      <c r="J1784" s="68">
        <f>SUM(J1781)</f>
        <v>0</v>
      </c>
      <c r="K1784" s="69">
        <f>H1784-I1784-J1784</f>
        <v>0</v>
      </c>
      <c r="L1784" s="70">
        <f>L1781+SUM(H1782:H1783)+J1783</f>
        <v>0</v>
      </c>
      <c r="M1784" s="570">
        <f>K1784+L1784</f>
        <v>0</v>
      </c>
      <c r="N1784" s="571"/>
      <c r="O1784" s="1"/>
      <c r="P1784" s="1"/>
      <c r="Q1784" s="1"/>
      <c r="R1784" s="1"/>
      <c r="S1784" s="1"/>
      <c r="T1784" s="1"/>
      <c r="U1784" s="4"/>
    </row>
    <row r="1785" spans="1:21" ht="18.75" hidden="1" customHeight="1">
      <c r="A1785" s="158"/>
      <c r="B1785" s="158"/>
      <c r="C1785" s="158"/>
      <c r="D1785" s="158"/>
      <c r="E1785" s="97"/>
      <c r="F1785" s="97"/>
      <c r="G1785" s="97"/>
      <c r="H1785" s="93"/>
      <c r="I1785" s="97"/>
      <c r="J1785" s="97"/>
      <c r="K1785" s="159"/>
      <c r="L1785" s="159"/>
      <c r="M1785" s="160"/>
      <c r="N1785" s="160"/>
      <c r="O1785" s="1"/>
      <c r="P1785" s="1"/>
      <c r="Q1785" s="1"/>
      <c r="R1785" s="1"/>
      <c r="S1785" s="1"/>
      <c r="T1785" s="1"/>
      <c r="U1785" s="4"/>
    </row>
    <row r="1786" spans="1:21" ht="18.75" hidden="1" customHeight="1">
      <c r="A1786" s="6"/>
      <c r="B1786" s="7" t="str">
        <f>$B$34</f>
        <v>1월</v>
      </c>
      <c r="C1786" s="8" t="s">
        <v>1</v>
      </c>
      <c r="D1786" s="9">
        <f>COUNTIF($C1788:$C1797,"계약")+(COUNTIF($C1788:$C1797,"계약2")*2)</f>
        <v>0</v>
      </c>
      <c r="E1786" s="3">
        <f>COUNTIF(C1788:C1797,"낙찰수수료")</f>
        <v>0</v>
      </c>
      <c r="F1786" s="3"/>
      <c r="G1786" s="1" t="s">
        <v>169</v>
      </c>
      <c r="H1786" s="123">
        <v>0.4</v>
      </c>
      <c r="I1786" s="12">
        <v>3.3000000000000002E-2</v>
      </c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4"/>
    </row>
    <row r="1787" spans="1:21" ht="18.75" hidden="1" customHeight="1">
      <c r="A1787" s="13" t="s">
        <v>3</v>
      </c>
      <c r="B1787" s="14" t="s">
        <v>4</v>
      </c>
      <c r="C1787" s="14" t="s">
        <v>5</v>
      </c>
      <c r="D1787" s="101" t="s">
        <v>6</v>
      </c>
      <c r="E1787" s="16" t="s">
        <v>7</v>
      </c>
      <c r="F1787" s="17" t="s">
        <v>8</v>
      </c>
      <c r="G1787" s="14" t="s">
        <v>9</v>
      </c>
      <c r="H1787" s="15" t="s">
        <v>10</v>
      </c>
      <c r="I1787" s="14" t="s">
        <v>11</v>
      </c>
      <c r="J1787" s="15" t="s">
        <v>12</v>
      </c>
      <c r="K1787" s="14" t="s">
        <v>13</v>
      </c>
      <c r="L1787" s="14" t="s">
        <v>14</v>
      </c>
      <c r="M1787" s="579" t="s">
        <v>15</v>
      </c>
      <c r="N1787" s="577"/>
      <c r="O1787" s="1"/>
      <c r="P1787" s="1"/>
      <c r="Q1787" s="1"/>
      <c r="R1787" s="1"/>
      <c r="S1787" s="1"/>
      <c r="T1787" s="1"/>
      <c r="U1787" s="4"/>
    </row>
    <row r="1788" spans="1:21" ht="18.75" hidden="1" customHeight="1">
      <c r="A1788" s="28"/>
      <c r="B1788" s="29"/>
      <c r="C1788" s="30"/>
      <c r="D1788" s="21"/>
      <c r="E1788" s="27"/>
      <c r="F1788" s="31">
        <f t="shared" ref="F1788:F1797" si="860">IF(D1788="no",E1788,E1788/1.1)</f>
        <v>0</v>
      </c>
      <c r="G1788" s="27">
        <f t="shared" ref="G1788:G1797" si="861">IF(D1788="no",0,F1788*0.1)</f>
        <v>0</v>
      </c>
      <c r="H1788" s="32">
        <f>IF(D1788="no",0,F1788*H1786)</f>
        <v>0</v>
      </c>
      <c r="I1788" s="33">
        <f t="shared" ref="I1788:I1797" si="862">IF(D1788="no",0,H1788*3.3%)</f>
        <v>0</v>
      </c>
      <c r="J1788" s="26"/>
      <c r="K1788" s="27">
        <f t="shared" ref="K1788:K1797" si="863">IF(D1788="no",0,H1788-I1788-J1788)</f>
        <v>0</v>
      </c>
      <c r="L1788" s="27">
        <f>IF(D1788="no",F1788*H1786-J1788,0)</f>
        <v>0</v>
      </c>
      <c r="M1788" s="572"/>
      <c r="N1788" s="564"/>
      <c r="O1788" s="1"/>
      <c r="P1788" s="1"/>
      <c r="Q1788" s="1"/>
      <c r="R1788" s="1"/>
      <c r="S1788" s="1"/>
      <c r="T1788" s="1"/>
      <c r="U1788" s="4"/>
    </row>
    <row r="1789" spans="1:21" ht="18.75" hidden="1" customHeight="1">
      <c r="A1789" s="39"/>
      <c r="B1789" s="127"/>
      <c r="C1789" s="30"/>
      <c r="D1789" s="95"/>
      <c r="E1789" s="102"/>
      <c r="F1789" s="31">
        <f t="shared" si="860"/>
        <v>0</v>
      </c>
      <c r="G1789" s="27">
        <f t="shared" si="861"/>
        <v>0</v>
      </c>
      <c r="H1789" s="32">
        <f>IF(D1789="no",0,F1789*H1786)</f>
        <v>0</v>
      </c>
      <c r="I1789" s="33">
        <f t="shared" si="862"/>
        <v>0</v>
      </c>
      <c r="J1789" s="26"/>
      <c r="K1789" s="27">
        <f t="shared" si="863"/>
        <v>0</v>
      </c>
      <c r="L1789" s="27">
        <f>IF(D1789="no",F1789*H1786-J1789,0)</f>
        <v>0</v>
      </c>
      <c r="M1789" s="563"/>
      <c r="N1789" s="564"/>
      <c r="O1789" s="1"/>
      <c r="P1789" s="1"/>
      <c r="Q1789" s="1"/>
      <c r="R1789" s="1"/>
      <c r="S1789" s="1"/>
      <c r="T1789" s="1"/>
      <c r="U1789" s="4"/>
    </row>
    <row r="1790" spans="1:21" ht="18.75" hidden="1" customHeight="1">
      <c r="A1790" s="39"/>
      <c r="B1790" s="29"/>
      <c r="C1790" s="30"/>
      <c r="D1790" s="38"/>
      <c r="E1790" s="27"/>
      <c r="F1790" s="31">
        <f t="shared" si="860"/>
        <v>0</v>
      </c>
      <c r="G1790" s="27">
        <f t="shared" si="861"/>
        <v>0</v>
      </c>
      <c r="H1790" s="32">
        <f>IF(D1790="no",0,F1790*H1786)</f>
        <v>0</v>
      </c>
      <c r="I1790" s="33">
        <f t="shared" si="862"/>
        <v>0</v>
      </c>
      <c r="J1790" s="26"/>
      <c r="K1790" s="27">
        <f t="shared" si="863"/>
        <v>0</v>
      </c>
      <c r="L1790" s="27">
        <f>IF(D1790="no",F1790*H1786-J1790,0)</f>
        <v>0</v>
      </c>
      <c r="M1790" s="572"/>
      <c r="N1790" s="564"/>
      <c r="O1790" s="1"/>
      <c r="P1790" s="1"/>
      <c r="Q1790" s="1"/>
      <c r="R1790" s="1"/>
      <c r="S1790" s="1"/>
      <c r="T1790" s="1"/>
      <c r="U1790" s="4"/>
    </row>
    <row r="1791" spans="1:21" ht="20.25" hidden="1" customHeight="1">
      <c r="A1791" s="28"/>
      <c r="B1791" s="29"/>
      <c r="C1791" s="30"/>
      <c r="D1791" s="38"/>
      <c r="E1791" s="27"/>
      <c r="F1791" s="31">
        <f t="shared" si="860"/>
        <v>0</v>
      </c>
      <c r="G1791" s="27">
        <f t="shared" si="861"/>
        <v>0</v>
      </c>
      <c r="H1791" s="32">
        <f>IF(D1791="no",0,F1791*H1786)</f>
        <v>0</v>
      </c>
      <c r="I1791" s="33">
        <f t="shared" si="862"/>
        <v>0</v>
      </c>
      <c r="J1791" s="26"/>
      <c r="K1791" s="27">
        <f t="shared" si="863"/>
        <v>0</v>
      </c>
      <c r="L1791" s="27">
        <f t="shared" ref="L1791:L1792" si="864">IF(D1791="no",F1791*H1786-J1791,0)</f>
        <v>0</v>
      </c>
      <c r="M1791" s="563"/>
      <c r="N1791" s="564"/>
      <c r="O1791" s="1"/>
      <c r="P1791" s="1"/>
      <c r="Q1791" s="1"/>
      <c r="R1791" s="1"/>
      <c r="S1791" s="1"/>
      <c r="T1791" s="1"/>
      <c r="U1791" s="4"/>
    </row>
    <row r="1792" spans="1:21" ht="20.25" hidden="1" customHeight="1">
      <c r="A1792" s="28"/>
      <c r="B1792" s="29"/>
      <c r="C1792" s="30"/>
      <c r="D1792" s="38"/>
      <c r="E1792" s="27"/>
      <c r="F1792" s="31">
        <f t="shared" si="860"/>
        <v>0</v>
      </c>
      <c r="G1792" s="27">
        <f t="shared" si="861"/>
        <v>0</v>
      </c>
      <c r="H1792" s="32">
        <f>IF(D1792="no",0,F1792*H1786)</f>
        <v>0</v>
      </c>
      <c r="I1792" s="33">
        <f t="shared" si="862"/>
        <v>0</v>
      </c>
      <c r="J1792" s="26"/>
      <c r="K1792" s="27">
        <f t="shared" si="863"/>
        <v>0</v>
      </c>
      <c r="L1792" s="27">
        <f t="shared" si="864"/>
        <v>0</v>
      </c>
      <c r="M1792" s="572"/>
      <c r="N1792" s="564"/>
      <c r="O1792" s="1"/>
      <c r="P1792" s="1"/>
      <c r="Q1792" s="1"/>
      <c r="R1792" s="1"/>
      <c r="S1792" s="1"/>
      <c r="T1792" s="1"/>
      <c r="U1792" s="4"/>
    </row>
    <row r="1793" spans="1:21" ht="20.25" hidden="1" customHeight="1">
      <c r="A1793" s="28"/>
      <c r="B1793" s="29"/>
      <c r="C1793" s="30"/>
      <c r="D1793" s="38"/>
      <c r="E1793" s="27"/>
      <c r="F1793" s="31">
        <f t="shared" si="860"/>
        <v>0</v>
      </c>
      <c r="G1793" s="27">
        <f t="shared" si="861"/>
        <v>0</v>
      </c>
      <c r="H1793" s="32">
        <f>IF(D1793="no",0,F1793*H1786)</f>
        <v>0</v>
      </c>
      <c r="I1793" s="33">
        <f t="shared" si="862"/>
        <v>0</v>
      </c>
      <c r="J1793" s="26"/>
      <c r="K1793" s="27">
        <f t="shared" si="863"/>
        <v>0</v>
      </c>
      <c r="L1793" s="27">
        <f>IF(D1793="no",F1793*H1786-J1793,0)</f>
        <v>0</v>
      </c>
      <c r="M1793" s="563"/>
      <c r="N1793" s="564"/>
      <c r="O1793" s="1"/>
      <c r="P1793" s="1"/>
      <c r="Q1793" s="1"/>
      <c r="R1793" s="1"/>
      <c r="S1793" s="1"/>
      <c r="T1793" s="1"/>
      <c r="U1793" s="4"/>
    </row>
    <row r="1794" spans="1:21" ht="20.25" hidden="1" customHeight="1">
      <c r="A1794" s="28"/>
      <c r="B1794" s="29"/>
      <c r="C1794" s="30"/>
      <c r="D1794" s="38"/>
      <c r="E1794" s="27"/>
      <c r="F1794" s="31">
        <f t="shared" si="860"/>
        <v>0</v>
      </c>
      <c r="G1794" s="27">
        <f t="shared" si="861"/>
        <v>0</v>
      </c>
      <c r="H1794" s="32">
        <f>IF(D1794="no",0,F1794*H1786)</f>
        <v>0</v>
      </c>
      <c r="I1794" s="33">
        <f t="shared" si="862"/>
        <v>0</v>
      </c>
      <c r="J1794" s="26"/>
      <c r="K1794" s="27">
        <f t="shared" si="863"/>
        <v>0</v>
      </c>
      <c r="L1794" s="27">
        <f>IF(D1794="no",F1794*H1786-J1794,0)</f>
        <v>0</v>
      </c>
      <c r="M1794" s="572"/>
      <c r="N1794" s="564"/>
      <c r="O1794" s="1"/>
      <c r="P1794" s="1"/>
      <c r="Q1794" s="1"/>
      <c r="R1794" s="1"/>
      <c r="S1794" s="1"/>
      <c r="T1794" s="1"/>
      <c r="U1794" s="4"/>
    </row>
    <row r="1795" spans="1:21" ht="20.25" hidden="1" customHeight="1">
      <c r="A1795" s="28"/>
      <c r="B1795" s="29"/>
      <c r="C1795" s="30"/>
      <c r="D1795" s="38"/>
      <c r="E1795" s="27"/>
      <c r="F1795" s="31">
        <f t="shared" si="860"/>
        <v>0</v>
      </c>
      <c r="G1795" s="27">
        <f t="shared" si="861"/>
        <v>0</v>
      </c>
      <c r="H1795" s="32">
        <f>IF(D1795="no",0,F1795*H1786)</f>
        <v>0</v>
      </c>
      <c r="I1795" s="33">
        <f t="shared" si="862"/>
        <v>0</v>
      </c>
      <c r="J1795" s="26"/>
      <c r="K1795" s="27">
        <f t="shared" si="863"/>
        <v>0</v>
      </c>
      <c r="L1795" s="27">
        <f>IF(D1795="no",F1795*H1786-J1795,0)</f>
        <v>0</v>
      </c>
      <c r="M1795" s="563"/>
      <c r="N1795" s="564"/>
      <c r="O1795" s="1"/>
      <c r="P1795" s="1"/>
      <c r="Q1795" s="1"/>
      <c r="R1795" s="1"/>
      <c r="S1795" s="1"/>
      <c r="T1795" s="1"/>
      <c r="U1795" s="4"/>
    </row>
    <row r="1796" spans="1:21" ht="20.25" hidden="1" customHeight="1">
      <c r="A1796" s="28"/>
      <c r="B1796" s="29"/>
      <c r="C1796" s="30"/>
      <c r="D1796" s="21"/>
      <c r="E1796" s="27"/>
      <c r="F1796" s="31">
        <f t="shared" si="860"/>
        <v>0</v>
      </c>
      <c r="G1796" s="27">
        <f t="shared" si="861"/>
        <v>0</v>
      </c>
      <c r="H1796" s="37">
        <f>(E1799+E1800+N1799)/0.967</f>
        <v>0</v>
      </c>
      <c r="I1796" s="33">
        <f t="shared" si="862"/>
        <v>0</v>
      </c>
      <c r="J1796" s="26"/>
      <c r="K1796" s="27">
        <f t="shared" si="863"/>
        <v>0</v>
      </c>
      <c r="L1796" s="27"/>
      <c r="M1796" s="572"/>
      <c r="N1796" s="564"/>
      <c r="O1796" s="1"/>
      <c r="P1796" s="1"/>
      <c r="Q1796" s="1"/>
      <c r="R1796" s="1"/>
      <c r="S1796" s="1"/>
      <c r="T1796" s="1"/>
      <c r="U1796" s="4"/>
    </row>
    <row r="1797" spans="1:21" ht="36" hidden="1" customHeight="1">
      <c r="A1797" s="28"/>
      <c r="B1797" s="29"/>
      <c r="C1797" s="30"/>
      <c r="D1797" s="38"/>
      <c r="E1797" s="27"/>
      <c r="F1797" s="31">
        <f t="shared" si="860"/>
        <v>0</v>
      </c>
      <c r="G1797" s="27">
        <f t="shared" si="861"/>
        <v>0</v>
      </c>
      <c r="H1797" s="37">
        <f>L1800/0.967</f>
        <v>0</v>
      </c>
      <c r="I1797" s="33">
        <f t="shared" si="862"/>
        <v>0</v>
      </c>
      <c r="J1797" s="26"/>
      <c r="K1797" s="27">
        <f t="shared" si="863"/>
        <v>0</v>
      </c>
      <c r="L1797" s="27">
        <f>IF(D1797="no",F1797*H1786-J1797,0)</f>
        <v>0</v>
      </c>
      <c r="M1797" s="563"/>
      <c r="N1797" s="564"/>
      <c r="O1797" s="1"/>
      <c r="P1797" s="1"/>
      <c r="Q1797" s="1"/>
      <c r="R1797" s="1"/>
      <c r="S1797" s="1"/>
      <c r="T1797" s="1"/>
      <c r="U1797" s="4"/>
    </row>
    <row r="1798" spans="1:21" ht="20.25" hidden="1" customHeight="1">
      <c r="A1798" s="575" t="s">
        <v>42</v>
      </c>
      <c r="B1798" s="576"/>
      <c r="C1798" s="576"/>
      <c r="D1798" s="577"/>
      <c r="E1798" s="42">
        <f t="shared" ref="E1798:L1798" si="865">SUM(E1788:E1797)</f>
        <v>0</v>
      </c>
      <c r="F1798" s="17">
        <f t="shared" si="865"/>
        <v>0</v>
      </c>
      <c r="G1798" s="42">
        <f t="shared" si="865"/>
        <v>0</v>
      </c>
      <c r="H1798" s="43">
        <f t="shared" si="865"/>
        <v>0</v>
      </c>
      <c r="I1798" s="42">
        <f t="shared" si="865"/>
        <v>0</v>
      </c>
      <c r="J1798" s="43">
        <f t="shared" si="865"/>
        <v>0</v>
      </c>
      <c r="K1798" s="42">
        <f t="shared" si="865"/>
        <v>0</v>
      </c>
      <c r="L1798" s="42">
        <f t="shared" si="865"/>
        <v>0</v>
      </c>
      <c r="M1798" s="44"/>
      <c r="N1798" s="45"/>
      <c r="O1798" s="1"/>
      <c r="P1798" s="1"/>
      <c r="Q1798" s="1"/>
      <c r="R1798" s="1"/>
      <c r="S1798" s="1"/>
      <c r="T1798" s="1"/>
      <c r="U1798" s="4"/>
    </row>
    <row r="1799" spans="1:21" ht="20.25" hidden="1" customHeight="1">
      <c r="A1799" s="46" t="s">
        <v>37</v>
      </c>
      <c r="B1799" s="47" t="s">
        <v>132</v>
      </c>
      <c r="C1799" s="48">
        <f>D1786</f>
        <v>0</v>
      </c>
      <c r="D1799" s="47" t="s">
        <v>44</v>
      </c>
      <c r="E1799" s="49"/>
      <c r="F1799" s="84"/>
      <c r="G1799" s="85"/>
      <c r="H1799" s="49"/>
      <c r="I1799" s="53" t="s">
        <v>46</v>
      </c>
      <c r="J1799" s="54"/>
      <c r="K1799" s="50"/>
      <c r="L1799" s="55"/>
      <c r="M1799" s="63"/>
      <c r="N1799" s="64"/>
      <c r="O1799" s="1"/>
      <c r="P1799" s="1"/>
      <c r="Q1799" s="1"/>
      <c r="R1799" s="1"/>
      <c r="S1799" s="1"/>
      <c r="T1799" s="1"/>
      <c r="U1799" s="4"/>
    </row>
    <row r="1800" spans="1:21" ht="20.25" hidden="1" customHeight="1" thickBot="1">
      <c r="A1800" s="56" t="s">
        <v>48</v>
      </c>
      <c r="B1800" s="57" t="s">
        <v>133</v>
      </c>
      <c r="C1800" s="58">
        <f>ROUND(F1798/10000,0)</f>
        <v>0</v>
      </c>
      <c r="D1800" s="57" t="s">
        <v>50</v>
      </c>
      <c r="E1800" s="52">
        <f>IF(C1800&gt;=8000,5200000,IF(C1800&gt;=5000,2700000,IF(C1800&gt;=200,200000,0)))</f>
        <v>0</v>
      </c>
      <c r="F1800" s="86"/>
      <c r="G1800" s="87"/>
      <c r="H1800" s="52"/>
      <c r="I1800" s="59"/>
      <c r="J1800" s="61"/>
      <c r="K1800" s="59" t="s">
        <v>39</v>
      </c>
      <c r="L1800" s="62">
        <f>IF(C1800&gt;=1000,500000,0)</f>
        <v>0</v>
      </c>
      <c r="M1800" s="63"/>
      <c r="N1800" s="64"/>
      <c r="O1800" s="1"/>
      <c r="P1800" s="1"/>
      <c r="Q1800" s="1"/>
      <c r="R1800" s="1"/>
      <c r="S1800" s="1"/>
      <c r="T1800" s="1"/>
      <c r="U1800" s="4"/>
    </row>
    <row r="1801" spans="1:21" ht="20.25" hidden="1" customHeight="1" thickBot="1">
      <c r="A1801" s="566" t="s">
        <v>52</v>
      </c>
      <c r="B1801" s="567"/>
      <c r="C1801" s="567"/>
      <c r="D1801" s="568"/>
      <c r="E1801" s="65"/>
      <c r="F1801" s="569" t="s">
        <v>53</v>
      </c>
      <c r="G1801" s="568"/>
      <c r="H1801" s="66">
        <f>H1798-J1799</f>
        <v>0</v>
      </c>
      <c r="I1801" s="67">
        <f>H1801*3.3%</f>
        <v>0</v>
      </c>
      <c r="J1801" s="68">
        <f>SUM(J1798)</f>
        <v>0</v>
      </c>
      <c r="K1801" s="69">
        <f>H1801-I1801</f>
        <v>0</v>
      </c>
      <c r="L1801" s="70">
        <f>L1798+SUM(H1799:H1800)+J1800</f>
        <v>0</v>
      </c>
      <c r="M1801" s="570">
        <f>K1801+L1801</f>
        <v>0</v>
      </c>
      <c r="N1801" s="571"/>
      <c r="O1801" s="1"/>
      <c r="P1801" s="1"/>
      <c r="Q1801" s="1"/>
      <c r="R1801" s="1"/>
      <c r="S1801" s="1"/>
      <c r="T1801" s="1"/>
      <c r="U1801" s="4"/>
    </row>
    <row r="1802" spans="1:21" ht="20.25" hidden="1" customHeight="1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4"/>
    </row>
    <row r="1803" spans="1:21" ht="20.25" hidden="1" customHeight="1">
      <c r="A1803" s="6"/>
      <c r="B1803" s="206" t="str">
        <f>$B$34</f>
        <v>1월</v>
      </c>
      <c r="C1803" s="3"/>
      <c r="D1803" s="3"/>
      <c r="E1803" s="1"/>
      <c r="F1803" s="1"/>
      <c r="G1803" s="1" t="s">
        <v>170</v>
      </c>
      <c r="H1803" s="1"/>
      <c r="I1803" s="1"/>
      <c r="J1803" s="1"/>
      <c r="K1803" s="1"/>
      <c r="L1803" s="1"/>
      <c r="M1803" s="1"/>
      <c r="N1803" s="3"/>
      <c r="O1803" s="1"/>
      <c r="P1803" s="1"/>
      <c r="Q1803" s="1"/>
      <c r="R1803" s="1"/>
      <c r="S1803" s="1"/>
      <c r="T1803" s="1"/>
      <c r="U1803" s="4"/>
    </row>
    <row r="1804" spans="1:21" ht="20.25" hidden="1" customHeight="1">
      <c r="A1804" s="13" t="s">
        <v>3</v>
      </c>
      <c r="B1804" s="14" t="s">
        <v>4</v>
      </c>
      <c r="C1804" s="14" t="s">
        <v>5</v>
      </c>
      <c r="D1804" s="15" t="s">
        <v>6</v>
      </c>
      <c r="E1804" s="16" t="s">
        <v>7</v>
      </c>
      <c r="F1804" s="17" t="s">
        <v>8</v>
      </c>
      <c r="G1804" s="14" t="s">
        <v>9</v>
      </c>
      <c r="H1804" s="15" t="s">
        <v>10</v>
      </c>
      <c r="I1804" s="14" t="s">
        <v>11</v>
      </c>
      <c r="J1804" s="15" t="s">
        <v>12</v>
      </c>
      <c r="K1804" s="14" t="s">
        <v>13</v>
      </c>
      <c r="L1804" s="14" t="s">
        <v>14</v>
      </c>
      <c r="M1804" s="579" t="s">
        <v>15</v>
      </c>
      <c r="N1804" s="577"/>
      <c r="O1804" s="1"/>
      <c r="P1804" s="1"/>
      <c r="Q1804" s="1"/>
      <c r="R1804" s="1"/>
      <c r="S1804" s="1"/>
      <c r="T1804" s="1"/>
      <c r="U1804" s="4"/>
    </row>
    <row r="1805" spans="1:21" ht="20.25" hidden="1" customHeight="1">
      <c r="A1805" s="28"/>
      <c r="B1805" s="29"/>
      <c r="C1805" s="30"/>
      <c r="D1805" s="21"/>
      <c r="E1805" s="27"/>
      <c r="F1805" s="31"/>
      <c r="G1805" s="27"/>
      <c r="H1805" s="37"/>
      <c r="I1805" s="33">
        <f t="shared" ref="I1805:I1806" si="866">IF(D1805="no",0,H1805*3.3%)</f>
        <v>0</v>
      </c>
      <c r="J1805" s="26"/>
      <c r="K1805" s="27"/>
      <c r="L1805" s="27">
        <f>IF(D1805="no",F1805*F1803-J1805,0)</f>
        <v>0</v>
      </c>
      <c r="M1805" s="572"/>
      <c r="N1805" s="564"/>
      <c r="O1805" s="1"/>
      <c r="P1805" s="1"/>
      <c r="Q1805" s="1"/>
      <c r="R1805" s="1"/>
      <c r="S1805" s="1"/>
      <c r="T1805" s="1"/>
      <c r="U1805" s="4"/>
    </row>
    <row r="1806" spans="1:21" ht="20.25" hidden="1" customHeight="1">
      <c r="A1806" s="28"/>
      <c r="B1806" s="29"/>
      <c r="C1806" s="30"/>
      <c r="D1806" s="21"/>
      <c r="E1806" s="27"/>
      <c r="F1806" s="31">
        <f>IF(D1806="no",E1806,E1806/1.1)</f>
        <v>0</v>
      </c>
      <c r="G1806" s="27">
        <f>IF(D1806="no",0,F1806*0.1)</f>
        <v>0</v>
      </c>
      <c r="H1806" s="32"/>
      <c r="I1806" s="33">
        <f t="shared" si="866"/>
        <v>0</v>
      </c>
      <c r="J1806" s="26"/>
      <c r="K1806" s="27">
        <f>IF(D1806="no",0,H1806-I1806-J1806)</f>
        <v>0</v>
      </c>
      <c r="L1806" s="27">
        <f>IF(D1806="no",F1806*#REF!-J1806,0)</f>
        <v>0</v>
      </c>
      <c r="M1806" s="572"/>
      <c r="N1806" s="564"/>
      <c r="O1806" s="1"/>
      <c r="P1806" s="1"/>
      <c r="Q1806" s="1"/>
      <c r="R1806" s="1"/>
      <c r="S1806" s="1"/>
      <c r="T1806" s="1"/>
      <c r="U1806" s="4"/>
    </row>
    <row r="1807" spans="1:21" ht="20.25" hidden="1" customHeight="1">
      <c r="A1807" s="575" t="s">
        <v>42</v>
      </c>
      <c r="B1807" s="576"/>
      <c r="C1807" s="576"/>
      <c r="D1807" s="577"/>
      <c r="E1807" s="42">
        <f t="shared" ref="E1807:L1807" si="867">SUM(E1805:E1806)</f>
        <v>0</v>
      </c>
      <c r="F1807" s="17">
        <f t="shared" si="867"/>
        <v>0</v>
      </c>
      <c r="G1807" s="42">
        <f t="shared" si="867"/>
        <v>0</v>
      </c>
      <c r="H1807" s="43">
        <f t="shared" si="867"/>
        <v>0</v>
      </c>
      <c r="I1807" s="42">
        <f t="shared" si="867"/>
        <v>0</v>
      </c>
      <c r="J1807" s="43">
        <f t="shared" si="867"/>
        <v>0</v>
      </c>
      <c r="K1807" s="42">
        <f t="shared" si="867"/>
        <v>0</v>
      </c>
      <c r="L1807" s="42">
        <f t="shared" si="867"/>
        <v>0</v>
      </c>
      <c r="M1807" s="44"/>
      <c r="N1807" s="45"/>
      <c r="O1807" s="1"/>
      <c r="P1807" s="1"/>
      <c r="Q1807" s="1"/>
      <c r="R1807" s="1"/>
      <c r="S1807" s="1"/>
      <c r="T1807" s="1"/>
      <c r="U1807" s="4"/>
    </row>
    <row r="1808" spans="1:21" ht="18.75" hidden="1" customHeight="1">
      <c r="A1808" s="46" t="s">
        <v>37</v>
      </c>
      <c r="B1808" s="47" t="s">
        <v>132</v>
      </c>
      <c r="C1808" s="48"/>
      <c r="D1808" s="47" t="s">
        <v>44</v>
      </c>
      <c r="E1808" s="49"/>
      <c r="F1808" s="84"/>
      <c r="G1808" s="85"/>
      <c r="H1808" s="49"/>
      <c r="I1808" s="53" t="s">
        <v>46</v>
      </c>
      <c r="J1808" s="54"/>
      <c r="K1808" s="50"/>
      <c r="L1808" s="55"/>
      <c r="M1808" s="63"/>
      <c r="N1808" s="64"/>
      <c r="O1808" s="1"/>
      <c r="P1808" s="1"/>
      <c r="Q1808" s="1"/>
      <c r="R1808" s="1"/>
      <c r="S1808" s="1"/>
      <c r="T1808" s="1"/>
      <c r="U1808" s="4"/>
    </row>
    <row r="1809" spans="1:21" ht="18.75" hidden="1" customHeight="1" thickBot="1">
      <c r="A1809" s="56" t="s">
        <v>48</v>
      </c>
      <c r="B1809" s="57" t="s">
        <v>133</v>
      </c>
      <c r="C1809" s="58">
        <f>ROUND(F1807/10000,0)</f>
        <v>0</v>
      </c>
      <c r="D1809" s="57" t="s">
        <v>50</v>
      </c>
      <c r="E1809" s="52">
        <f>IF(C1809&gt;=200,200000,0)</f>
        <v>0</v>
      </c>
      <c r="F1809" s="86"/>
      <c r="G1809" s="87"/>
      <c r="H1809" s="52"/>
      <c r="I1809" s="59"/>
      <c r="J1809" s="61"/>
      <c r="K1809" s="59"/>
      <c r="L1809" s="62"/>
      <c r="M1809" s="63"/>
      <c r="N1809" s="64"/>
      <c r="O1809" s="1"/>
      <c r="P1809" s="1"/>
      <c r="Q1809" s="1"/>
      <c r="R1809" s="1"/>
      <c r="S1809" s="1"/>
      <c r="T1809" s="1"/>
      <c r="U1809" s="4"/>
    </row>
    <row r="1810" spans="1:21" ht="18.75" hidden="1" customHeight="1" thickBot="1">
      <c r="A1810" s="566" t="s">
        <v>52</v>
      </c>
      <c r="B1810" s="567"/>
      <c r="C1810" s="567"/>
      <c r="D1810" s="568"/>
      <c r="E1810" s="65"/>
      <c r="F1810" s="569" t="s">
        <v>53</v>
      </c>
      <c r="G1810" s="568"/>
      <c r="H1810" s="66">
        <f>H1807-J1808</f>
        <v>0</v>
      </c>
      <c r="I1810" s="67">
        <f>H1810*3.3%</f>
        <v>0</v>
      </c>
      <c r="J1810" s="68">
        <f>SUM(J1807)</f>
        <v>0</v>
      </c>
      <c r="K1810" s="69">
        <f>K1805+H1810-I1810-J1810</f>
        <v>0</v>
      </c>
      <c r="L1810" s="70"/>
      <c r="M1810" s="570">
        <f>K1810+L1810</f>
        <v>0</v>
      </c>
      <c r="N1810" s="571"/>
      <c r="O1810" s="1"/>
      <c r="P1810" s="1"/>
      <c r="Q1810" s="1"/>
      <c r="R1810" s="1"/>
      <c r="S1810" s="1"/>
      <c r="T1810" s="1"/>
      <c r="U1810" s="4"/>
    </row>
    <row r="1811" spans="1:21" ht="18.75" hidden="1" customHeight="1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207"/>
      <c r="L1811" s="1"/>
      <c r="M1811" s="1"/>
      <c r="N1811" s="1"/>
      <c r="O1811" s="1"/>
      <c r="P1811" s="1"/>
      <c r="Q1811" s="1"/>
      <c r="R1811" s="1"/>
      <c r="S1811" s="1"/>
      <c r="T1811" s="1"/>
      <c r="U1811" s="4"/>
    </row>
    <row r="1812" spans="1:21" ht="18.75" customHeight="1">
      <c r="A1812" s="208" t="s">
        <v>171</v>
      </c>
      <c r="B1812" s="209" t="str">
        <f>$B$34</f>
        <v>1월</v>
      </c>
      <c r="C1812" s="8" t="s">
        <v>1</v>
      </c>
      <c r="D1812" s="9">
        <f>COUNTIF($C1814:$C1822,"계약")+(COUNTIF($C1814:$C1822,"계약2")*2)</f>
        <v>0</v>
      </c>
      <c r="E1812" s="3">
        <f>COUNTIF(C1814:C1822,"낙찰수수료")</f>
        <v>0</v>
      </c>
      <c r="F1812" s="3"/>
      <c r="G1812" s="1"/>
      <c r="H1812" s="11">
        <v>0.5</v>
      </c>
      <c r="I1812" s="12">
        <v>3.3000000000000002E-2</v>
      </c>
      <c r="J1812" s="1"/>
      <c r="K1812" s="210"/>
      <c r="L1812" s="1"/>
      <c r="M1812" s="1"/>
      <c r="N1812" s="1"/>
      <c r="O1812" s="1"/>
      <c r="P1812" s="1"/>
      <c r="Q1812" s="1"/>
      <c r="R1812" s="1"/>
      <c r="S1812" s="1"/>
      <c r="T1812" s="1"/>
      <c r="U1812" s="4"/>
    </row>
    <row r="1813" spans="1:21" ht="18.75" customHeight="1">
      <c r="A1813" s="13" t="s">
        <v>3</v>
      </c>
      <c r="B1813" s="14" t="s">
        <v>4</v>
      </c>
      <c r="C1813" s="14" t="s">
        <v>5</v>
      </c>
      <c r="D1813" s="15" t="s">
        <v>6</v>
      </c>
      <c r="E1813" s="16" t="s">
        <v>7</v>
      </c>
      <c r="F1813" s="17" t="s">
        <v>8</v>
      </c>
      <c r="G1813" s="14" t="s">
        <v>9</v>
      </c>
      <c r="H1813" s="15" t="s">
        <v>10</v>
      </c>
      <c r="I1813" s="14" t="s">
        <v>11</v>
      </c>
      <c r="J1813" s="15" t="s">
        <v>12</v>
      </c>
      <c r="K1813" s="14" t="s">
        <v>13</v>
      </c>
      <c r="L1813" s="14"/>
      <c r="M1813" s="579" t="s">
        <v>15</v>
      </c>
      <c r="N1813" s="577"/>
      <c r="O1813" s="1"/>
      <c r="P1813" s="1"/>
      <c r="Q1813" s="1"/>
      <c r="R1813" s="1"/>
      <c r="S1813" s="1"/>
      <c r="T1813" s="1"/>
      <c r="U1813" s="4"/>
    </row>
    <row r="1814" spans="1:21" ht="18.75" customHeight="1">
      <c r="A1814" s="28"/>
      <c r="B1814" s="29" t="s">
        <v>172</v>
      </c>
      <c r="C1814" s="30" t="s">
        <v>173</v>
      </c>
      <c r="D1814" s="21"/>
      <c r="E1814" s="27"/>
      <c r="F1814" s="31"/>
      <c r="G1814" s="27">
        <f>IF(D1814="no",0,F1814*0.1)</f>
        <v>0</v>
      </c>
      <c r="H1814" s="32">
        <f>IF(D1814="no",0,F1814*H1812)</f>
        <v>0</v>
      </c>
      <c r="I1814" s="33">
        <f>IF(D1814="no",0,H1814*3.3%)</f>
        <v>0</v>
      </c>
      <c r="J1814" s="26"/>
      <c r="K1814" s="27">
        <v>3000000</v>
      </c>
      <c r="L1814" s="27"/>
      <c r="M1814" s="602"/>
      <c r="N1814" s="581"/>
      <c r="O1814" s="1"/>
      <c r="P1814" s="1"/>
      <c r="Q1814" s="1"/>
      <c r="R1814" s="1"/>
      <c r="S1814" s="1"/>
      <c r="T1814" s="1"/>
      <c r="U1814" s="4"/>
    </row>
    <row r="1815" spans="1:21" ht="18.75" customHeight="1">
      <c r="A1815" s="28"/>
      <c r="B1815" s="29" t="s">
        <v>174</v>
      </c>
      <c r="C1815" s="30" t="s">
        <v>173</v>
      </c>
      <c r="D1815" s="21"/>
      <c r="E1815" s="27"/>
      <c r="F1815" s="31"/>
      <c r="G1815" s="27"/>
      <c r="H1815" s="32"/>
      <c r="I1815" s="33"/>
      <c r="J1815" s="26"/>
      <c r="K1815" s="27">
        <v>2300000</v>
      </c>
      <c r="L1815" s="27"/>
      <c r="M1815" s="596" t="s">
        <v>175</v>
      </c>
      <c r="N1815" s="597"/>
      <c r="O1815" s="1"/>
      <c r="P1815" s="1"/>
      <c r="Q1815" s="1"/>
      <c r="R1815" s="1"/>
      <c r="S1815" s="1"/>
      <c r="T1815" s="1"/>
      <c r="U1815" s="4"/>
    </row>
    <row r="1816" spans="1:21" ht="18.75" customHeight="1">
      <c r="A1816" s="28"/>
      <c r="B1816" s="29" t="s">
        <v>176</v>
      </c>
      <c r="C1816" s="30" t="s">
        <v>173</v>
      </c>
      <c r="D1816" s="21"/>
      <c r="E1816" s="27"/>
      <c r="F1816" s="31"/>
      <c r="G1816" s="27"/>
      <c r="H1816" s="32"/>
      <c r="I1816" s="33"/>
      <c r="J1816" s="26"/>
      <c r="K1816" s="27">
        <v>2337290</v>
      </c>
      <c r="L1816" s="27"/>
      <c r="M1816" s="598" t="s">
        <v>177</v>
      </c>
      <c r="N1816" s="564"/>
      <c r="O1816" s="1"/>
      <c r="P1816" s="1"/>
      <c r="Q1816" s="1"/>
      <c r="R1816" s="1"/>
      <c r="S1816" s="1"/>
      <c r="T1816" s="1"/>
      <c r="U1816" s="4"/>
    </row>
    <row r="1817" spans="1:21" ht="18.75" customHeight="1">
      <c r="A1817" s="28"/>
      <c r="B1817" s="29" t="s">
        <v>178</v>
      </c>
      <c r="C1817" s="30" t="s">
        <v>173</v>
      </c>
      <c r="D1817" s="21"/>
      <c r="E1817" s="27"/>
      <c r="F1817" s="31"/>
      <c r="G1817" s="27"/>
      <c r="H1817" s="32"/>
      <c r="I1817" s="33"/>
      <c r="J1817" s="26"/>
      <c r="K1817" s="27">
        <v>2151460</v>
      </c>
      <c r="L1817" s="27"/>
      <c r="M1817" s="598" t="s">
        <v>566</v>
      </c>
      <c r="N1817" s="564"/>
      <c r="O1817" s="1"/>
      <c r="P1817" s="1"/>
      <c r="Q1817" s="1"/>
      <c r="R1817" s="1"/>
      <c r="S1817" s="1"/>
      <c r="T1817" s="1"/>
      <c r="U1817" s="4"/>
    </row>
    <row r="1818" spans="1:21" ht="18.75" customHeight="1">
      <c r="A1818" s="28"/>
      <c r="B1818" s="29" t="s">
        <v>179</v>
      </c>
      <c r="C1818" s="29" t="s">
        <v>173</v>
      </c>
      <c r="D1818" s="21"/>
      <c r="E1818" s="27"/>
      <c r="F1818" s="31"/>
      <c r="G1818" s="27"/>
      <c r="H1818" s="32"/>
      <c r="I1818" s="33">
        <f t="shared" ref="I1818:I1822" si="868">IF(D1818="no",0,H1818*3.3%)</f>
        <v>0</v>
      </c>
      <c r="J1818" s="26"/>
      <c r="K1818" s="27">
        <v>3050000</v>
      </c>
      <c r="L1818" s="27"/>
      <c r="M1818" s="598"/>
      <c r="N1818" s="564"/>
      <c r="O1818" s="1"/>
      <c r="P1818" s="1"/>
      <c r="Q1818" s="1"/>
      <c r="R1818" s="1"/>
      <c r="S1818" s="1"/>
      <c r="T1818" s="1"/>
      <c r="U1818" s="4"/>
    </row>
    <row r="1819" spans="1:21" ht="39.75" customHeight="1">
      <c r="A1819" s="28"/>
      <c r="B1819" s="29" t="s">
        <v>180</v>
      </c>
      <c r="C1819" s="29" t="s">
        <v>173</v>
      </c>
      <c r="D1819" s="21"/>
      <c r="E1819" s="27"/>
      <c r="F1819" s="31"/>
      <c r="G1819" s="27"/>
      <c r="H1819" s="32"/>
      <c r="I1819" s="33">
        <f t="shared" si="868"/>
        <v>0</v>
      </c>
      <c r="J1819" s="26"/>
      <c r="K1819" s="111">
        <v>2667390</v>
      </c>
      <c r="L1819" s="27"/>
      <c r="M1819" s="599" t="s">
        <v>815</v>
      </c>
      <c r="N1819" s="564"/>
      <c r="O1819" s="1"/>
      <c r="P1819" s="1"/>
      <c r="Q1819" s="1"/>
      <c r="R1819" s="1"/>
      <c r="S1819" s="1"/>
      <c r="T1819" s="1"/>
      <c r="U1819" s="4"/>
    </row>
    <row r="1820" spans="1:21" s="302" customFormat="1" ht="23.25" customHeight="1">
      <c r="A1820" s="28"/>
      <c r="B1820" s="29" t="s">
        <v>353</v>
      </c>
      <c r="C1820" s="29"/>
      <c r="D1820" s="304"/>
      <c r="E1820" s="27"/>
      <c r="F1820" s="31"/>
      <c r="G1820" s="27"/>
      <c r="H1820" s="32"/>
      <c r="I1820" s="33"/>
      <c r="J1820" s="26"/>
      <c r="K1820" s="27">
        <v>2600000</v>
      </c>
      <c r="L1820" s="27"/>
      <c r="M1820" s="598" t="s">
        <v>401</v>
      </c>
      <c r="N1820" s="564"/>
      <c r="O1820" s="1"/>
      <c r="P1820" s="1"/>
      <c r="Q1820" s="1"/>
      <c r="R1820" s="1"/>
      <c r="S1820" s="1"/>
      <c r="T1820" s="1"/>
      <c r="U1820" s="4"/>
    </row>
    <row r="1821" spans="1:21" s="465" customFormat="1" ht="23.25" customHeight="1">
      <c r="A1821" s="28"/>
      <c r="B1821" s="29" t="s">
        <v>504</v>
      </c>
      <c r="C1821" s="29" t="s">
        <v>365</v>
      </c>
      <c r="D1821" s="466"/>
      <c r="E1821" s="27"/>
      <c r="F1821" s="31"/>
      <c r="G1821" s="27"/>
      <c r="H1821" s="32"/>
      <c r="I1821" s="33"/>
      <c r="J1821" s="26"/>
      <c r="K1821" s="111">
        <v>1500000</v>
      </c>
      <c r="L1821" s="27"/>
      <c r="M1821" s="598" t="s">
        <v>418</v>
      </c>
      <c r="N1821" s="564"/>
      <c r="O1821" s="1"/>
      <c r="P1821" s="1"/>
      <c r="Q1821" s="1"/>
      <c r="R1821" s="1"/>
      <c r="S1821" s="1"/>
      <c r="T1821" s="1"/>
      <c r="U1821" s="4"/>
    </row>
    <row r="1822" spans="1:21" ht="18.75" customHeight="1">
      <c r="A1822" s="28"/>
      <c r="B1822" s="29" t="s">
        <v>181</v>
      </c>
      <c r="C1822" s="29" t="s">
        <v>173</v>
      </c>
      <c r="D1822" s="21"/>
      <c r="E1822" s="27"/>
      <c r="F1822" s="31">
        <f>IF(D1822="no",E1822,E1822/1.1)</f>
        <v>0</v>
      </c>
      <c r="G1822" s="27">
        <f>IF(D1822="no",0,F1822*0.1)</f>
        <v>0</v>
      </c>
      <c r="H1822" s="32">
        <v>0</v>
      </c>
      <c r="I1822" s="33">
        <f t="shared" si="868"/>
        <v>0</v>
      </c>
      <c r="J1822" s="26"/>
      <c r="K1822" s="27">
        <f>IF(D1822="no",0,H1822-I1822-J1822)</f>
        <v>0</v>
      </c>
      <c r="L1822" s="27"/>
      <c r="M1822" s="600" t="s">
        <v>511</v>
      </c>
      <c r="N1822" s="601"/>
      <c r="O1822" s="1"/>
      <c r="P1822" s="1"/>
      <c r="Q1822" s="1"/>
      <c r="R1822" s="1"/>
      <c r="S1822" s="1"/>
      <c r="T1822" s="1"/>
      <c r="U1822" s="4"/>
    </row>
    <row r="1823" spans="1:21" ht="18.75" customHeight="1">
      <c r="A1823" s="575" t="s">
        <v>42</v>
      </c>
      <c r="B1823" s="576"/>
      <c r="C1823" s="576"/>
      <c r="D1823" s="577"/>
      <c r="E1823" s="42">
        <f t="shared" ref="E1823:K1823" si="869">SUM(E1814:E1822)</f>
        <v>0</v>
      </c>
      <c r="F1823" s="17">
        <f t="shared" si="869"/>
        <v>0</v>
      </c>
      <c r="G1823" s="42">
        <f t="shared" si="869"/>
        <v>0</v>
      </c>
      <c r="H1823" s="43">
        <f t="shared" si="869"/>
        <v>0</v>
      </c>
      <c r="I1823" s="42">
        <f t="shared" si="869"/>
        <v>0</v>
      </c>
      <c r="J1823" s="43">
        <f t="shared" si="869"/>
        <v>0</v>
      </c>
      <c r="K1823" s="42">
        <f t="shared" si="869"/>
        <v>19606140</v>
      </c>
      <c r="L1823" s="42"/>
      <c r="M1823" s="595"/>
      <c r="N1823" s="581"/>
      <c r="O1823" s="1"/>
      <c r="P1823" s="1"/>
      <c r="Q1823" s="1"/>
      <c r="R1823" s="1"/>
      <c r="S1823" s="1"/>
      <c r="T1823" s="1"/>
      <c r="U1823" s="4"/>
    </row>
    <row r="1824" spans="1:21" ht="18.75" customHeight="1">
      <c r="A1824" s="46" t="s">
        <v>37</v>
      </c>
      <c r="B1824" s="47" t="s">
        <v>132</v>
      </c>
      <c r="C1824" s="48">
        <f>D1812</f>
        <v>0</v>
      </c>
      <c r="D1824" s="47" t="s">
        <v>44</v>
      </c>
      <c r="E1824" s="49">
        <f>IF(OR(C1824=3,C1824=4),50000,IF(OR(C1824=5,C1824=6),100000,IF(C1824&gt;6,200000,0)))</f>
        <v>0</v>
      </c>
      <c r="F1824" s="84"/>
      <c r="G1824" s="85"/>
      <c r="H1824" s="49"/>
      <c r="I1824" s="53" t="s">
        <v>46</v>
      </c>
      <c r="J1824" s="54"/>
      <c r="K1824" s="50"/>
      <c r="L1824" s="55"/>
      <c r="M1824" s="50"/>
      <c r="N1824" s="120"/>
      <c r="O1824" s="1"/>
      <c r="P1824" s="1"/>
      <c r="Q1824" s="1"/>
      <c r="R1824" s="1"/>
      <c r="S1824" s="1"/>
      <c r="T1824" s="1"/>
      <c r="U1824" s="4"/>
    </row>
    <row r="1825" spans="1:21" ht="18.75" customHeight="1" thickBot="1">
      <c r="A1825" s="56" t="s">
        <v>48</v>
      </c>
      <c r="B1825" s="57" t="s">
        <v>133</v>
      </c>
      <c r="C1825" s="58">
        <f>ROUND(F1823/10000,0)</f>
        <v>0</v>
      </c>
      <c r="D1825" s="57" t="s">
        <v>50</v>
      </c>
      <c r="E1825" s="52">
        <f>IF(AND(C1825&gt;=2000,C1825&lt;3000),50,IF(AND(C1825&gt;=3000,C1825&lt;5000),100,IF(AND(C1825&gt;=5000,C1825&lt;10000),250,IF(C1825&gt;=10000,600,0))))</f>
        <v>0</v>
      </c>
      <c r="F1825" s="86"/>
      <c r="G1825" s="87"/>
      <c r="H1825" s="52"/>
      <c r="I1825" s="59"/>
      <c r="J1825" s="61"/>
      <c r="K1825" s="59"/>
      <c r="L1825" s="62"/>
      <c r="M1825" s="59"/>
      <c r="N1825" s="138"/>
      <c r="O1825" s="1"/>
      <c r="P1825" s="1"/>
      <c r="Q1825" s="1"/>
      <c r="R1825" s="1"/>
      <c r="S1825" s="1"/>
      <c r="T1825" s="1"/>
      <c r="U1825" s="4"/>
    </row>
    <row r="1826" spans="1:21" ht="18.75" customHeight="1" thickBot="1">
      <c r="A1826" s="566" t="s">
        <v>52</v>
      </c>
      <c r="B1826" s="567"/>
      <c r="C1826" s="567"/>
      <c r="D1826" s="568"/>
      <c r="E1826" s="65"/>
      <c r="F1826" s="569" t="s">
        <v>53</v>
      </c>
      <c r="G1826" s="568"/>
      <c r="H1826" s="66">
        <f>H1823-J1824</f>
        <v>0</v>
      </c>
      <c r="I1826" s="67">
        <f>H1826*3.3%</f>
        <v>0</v>
      </c>
      <c r="J1826" s="68">
        <f>SUM(J1823:J1824)</f>
        <v>0</v>
      </c>
      <c r="K1826" s="69">
        <f>K1823</f>
        <v>19606140</v>
      </c>
      <c r="L1826" s="69">
        <f>L1823</f>
        <v>0</v>
      </c>
      <c r="M1826" s="570">
        <f>K1826+L1826</f>
        <v>19606140</v>
      </c>
      <c r="N1826" s="571"/>
      <c r="O1826" s="1"/>
      <c r="P1826" s="1"/>
      <c r="Q1826" s="1"/>
      <c r="R1826" s="1"/>
      <c r="S1826" s="1"/>
      <c r="T1826" s="1"/>
      <c r="U1826" s="4"/>
    </row>
    <row r="1827" spans="1:21" ht="18.75" customHeight="1">
      <c r="A1827" s="21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3">
        <f>M32+M60+M80+M110+M138+M165+M184+M215+M238+M262+M304+M339+M371+M401+M420+M286+M443+M480+M516+M543+M584+M635+M673+M700+M729+M908+M766+M780+M830+M883+M934+M990+M1033+M1067+M1161+M1204+M1249+M1295+M1416+M1439+M1463+M1559+M1583+M1602+M1621+M1826+M1505+M1481+M1529+M1272+M1643+M1664</f>
        <v>165610648.63727275</v>
      </c>
      <c r="S1827" s="1"/>
      <c r="T1827" s="1"/>
      <c r="U1827" s="4"/>
    </row>
    <row r="1828" spans="1:21" ht="18.75" customHeight="1">
      <c r="A1828" s="212" t="str">
        <f>$B$34</f>
        <v>1월</v>
      </c>
      <c r="B1828" s="213" t="str">
        <f>" 계약: "&amp;(D2+D34+D82+D403+D140+D341+D62+D306+D373+D167+D186+D217+D240+D288+D264+D422+D445+D482+D558+D609+D858+D910+D965+D732+D648+D703+D112+D768+D782+D807+D518+D794+D675+D1037+D1132+D1185+D1009+D886+D1229+D1251+D1394+D1418+D1441+D1585+D1623+D1532+D1561+D1604+D1645+D1465+D1274+D1666)</f>
        <v xml:space="preserve"> 계약: 119</v>
      </c>
      <c r="C1828" s="213" t="str">
        <f>" 낙찰: "&amp;(E2+E34+E82+E403+E140+E341+E62+E306+E373+E167+E186+E217+E240+E288+E264+E422+E648++E675+E703+E445+E482+E558+E609+E858+E732+E637+E112+E768+E782+E807+E518+E794+E910+E965+E993+E1009+E1037+E1132+E1185+E886+E1229+E1251+E1274+E1394+E1418+E1441+E1585+E1465+E1532+E1561+E1604+E1645+E1623+E1666)</f>
        <v xml:space="preserve"> 낙찰: 42</v>
      </c>
      <c r="D1828" s="214"/>
      <c r="E1828" s="215">
        <f t="shared" ref="E1828:J1828" si="870">E56+E107+E135+E162+E212+E235+E259+E283+E301+E336+E368+E398+E417+E440+E477+E513+E540+E581+E632+E670+E697+E726+E763+E827+E880+E1030+E1062++E1158+E1201+E1246+E1292+E1413+E1436+E1460+E1478+E1554+E1580+E1618+E1640+E1661</f>
        <v>308131671</v>
      </c>
      <c r="F1828" s="215">
        <f t="shared" si="870"/>
        <v>280119700.90909088</v>
      </c>
      <c r="G1828" s="215">
        <f t="shared" si="870"/>
        <v>28011970.09090909</v>
      </c>
      <c r="H1828" s="215">
        <f t="shared" si="870"/>
        <v>152947934.50079909</v>
      </c>
      <c r="I1828" s="215">
        <f t="shared" si="870"/>
        <v>5030781.83852637</v>
      </c>
      <c r="J1828" s="215">
        <f t="shared" si="870"/>
        <v>5135000</v>
      </c>
      <c r="K1828" s="215">
        <f>K32+K60+K80+K110+K138+K165+K215+K238+K262+K286+K304+K339+K371+K401+K420+K443+K480+K516+K543+K584+K635+K673+K700+K729+K766+K830+K883+K1033+K1067+K1161+K1204+K1249+K1272+K1295+K1416+K1439+K1463+K1481+K1559+K1583+K1621+K1643+K1664+K1826</f>
        <v>165610648.63727275</v>
      </c>
      <c r="L1828" s="215">
        <f>L304+L32+L60+L80+L110+L138+L165+L215+L238+L262+L339+L371+L401+L420+L443+L286+L480+L516+L584+L635+L883+L766+L673+L729+L543+L780+L805+L830+L700+L1033+L1067+L1161+L1204+L908+L1227+L1249+L1272+L1295+L1416+L1439+L1643+L1559+L1583+L1602+L1621+L1826+L1463+L184+L990+L934+L1505+L1481+L1529+L1664</f>
        <v>2000000</v>
      </c>
      <c r="M1828" s="594">
        <f>K1828+L1828</f>
        <v>167610648.63727275</v>
      </c>
      <c r="N1828" s="577"/>
      <c r="O1828" s="1"/>
      <c r="P1828" s="1"/>
      <c r="Q1828" s="1"/>
      <c r="R1828" s="1"/>
      <c r="S1828" s="1"/>
      <c r="T1828" s="1"/>
      <c r="U1828" s="4"/>
    </row>
    <row r="1829" spans="1:21" ht="18.75" customHeight="1">
      <c r="A1829" s="216" t="s">
        <v>182</v>
      </c>
      <c r="B1829" s="217" t="s">
        <v>183</v>
      </c>
      <c r="C1829" s="218">
        <f>J1824+J1619+J1600+J1581+J1557+J1641+J1479+J1437+J1414+J1270+J1247+J1225+J906+J1202+J1159+J1063+J1031+J698+J828+J803+J778+J541+J671+J764+J881+J633+J582+J514+J478+J441+J260+J236+J337+J213+J399+J369+J163+J418+J136+J108+J78+J57+J30+J182+J302+J284+J727+J932+J988+J1461+J1683</f>
        <v>2264575</v>
      </c>
      <c r="D1829" s="214"/>
      <c r="E1829" s="215" t="s">
        <v>184</v>
      </c>
      <c r="F1829" s="219" t="s">
        <v>185</v>
      </c>
      <c r="G1829" s="215" t="s">
        <v>9</v>
      </c>
      <c r="H1829" s="220" t="s">
        <v>10</v>
      </c>
      <c r="I1829" s="215" t="s">
        <v>11</v>
      </c>
      <c r="J1829" s="215" t="s">
        <v>12</v>
      </c>
      <c r="K1829" s="221" t="s">
        <v>186</v>
      </c>
      <c r="L1829" s="222">
        <f>F1828-M1828</f>
        <v>112509052.27181813</v>
      </c>
      <c r="M1829" s="594" t="s">
        <v>187</v>
      </c>
      <c r="N1829" s="577"/>
      <c r="O1829" s="1"/>
      <c r="P1829" s="1"/>
      <c r="Q1829" s="1"/>
      <c r="R1829" s="1"/>
      <c r="S1829" s="1"/>
      <c r="T1829" s="1"/>
      <c r="U1829" s="4"/>
    </row>
    <row r="1830" spans="1:21" ht="18.75" customHeight="1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4"/>
    </row>
    <row r="1831" spans="1:21" ht="18.75" customHeight="1">
      <c r="A1831" s="1"/>
      <c r="B1831" s="1"/>
      <c r="C1831" s="1"/>
      <c r="D1831" s="1"/>
      <c r="E1831" s="3"/>
      <c r="F1831" s="1"/>
      <c r="G1831" s="1"/>
      <c r="H1831" s="1"/>
      <c r="I1831" s="1"/>
      <c r="J1831" s="1"/>
      <c r="K1831" s="1"/>
      <c r="L1831" s="1"/>
      <c r="M1831" s="3"/>
      <c r="N1831" s="1"/>
      <c r="O1831" s="1"/>
      <c r="P1831" s="1"/>
      <c r="Q1831" s="1"/>
      <c r="R1831" s="1"/>
      <c r="S1831" s="1"/>
      <c r="T1831" s="1"/>
      <c r="U1831" s="4"/>
    </row>
    <row r="1832" spans="1:21" ht="13.5" customHeight="1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4"/>
    </row>
    <row r="1833" spans="1:21" ht="13.5" customHeight="1">
      <c r="A1833" s="223"/>
      <c r="B1833" s="223"/>
      <c r="C1833" s="223"/>
      <c r="D1833" s="223"/>
      <c r="E1833" s="223"/>
      <c r="F1833" s="223"/>
      <c r="G1833" s="223"/>
      <c r="H1833" s="223"/>
      <c r="I1833" s="223"/>
      <c r="J1833" s="223"/>
      <c r="K1833" s="223"/>
      <c r="L1833" s="1"/>
      <c r="M1833" s="1"/>
      <c r="N1833" s="1"/>
      <c r="O1833" s="1"/>
      <c r="P1833" s="1"/>
      <c r="Q1833" s="1"/>
      <c r="R1833" s="1"/>
      <c r="S1833" s="1"/>
      <c r="T1833" s="1"/>
      <c r="U1833" s="4"/>
    </row>
    <row r="1834" spans="1:21" ht="13.5" customHeight="1">
      <c r="A1834" s="223"/>
      <c r="B1834" s="1"/>
      <c r="C1834" s="1"/>
      <c r="D1834" s="96"/>
      <c r="E1834" s="3"/>
      <c r="F1834" s="3"/>
      <c r="G1834" s="1"/>
      <c r="H1834" s="1"/>
      <c r="I1834" s="1"/>
      <c r="J1834" s="223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4"/>
    </row>
    <row r="1835" spans="1:21" ht="13.5" customHeight="1">
      <c r="A1835" s="223"/>
      <c r="B1835" s="1"/>
      <c r="C1835" s="1"/>
      <c r="D1835" s="96"/>
      <c r="E1835" s="3"/>
      <c r="F1835" s="3"/>
      <c r="G1835" s="1"/>
      <c r="H1835" s="1"/>
      <c r="I1835" s="1"/>
      <c r="J1835" s="223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4"/>
    </row>
    <row r="1836" spans="1:21" ht="13.5" customHeight="1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4"/>
    </row>
    <row r="1837" spans="1:21" ht="13.5" customHeight="1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3"/>
      <c r="Q1837" s="1"/>
      <c r="R1837" s="1"/>
      <c r="S1837" s="1"/>
      <c r="T1837" s="1"/>
      <c r="U1837" s="4"/>
    </row>
    <row r="1838" spans="1:21" ht="13.5" customHeight="1">
      <c r="A1838" s="224"/>
      <c r="B1838" s="1"/>
      <c r="C1838" s="1"/>
      <c r="D1838" s="96"/>
      <c r="E1838" s="3"/>
      <c r="F1838" s="3"/>
      <c r="G1838" s="1"/>
      <c r="H1838" s="1"/>
      <c r="I1838" s="224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4"/>
    </row>
    <row r="1839" spans="1:21" ht="13.5" customHeight="1">
      <c r="A1839" s="225"/>
      <c r="B1839" s="1"/>
      <c r="C1839" s="1"/>
      <c r="D1839" s="96"/>
      <c r="E1839" s="3"/>
      <c r="F1839" s="3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4"/>
    </row>
    <row r="1840" spans="1:21" ht="15" customHeight="1">
      <c r="A1840" s="1"/>
      <c r="B1840" s="1"/>
      <c r="C1840" s="1"/>
      <c r="D1840" s="96"/>
      <c r="E1840" s="3"/>
      <c r="F1840" s="3"/>
      <c r="G1840" s="1"/>
      <c r="H1840" s="1"/>
      <c r="I1840" s="1"/>
      <c r="J1840" s="1"/>
      <c r="K1840" s="1"/>
      <c r="L1840" s="1"/>
      <c r="M1840" s="1"/>
      <c r="N1840" s="1"/>
    </row>
    <row r="1841" spans="1:14" ht="15" customHeight="1">
      <c r="A1841" s="1"/>
      <c r="B1841" s="1"/>
      <c r="C1841" s="1"/>
      <c r="D1841" s="96"/>
      <c r="E1841" s="3"/>
      <c r="F1841" s="3"/>
      <c r="G1841" s="1"/>
      <c r="H1841" s="1"/>
      <c r="I1841" s="1"/>
      <c r="J1841" s="1"/>
      <c r="K1841" s="1"/>
      <c r="L1841" s="1"/>
      <c r="M1841" s="1"/>
      <c r="N1841" s="1"/>
    </row>
    <row r="1842" spans="1:14" ht="15" customHeight="1">
      <c r="A1842" s="1"/>
      <c r="B1842" s="1"/>
      <c r="C1842" s="1"/>
      <c r="D1842" s="96"/>
      <c r="E1842" s="3"/>
      <c r="F1842" s="3"/>
      <c r="G1842" s="1"/>
      <c r="H1842" s="1"/>
      <c r="I1842" s="1"/>
      <c r="J1842" s="1"/>
      <c r="K1842" s="1"/>
      <c r="L1842" s="1"/>
      <c r="M1842" s="1"/>
      <c r="N1842" s="1"/>
    </row>
    <row r="1843" spans="1:14" ht="15" customHeight="1">
      <c r="A1843" s="1"/>
      <c r="B1843" s="1"/>
      <c r="C1843" s="1"/>
      <c r="D1843" s="96"/>
      <c r="E1843" s="3"/>
      <c r="F1843" s="3"/>
      <c r="G1843" s="1"/>
      <c r="H1843" s="1"/>
      <c r="I1843" s="1"/>
      <c r="J1843" s="1"/>
      <c r="K1843" s="1"/>
      <c r="L1843" s="1"/>
      <c r="M1843" s="1"/>
      <c r="N1843" s="1"/>
    </row>
    <row r="1844" spans="1:14" ht="15" customHeight="1">
      <c r="A1844" s="1"/>
      <c r="B1844" s="1"/>
      <c r="C1844" s="1"/>
      <c r="D1844" s="96"/>
      <c r="E1844" s="3"/>
      <c r="F1844" s="3"/>
      <c r="G1844" s="1"/>
      <c r="H1844" s="1"/>
      <c r="I1844" s="1"/>
      <c r="J1844" s="1"/>
      <c r="K1844" s="1"/>
      <c r="L1844" s="1"/>
      <c r="M1844" s="1"/>
      <c r="N1844" s="1"/>
    </row>
    <row r="1845" spans="1:14" ht="15" customHeight="1">
      <c r="A1845" s="224"/>
      <c r="B1845" s="1"/>
      <c r="C1845" s="1"/>
      <c r="D1845" s="96"/>
      <c r="E1845" s="3"/>
      <c r="F1845" s="3"/>
      <c r="G1845" s="1"/>
      <c r="H1845" s="1"/>
      <c r="I1845" s="224"/>
      <c r="J1845" s="1"/>
      <c r="K1845" s="1"/>
      <c r="L1845" s="1"/>
      <c r="M1845" s="1"/>
      <c r="N1845" s="1"/>
    </row>
    <row r="1846" spans="1:14" ht="15" customHeight="1">
      <c r="A1846" s="225"/>
      <c r="B1846" s="1"/>
      <c r="C1846" s="1"/>
      <c r="D1846" s="96"/>
      <c r="E1846" s="225"/>
      <c r="F1846" s="1"/>
      <c r="G1846" s="1"/>
      <c r="H1846" s="1"/>
      <c r="I1846" s="1"/>
      <c r="J1846" s="1"/>
      <c r="K1846" s="1"/>
      <c r="L1846" s="1"/>
      <c r="M1846" s="1"/>
      <c r="N1846" s="1"/>
    </row>
    <row r="1847" spans="1:14" ht="15" customHeight="1">
      <c r="A1847" s="225"/>
      <c r="B1847" s="1"/>
      <c r="C1847" s="1"/>
      <c r="D1847" s="96"/>
      <c r="E1847" s="225"/>
      <c r="F1847" s="1"/>
      <c r="G1847" s="1"/>
      <c r="H1847" s="1"/>
      <c r="I1847" s="1"/>
      <c r="J1847" s="1"/>
      <c r="K1847" s="1"/>
      <c r="L1847" s="1"/>
      <c r="M1847" s="1"/>
      <c r="N1847" s="1"/>
    </row>
    <row r="1848" spans="1:14" ht="15" customHeight="1">
      <c r="A1848" s="1"/>
      <c r="B1848" s="1"/>
      <c r="C1848" s="1"/>
      <c r="D1848" s="96"/>
      <c r="E1848" s="96"/>
      <c r="F1848" s="1"/>
      <c r="G1848" s="1"/>
      <c r="H1848" s="1"/>
      <c r="I1848" s="1"/>
      <c r="J1848" s="1"/>
      <c r="K1848" s="1"/>
      <c r="L1848" s="1"/>
      <c r="M1848" s="1"/>
      <c r="N1848" s="1"/>
    </row>
    <row r="1849" spans="1:14" ht="15" customHeight="1">
      <c r="A1849" s="226"/>
      <c r="B1849" s="1"/>
      <c r="C1849" s="1"/>
      <c r="D1849" s="96"/>
      <c r="E1849" s="96"/>
      <c r="F1849" s="1"/>
      <c r="G1849" s="1"/>
      <c r="H1849" s="1"/>
      <c r="I1849" s="1"/>
      <c r="J1849" s="1"/>
      <c r="K1849" s="1"/>
      <c r="L1849" s="1"/>
      <c r="M1849" s="1"/>
      <c r="N1849" s="1"/>
    </row>
    <row r="1850" spans="1:14" ht="15" customHeight="1">
      <c r="A1850" s="224"/>
      <c r="B1850" s="1"/>
      <c r="C1850" s="1"/>
      <c r="D1850" s="96"/>
      <c r="E1850" s="225"/>
      <c r="F1850" s="1"/>
      <c r="G1850" s="1"/>
      <c r="H1850" s="1"/>
      <c r="I1850" s="224"/>
      <c r="J1850" s="1"/>
      <c r="K1850" s="1"/>
      <c r="L1850" s="1"/>
      <c r="M1850" s="1"/>
      <c r="N1850" s="1"/>
    </row>
    <row r="1851" spans="1:14" ht="15" customHeight="1">
      <c r="A1851" s="225"/>
      <c r="B1851" s="1"/>
      <c r="C1851" s="1"/>
      <c r="D1851" s="96"/>
      <c r="E1851" s="225"/>
      <c r="F1851" s="1"/>
      <c r="G1851" s="1"/>
      <c r="H1851" s="1"/>
      <c r="I1851" s="1"/>
      <c r="J1851" s="1"/>
      <c r="K1851" s="1"/>
      <c r="L1851" s="1"/>
      <c r="M1851" s="1"/>
      <c r="N1851" s="1"/>
    </row>
    <row r="1852" spans="1:14" ht="15" customHeight="1">
      <c r="A1852" s="225"/>
      <c r="B1852" s="1"/>
      <c r="C1852" s="1"/>
      <c r="D1852" s="96"/>
      <c r="E1852" s="225"/>
      <c r="F1852" s="1"/>
      <c r="G1852" s="1"/>
      <c r="H1852" s="1"/>
      <c r="I1852" s="1"/>
      <c r="J1852" s="1"/>
      <c r="K1852" s="1"/>
      <c r="L1852" s="1"/>
      <c r="M1852" s="1"/>
      <c r="N1852" s="1"/>
    </row>
    <row r="1853" spans="1:14" ht="15" customHeight="1">
      <c r="A1853" s="225"/>
      <c r="B1853" s="1"/>
      <c r="C1853" s="1"/>
      <c r="D1853" s="96"/>
      <c r="E1853" s="225"/>
      <c r="F1853" s="1"/>
      <c r="G1853" s="1"/>
      <c r="H1853" s="1"/>
      <c r="I1853" s="1"/>
      <c r="J1853" s="1"/>
      <c r="K1853" s="1"/>
      <c r="L1853" s="1"/>
      <c r="M1853" s="1"/>
      <c r="N1853" s="1"/>
    </row>
    <row r="1854" spans="1:14" ht="15" customHeight="1">
      <c r="A1854" s="227"/>
      <c r="B1854" s="1"/>
      <c r="C1854" s="1"/>
      <c r="D1854" s="96"/>
      <c r="E1854" s="225"/>
      <c r="F1854" s="1"/>
      <c r="G1854" s="1"/>
      <c r="H1854" s="1"/>
      <c r="I1854" s="1"/>
      <c r="J1854" s="1"/>
      <c r="K1854" s="1"/>
      <c r="L1854" s="1"/>
      <c r="M1854" s="1"/>
      <c r="N1854" s="1"/>
    </row>
    <row r="1855" spans="1:14" ht="15" customHeight="1">
      <c r="A1855" s="225"/>
      <c r="B1855" s="1"/>
      <c r="C1855" s="1"/>
      <c r="D1855" s="96"/>
      <c r="E1855" s="225"/>
      <c r="F1855" s="1"/>
      <c r="G1855" s="1"/>
      <c r="H1855" s="1"/>
      <c r="I1855" s="1"/>
      <c r="J1855" s="1"/>
      <c r="K1855" s="1"/>
      <c r="L1855" s="1"/>
      <c r="M1855" s="1"/>
      <c r="N1855" s="1"/>
    </row>
    <row r="1856" spans="1:14" ht="15" customHeight="1">
      <c r="A1856" s="225"/>
      <c r="B1856" s="1"/>
      <c r="C1856" s="1"/>
      <c r="D1856" s="96"/>
      <c r="E1856" s="225"/>
      <c r="F1856" s="1"/>
      <c r="G1856" s="1"/>
      <c r="H1856" s="1"/>
      <c r="I1856" s="1"/>
      <c r="J1856" s="1"/>
      <c r="K1856" s="1"/>
      <c r="L1856" s="1"/>
      <c r="M1856" s="1"/>
      <c r="N1856" s="1"/>
    </row>
    <row r="1857" spans="1:14" ht="15" customHeight="1">
      <c r="A1857" s="225"/>
      <c r="B1857" s="1"/>
      <c r="C1857" s="1"/>
      <c r="D1857" s="96"/>
      <c r="E1857" s="3"/>
      <c r="F1857" s="1"/>
      <c r="G1857" s="1"/>
      <c r="H1857" s="1"/>
      <c r="I1857" s="1"/>
      <c r="J1857" s="1"/>
      <c r="K1857" s="1"/>
      <c r="L1857" s="1"/>
      <c r="M1857" s="1"/>
      <c r="N1857" s="1"/>
    </row>
    <row r="1858" spans="1:14" ht="15" customHeight="1">
      <c r="A1858" s="1"/>
      <c r="B1858" s="228"/>
      <c r="C1858" s="1"/>
      <c r="D1858" s="96"/>
      <c r="E1858" s="3"/>
      <c r="F1858" s="1"/>
      <c r="G1858" s="1"/>
      <c r="H1858" s="1"/>
      <c r="I1858" s="1"/>
      <c r="J1858" s="1"/>
      <c r="K1858" s="1"/>
      <c r="L1858" s="1"/>
      <c r="M1858" s="1"/>
      <c r="N1858" s="1"/>
    </row>
    <row r="1859" spans="1:14" ht="15" customHeight="1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</row>
    <row r="1860" spans="1:14" ht="15" customHeight="1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</row>
    <row r="1861" spans="1:14" ht="15" customHeight="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</row>
  </sheetData>
  <mergeCells count="1604">
    <mergeCell ref="M737:N737"/>
    <mergeCell ref="M739:N739"/>
    <mergeCell ref="M669:N669"/>
    <mergeCell ref="M696:N696"/>
    <mergeCell ref="M725:N725"/>
    <mergeCell ref="M199:N199"/>
    <mergeCell ref="M159:N159"/>
    <mergeCell ref="M204:N204"/>
    <mergeCell ref="M198:N198"/>
    <mergeCell ref="F138:G138"/>
    <mergeCell ref="M138:N138"/>
    <mergeCell ref="M127:N127"/>
    <mergeCell ref="M128:N128"/>
    <mergeCell ref="M177:N177"/>
    <mergeCell ref="M178:N178"/>
    <mergeCell ref="M180:N180"/>
    <mergeCell ref="M150:N150"/>
    <mergeCell ref="M152:N152"/>
    <mergeCell ref="M161:N161"/>
    <mergeCell ref="M229:N229"/>
    <mergeCell ref="M682:N682"/>
    <mergeCell ref="M663:N663"/>
    <mergeCell ref="F673:G673"/>
    <mergeCell ref="M712:N712"/>
    <mergeCell ref="M713:N713"/>
    <mergeCell ref="M658:N658"/>
    <mergeCell ref="M659:N659"/>
    <mergeCell ref="M201:N201"/>
    <mergeCell ref="M202:N202"/>
    <mergeCell ref="F646:G646"/>
    <mergeCell ref="M279:N279"/>
    <mergeCell ref="M192:N192"/>
    <mergeCell ref="F262:G262"/>
    <mergeCell ref="A181:D181"/>
    <mergeCell ref="F1033:G1033"/>
    <mergeCell ref="M1033:N1033"/>
    <mergeCell ref="M1010:N1010"/>
    <mergeCell ref="M1011:N1011"/>
    <mergeCell ref="M1012:N1012"/>
    <mergeCell ref="M1013:N1013"/>
    <mergeCell ref="M1014:N1014"/>
    <mergeCell ref="M1015:N1015"/>
    <mergeCell ref="M1016:N1016"/>
    <mergeCell ref="M1017:N1017"/>
    <mergeCell ref="M1018:N1018"/>
    <mergeCell ref="M1019:N1019"/>
    <mergeCell ref="M1020:N1020"/>
    <mergeCell ref="M1021:N1021"/>
    <mergeCell ref="M1022:N1022"/>
    <mergeCell ref="M1023:N1023"/>
    <mergeCell ref="M1024:N1024"/>
    <mergeCell ref="M1025:N1025"/>
    <mergeCell ref="M1026:N1026"/>
    <mergeCell ref="M982:N982"/>
    <mergeCell ref="M328:N328"/>
    <mergeCell ref="M432:N432"/>
    <mergeCell ref="M433:N433"/>
    <mergeCell ref="M434:N434"/>
    <mergeCell ref="M435:N435"/>
    <mergeCell ref="M210:N210"/>
    <mergeCell ref="M232:N232"/>
    <mergeCell ref="M245:N245"/>
    <mergeCell ref="M246:N246"/>
    <mergeCell ref="A283:D283"/>
    <mergeCell ref="A162:D162"/>
    <mergeCell ref="A165:D165"/>
    <mergeCell ref="F165:G165"/>
    <mergeCell ref="M123:N123"/>
    <mergeCell ref="M124:N124"/>
    <mergeCell ref="M125:N125"/>
    <mergeCell ref="M165:N165"/>
    <mergeCell ref="M168:N168"/>
    <mergeCell ref="M169:N169"/>
    <mergeCell ref="M149:N149"/>
    <mergeCell ref="M116:N116"/>
    <mergeCell ref="M117:N117"/>
    <mergeCell ref="A135:D135"/>
    <mergeCell ref="A138:D138"/>
    <mergeCell ref="M158:N158"/>
    <mergeCell ref="M176:N176"/>
    <mergeCell ref="M129:N129"/>
    <mergeCell ref="M130:N130"/>
    <mergeCell ref="M131:N131"/>
    <mergeCell ref="M132:N132"/>
    <mergeCell ref="M141:N141"/>
    <mergeCell ref="M142:N142"/>
    <mergeCell ref="M148:N148"/>
    <mergeCell ref="M121:N121"/>
    <mergeCell ref="M122:N122"/>
    <mergeCell ref="M144:N144"/>
    <mergeCell ref="M145:N145"/>
    <mergeCell ref="M146:N146"/>
    <mergeCell ref="M147:N147"/>
    <mergeCell ref="M126:N126"/>
    <mergeCell ref="M85:N85"/>
    <mergeCell ref="M86:N86"/>
    <mergeCell ref="M87:N87"/>
    <mergeCell ref="M88:N88"/>
    <mergeCell ref="M73:N73"/>
    <mergeCell ref="M74:N74"/>
    <mergeCell ref="A107:D107"/>
    <mergeCell ref="M108:N108"/>
    <mergeCell ref="A110:D110"/>
    <mergeCell ref="F110:G110"/>
    <mergeCell ref="M40:N40"/>
    <mergeCell ref="M32:N32"/>
    <mergeCell ref="M47:N47"/>
    <mergeCell ref="M49:N49"/>
    <mergeCell ref="M53:N53"/>
    <mergeCell ref="M35:N35"/>
    <mergeCell ref="M44:N44"/>
    <mergeCell ref="M45:N45"/>
    <mergeCell ref="M46:N46"/>
    <mergeCell ref="M97:N97"/>
    <mergeCell ref="M63:N63"/>
    <mergeCell ref="M102:N102"/>
    <mergeCell ref="M103:N103"/>
    <mergeCell ref="M89:N89"/>
    <mergeCell ref="M75:N75"/>
    <mergeCell ref="M76:N76"/>
    <mergeCell ref="M96:N96"/>
    <mergeCell ref="M99:N99"/>
    <mergeCell ref="M94:N94"/>
    <mergeCell ref="M109:N109"/>
    <mergeCell ref="M90:N90"/>
    <mergeCell ref="M91:N91"/>
    <mergeCell ref="M115:N115"/>
    <mergeCell ref="M14:N14"/>
    <mergeCell ref="F80:G80"/>
    <mergeCell ref="M80:N80"/>
    <mergeCell ref="A56:D56"/>
    <mergeCell ref="M59:N59"/>
    <mergeCell ref="A60:D60"/>
    <mergeCell ref="F60:G60"/>
    <mergeCell ref="M60:N60"/>
    <mergeCell ref="M69:N69"/>
    <mergeCell ref="M70:N70"/>
    <mergeCell ref="M71:N71"/>
    <mergeCell ref="M72:N72"/>
    <mergeCell ref="M48:N48"/>
    <mergeCell ref="M50:N50"/>
    <mergeCell ref="M54:N54"/>
    <mergeCell ref="M55:N55"/>
    <mergeCell ref="M68:N68"/>
    <mergeCell ref="M51:N51"/>
    <mergeCell ref="M52:N52"/>
    <mergeCell ref="A29:D29"/>
    <mergeCell ref="A32:D32"/>
    <mergeCell ref="M30:N30"/>
    <mergeCell ref="F32:G32"/>
    <mergeCell ref="M64:N64"/>
    <mergeCell ref="M65:N65"/>
    <mergeCell ref="M66:N66"/>
    <mergeCell ref="M67:N67"/>
    <mergeCell ref="A80:D80"/>
    <mergeCell ref="M95:N95"/>
    <mergeCell ref="M83:N83"/>
    <mergeCell ref="M84:N84"/>
    <mergeCell ref="M3:N3"/>
    <mergeCell ref="M4:N4"/>
    <mergeCell ref="M5:N5"/>
    <mergeCell ref="M6:N6"/>
    <mergeCell ref="M7:N7"/>
    <mergeCell ref="M8:N8"/>
    <mergeCell ref="M27:N27"/>
    <mergeCell ref="M28:N28"/>
    <mergeCell ref="M15:N15"/>
    <mergeCell ref="M16:N16"/>
    <mergeCell ref="M17:N17"/>
    <mergeCell ref="M18:N18"/>
    <mergeCell ref="M19:N19"/>
    <mergeCell ref="M20:N20"/>
    <mergeCell ref="M41:N41"/>
    <mergeCell ref="M42:N42"/>
    <mergeCell ref="M43:N43"/>
    <mergeCell ref="M9:N9"/>
    <mergeCell ref="M10:N10"/>
    <mergeCell ref="M11:N11"/>
    <mergeCell ref="M12:N12"/>
    <mergeCell ref="M13:N13"/>
    <mergeCell ref="M21:N21"/>
    <mergeCell ref="M22:N22"/>
    <mergeCell ref="M23:N23"/>
    <mergeCell ref="M38:N38"/>
    <mergeCell ref="M39:N39"/>
    <mergeCell ref="M24:N24"/>
    <mergeCell ref="M25:N25"/>
    <mergeCell ref="M26:N26"/>
    <mergeCell ref="M36:N36"/>
    <mergeCell ref="M37:N37"/>
    <mergeCell ref="A286:D286"/>
    <mergeCell ref="F286:G286"/>
    <mergeCell ref="A212:D212"/>
    <mergeCell ref="F215:G215"/>
    <mergeCell ref="M215:N215"/>
    <mergeCell ref="M681:N681"/>
    <mergeCell ref="M209:N209"/>
    <mergeCell ref="M211:N211"/>
    <mergeCell ref="M143:N143"/>
    <mergeCell ref="M160:N160"/>
    <mergeCell ref="M156:N156"/>
    <mergeCell ref="M157:N157"/>
    <mergeCell ref="M134:N134"/>
    <mergeCell ref="M194:N194"/>
    <mergeCell ref="A802:D802"/>
    <mergeCell ref="A805:D805"/>
    <mergeCell ref="F792:G792"/>
    <mergeCell ref="A700:D700"/>
    <mergeCell ref="F700:G700"/>
    <mergeCell ref="M685:N685"/>
    <mergeCell ref="A729:D729"/>
    <mergeCell ref="F729:G729"/>
    <mergeCell ref="M660:N660"/>
    <mergeCell ref="M661:N661"/>
    <mergeCell ref="M662:N662"/>
    <mergeCell ref="M729:N729"/>
    <mergeCell ref="M714:N714"/>
    <mergeCell ref="M205:N205"/>
    <mergeCell ref="M206:N206"/>
    <mergeCell ref="A215:D215"/>
    <mergeCell ref="M200:N200"/>
    <mergeCell ref="A259:D259"/>
    <mergeCell ref="A262:D262"/>
    <mergeCell ref="M272:N272"/>
    <mergeCell ref="M119:N119"/>
    <mergeCell ref="M120:N120"/>
    <mergeCell ref="A77:D77"/>
    <mergeCell ref="M101:N101"/>
    <mergeCell ref="M231:N231"/>
    <mergeCell ref="M195:N195"/>
    <mergeCell ref="M196:N196"/>
    <mergeCell ref="M197:N197"/>
    <mergeCell ref="A184:D184"/>
    <mergeCell ref="F184:G184"/>
    <mergeCell ref="M184:N184"/>
    <mergeCell ref="M170:N170"/>
    <mergeCell ref="M171:N171"/>
    <mergeCell ref="M172:N172"/>
    <mergeCell ref="M173:N173"/>
    <mergeCell ref="M174:N174"/>
    <mergeCell ref="M175:N175"/>
    <mergeCell ref="M187:N187"/>
    <mergeCell ref="M188:N188"/>
    <mergeCell ref="M189:N189"/>
    <mergeCell ref="M104:N104"/>
    <mergeCell ref="M193:N193"/>
    <mergeCell ref="A235:D235"/>
    <mergeCell ref="A238:D238"/>
    <mergeCell ref="F238:G238"/>
    <mergeCell ref="M238:N238"/>
    <mergeCell ref="M241:N241"/>
    <mergeCell ref="M242:N242"/>
    <mergeCell ref="M255:N255"/>
    <mergeCell ref="M92:N92"/>
    <mergeCell ref="M93:N93"/>
    <mergeCell ref="M190:N190"/>
    <mergeCell ref="M191:N191"/>
    <mergeCell ref="M207:N207"/>
    <mergeCell ref="M208:N208"/>
    <mergeCell ref="M278:N278"/>
    <mergeCell ref="M280:N280"/>
    <mergeCell ref="M251:N251"/>
    <mergeCell ref="M248:N248"/>
    <mergeCell ref="M249:N249"/>
    <mergeCell ref="M250:N250"/>
    <mergeCell ref="M266:N266"/>
    <mergeCell ref="M218:N218"/>
    <mergeCell ref="M282:N282"/>
    <mergeCell ref="M254:N254"/>
    <mergeCell ref="M265:N265"/>
    <mergeCell ref="M118:N118"/>
    <mergeCell ref="M110:N110"/>
    <mergeCell ref="M105:N105"/>
    <mergeCell ref="M106:N106"/>
    <mergeCell ref="M100:N100"/>
    <mergeCell ref="M98:N98"/>
    <mergeCell ref="M113:N113"/>
    <mergeCell ref="M114:N114"/>
    <mergeCell ref="M257:N257"/>
    <mergeCell ref="M258:N258"/>
    <mergeCell ref="M219:N219"/>
    <mergeCell ref="M234:N234"/>
    <mergeCell ref="M233:N233"/>
    <mergeCell ref="M223:N223"/>
    <mergeCell ref="M226:N226"/>
    <mergeCell ref="M271:N271"/>
    <mergeCell ref="M274:N274"/>
    <mergeCell ref="M220:N220"/>
    <mergeCell ref="M221:N221"/>
    <mergeCell ref="M222:N222"/>
    <mergeCell ref="M224:N224"/>
    <mergeCell ref="M225:N225"/>
    <mergeCell ref="M267:N267"/>
    <mergeCell ref="M268:N268"/>
    <mergeCell ref="M269:N269"/>
    <mergeCell ref="M270:N270"/>
    <mergeCell ref="M276:N276"/>
    <mergeCell ref="M286:N286"/>
    <mergeCell ref="M256:N256"/>
    <mergeCell ref="M262:N262"/>
    <mergeCell ref="M277:N277"/>
    <mergeCell ref="M243:N243"/>
    <mergeCell ref="M227:N227"/>
    <mergeCell ref="M230:N230"/>
    <mergeCell ref="M228:N228"/>
    <mergeCell ref="M247:N247"/>
    <mergeCell ref="M253:N253"/>
    <mergeCell ref="M300:N300"/>
    <mergeCell ref="M289:N289"/>
    <mergeCell ref="M290:N290"/>
    <mergeCell ref="M291:N291"/>
    <mergeCell ref="M292:N292"/>
    <mergeCell ref="M293:N293"/>
    <mergeCell ref="M294:N294"/>
    <mergeCell ref="M315:N315"/>
    <mergeCell ref="M316:N316"/>
    <mergeCell ref="M317:N317"/>
    <mergeCell ref="M318:N318"/>
    <mergeCell ref="M319:N319"/>
    <mergeCell ref="M309:N309"/>
    <mergeCell ref="M310:N310"/>
    <mergeCell ref="M311:N311"/>
    <mergeCell ref="M312:N312"/>
    <mergeCell ref="M313:N313"/>
    <mergeCell ref="M314:N314"/>
    <mergeCell ref="M295:N295"/>
    <mergeCell ref="M296:N296"/>
    <mergeCell ref="M297:N297"/>
    <mergeCell ref="M298:N298"/>
    <mergeCell ref="M299:N299"/>
    <mergeCell ref="A301:D301"/>
    <mergeCell ref="A304:D304"/>
    <mergeCell ref="F304:G304"/>
    <mergeCell ref="M304:N304"/>
    <mergeCell ref="M307:N307"/>
    <mergeCell ref="M308:N308"/>
    <mergeCell ref="M327:N327"/>
    <mergeCell ref="M332:N332"/>
    <mergeCell ref="M333:N333"/>
    <mergeCell ref="M343:N343"/>
    <mergeCell ref="M344:N344"/>
    <mergeCell ref="M345:N345"/>
    <mergeCell ref="M335:N335"/>
    <mergeCell ref="M346:N346"/>
    <mergeCell ref="A336:D336"/>
    <mergeCell ref="A339:D339"/>
    <mergeCell ref="F339:G339"/>
    <mergeCell ref="M339:N339"/>
    <mergeCell ref="M342:N342"/>
    <mergeCell ref="M321:N321"/>
    <mergeCell ref="M326:N326"/>
    <mergeCell ref="M329:N329"/>
    <mergeCell ref="M330:N330"/>
    <mergeCell ref="M331:N331"/>
    <mergeCell ref="M320:N320"/>
    <mergeCell ref="M334:N334"/>
    <mergeCell ref="M347:N347"/>
    <mergeCell ref="M401:N401"/>
    <mergeCell ref="M388:N388"/>
    <mergeCell ref="M389:N389"/>
    <mergeCell ref="M390:N390"/>
    <mergeCell ref="M391:N391"/>
    <mergeCell ref="M392:N392"/>
    <mergeCell ref="M393:N393"/>
    <mergeCell ref="M382:N382"/>
    <mergeCell ref="M383:N383"/>
    <mergeCell ref="M384:N384"/>
    <mergeCell ref="M385:N385"/>
    <mergeCell ref="M386:N386"/>
    <mergeCell ref="M387:N387"/>
    <mergeCell ref="M364:N364"/>
    <mergeCell ref="M365:N365"/>
    <mergeCell ref="M367:N367"/>
    <mergeCell ref="M349:N349"/>
    <mergeCell ref="M350:N350"/>
    <mergeCell ref="M351:N351"/>
    <mergeCell ref="M352:N352"/>
    <mergeCell ref="M353:N353"/>
    <mergeCell ref="M354:N354"/>
    <mergeCell ref="M381:N381"/>
    <mergeCell ref="M348:N348"/>
    <mergeCell ref="M366:N366"/>
    <mergeCell ref="M396:N396"/>
    <mergeCell ref="M394:N394"/>
    <mergeCell ref="M399:N399"/>
    <mergeCell ref="M361:N361"/>
    <mergeCell ref="M362:N362"/>
    <mergeCell ref="M363:N363"/>
    <mergeCell ref="M464:N464"/>
    <mergeCell ref="M455:N455"/>
    <mergeCell ref="M456:N456"/>
    <mergeCell ref="M457:N457"/>
    <mergeCell ref="M410:N410"/>
    <mergeCell ref="M411:N411"/>
    <mergeCell ref="M412:N412"/>
    <mergeCell ref="M413:N413"/>
    <mergeCell ref="M414:N414"/>
    <mergeCell ref="M416:N416"/>
    <mergeCell ref="M446:N446"/>
    <mergeCell ref="M447:N447"/>
    <mergeCell ref="M448:N448"/>
    <mergeCell ref="M449:N449"/>
    <mergeCell ref="M450:N450"/>
    <mergeCell ref="M395:N395"/>
    <mergeCell ref="M397:N397"/>
    <mergeCell ref="M404:N404"/>
    <mergeCell ref="M452:N452"/>
    <mergeCell ref="M454:N454"/>
    <mergeCell ref="A368:D368"/>
    <mergeCell ref="A371:D371"/>
    <mergeCell ref="F371:G371"/>
    <mergeCell ref="M371:N371"/>
    <mergeCell ref="M374:N374"/>
    <mergeCell ref="M375:N375"/>
    <mergeCell ref="A398:D398"/>
    <mergeCell ref="A401:D401"/>
    <mergeCell ref="F401:G401"/>
    <mergeCell ref="M458:N458"/>
    <mergeCell ref="M459:N459"/>
    <mergeCell ref="M460:N460"/>
    <mergeCell ref="M461:N461"/>
    <mergeCell ref="M462:N462"/>
    <mergeCell ref="M463:N463"/>
    <mergeCell ref="M376:N376"/>
    <mergeCell ref="M377:N377"/>
    <mergeCell ref="M378:N378"/>
    <mergeCell ref="M379:N379"/>
    <mergeCell ref="M380:N380"/>
    <mergeCell ref="M476:N476"/>
    <mergeCell ref="M470:N470"/>
    <mergeCell ref="M494:N494"/>
    <mergeCell ref="M495:N495"/>
    <mergeCell ref="M496:N496"/>
    <mergeCell ref="M497:N497"/>
    <mergeCell ref="M485:N485"/>
    <mergeCell ref="M486:N486"/>
    <mergeCell ref="A440:D440"/>
    <mergeCell ref="A443:D443"/>
    <mergeCell ref="F443:G443"/>
    <mergeCell ref="M443:N443"/>
    <mergeCell ref="M405:N405"/>
    <mergeCell ref="M483:N483"/>
    <mergeCell ref="M484:N484"/>
    <mergeCell ref="A477:D477"/>
    <mergeCell ref="A480:D480"/>
    <mergeCell ref="F480:G480"/>
    <mergeCell ref="M480:N480"/>
    <mergeCell ref="M490:N490"/>
    <mergeCell ref="M474:N474"/>
    <mergeCell ref="M473:N473"/>
    <mergeCell ref="M465:N465"/>
    <mergeCell ref="M466:N466"/>
    <mergeCell ref="M467:N467"/>
    <mergeCell ref="M469:N469"/>
    <mergeCell ref="A417:D417"/>
    <mergeCell ref="A420:D420"/>
    <mergeCell ref="F420:G420"/>
    <mergeCell ref="M420:N420"/>
    <mergeCell ref="M453:N453"/>
    <mergeCell ref="M451:N451"/>
    <mergeCell ref="M505:N505"/>
    <mergeCell ref="M406:N406"/>
    <mergeCell ref="M407:N407"/>
    <mergeCell ref="M408:N408"/>
    <mergeCell ref="M409:N409"/>
    <mergeCell ref="M488:N488"/>
    <mergeCell ref="M489:N489"/>
    <mergeCell ref="M491:N491"/>
    <mergeCell ref="M492:N492"/>
    <mergeCell ref="M471:N471"/>
    <mergeCell ref="M472:N472"/>
    <mergeCell ref="M468:N468"/>
    <mergeCell ref="M526:N526"/>
    <mergeCell ref="M527:N527"/>
    <mergeCell ref="M528:N528"/>
    <mergeCell ref="M529:N529"/>
    <mergeCell ref="M512:N512"/>
    <mergeCell ref="M415:N415"/>
    <mergeCell ref="M423:N423"/>
    <mergeCell ref="M424:N424"/>
    <mergeCell ref="M425:N425"/>
    <mergeCell ref="M426:N426"/>
    <mergeCell ref="M427:N427"/>
    <mergeCell ref="M428:N428"/>
    <mergeCell ref="M429:N429"/>
    <mergeCell ref="M430:N430"/>
    <mergeCell ref="M431:N431"/>
    <mergeCell ref="M436:N436"/>
    <mergeCell ref="M437:N437"/>
    <mergeCell ref="M438:N438"/>
    <mergeCell ref="M439:N439"/>
    <mergeCell ref="M498:N498"/>
    <mergeCell ref="M519:N519"/>
    <mergeCell ref="M520:N520"/>
    <mergeCell ref="M499:N499"/>
    <mergeCell ref="M500:N500"/>
    <mergeCell ref="M501:N501"/>
    <mergeCell ref="M502:N502"/>
    <mergeCell ref="M503:N503"/>
    <mergeCell ref="M493:N493"/>
    <mergeCell ref="A513:D513"/>
    <mergeCell ref="A516:D516"/>
    <mergeCell ref="F516:G516"/>
    <mergeCell ref="M516:N516"/>
    <mergeCell ref="M546:N546"/>
    <mergeCell ref="A584:D584"/>
    <mergeCell ref="F584:G584"/>
    <mergeCell ref="M507:N507"/>
    <mergeCell ref="M506:N506"/>
    <mergeCell ref="M509:N509"/>
    <mergeCell ref="M508:N508"/>
    <mergeCell ref="M510:N510"/>
    <mergeCell ref="M511:N511"/>
    <mergeCell ref="M536:N536"/>
    <mergeCell ref="M538:N538"/>
    <mergeCell ref="M539:N539"/>
    <mergeCell ref="M531:N531"/>
    <mergeCell ref="M532:N532"/>
    <mergeCell ref="M533:N533"/>
    <mergeCell ref="M534:N534"/>
    <mergeCell ref="M525:N525"/>
    <mergeCell ref="M551:N551"/>
    <mergeCell ref="M552:N552"/>
    <mergeCell ref="M504:N504"/>
    <mergeCell ref="A553:D553"/>
    <mergeCell ref="A556:D556"/>
    <mergeCell ref="F556:G556"/>
    <mergeCell ref="M556:N556"/>
    <mergeCell ref="F595:G595"/>
    <mergeCell ref="M589:N589"/>
    <mergeCell ref="M590:N590"/>
    <mergeCell ref="M591:N591"/>
    <mergeCell ref="M587:N587"/>
    <mergeCell ref="M588:N588"/>
    <mergeCell ref="A581:D581"/>
    <mergeCell ref="A543:D543"/>
    <mergeCell ref="F543:G543"/>
    <mergeCell ref="M543:N543"/>
    <mergeCell ref="M602:N602"/>
    <mergeCell ref="M603:N603"/>
    <mergeCell ref="A604:D604"/>
    <mergeCell ref="A592:D592"/>
    <mergeCell ref="A595:D595"/>
    <mergeCell ref="M584:N584"/>
    <mergeCell ref="M571:N571"/>
    <mergeCell ref="M572:N572"/>
    <mergeCell ref="M573:N573"/>
    <mergeCell ref="M574:N574"/>
    <mergeCell ref="M578:N578"/>
    <mergeCell ref="M565:N565"/>
    <mergeCell ref="M566:N566"/>
    <mergeCell ref="M567:N567"/>
    <mergeCell ref="M568:N568"/>
    <mergeCell ref="M569:N569"/>
    <mergeCell ref="M570:N570"/>
    <mergeCell ref="M580:N580"/>
    <mergeCell ref="M687:N687"/>
    <mergeCell ref="M688:N688"/>
    <mergeCell ref="M673:N673"/>
    <mergeCell ref="M704:N704"/>
    <mergeCell ref="M705:N705"/>
    <mergeCell ref="M721:N721"/>
    <mergeCell ref="M719:N719"/>
    <mergeCell ref="M683:N683"/>
    <mergeCell ref="M684:N684"/>
    <mergeCell ref="M710:N710"/>
    <mergeCell ref="M535:N535"/>
    <mergeCell ref="M576:N576"/>
    <mergeCell ref="M579:N579"/>
    <mergeCell ref="M548:N548"/>
    <mergeCell ref="M549:N549"/>
    <mergeCell ref="M550:N550"/>
    <mergeCell ref="M522:N522"/>
    <mergeCell ref="M523:N523"/>
    <mergeCell ref="M524:N524"/>
    <mergeCell ref="M537:N537"/>
    <mergeCell ref="M547:N547"/>
    <mergeCell ref="M617:N617"/>
    <mergeCell ref="M618:N618"/>
    <mergeCell ref="M559:N559"/>
    <mergeCell ref="M560:N560"/>
    <mergeCell ref="M561:N561"/>
    <mergeCell ref="M562:N562"/>
    <mergeCell ref="M530:N530"/>
    <mergeCell ref="M711:N711"/>
    <mergeCell ref="M595:N595"/>
    <mergeCell ref="M610:N610"/>
    <mergeCell ref="M611:N611"/>
    <mergeCell ref="A632:D632"/>
    <mergeCell ref="A635:D635"/>
    <mergeCell ref="M638:N638"/>
    <mergeCell ref="A643:D643"/>
    <mergeCell ref="A607:D607"/>
    <mergeCell ref="F607:G607"/>
    <mergeCell ref="M607:N607"/>
    <mergeCell ref="M619:N619"/>
    <mergeCell ref="M620:N620"/>
    <mergeCell ref="A646:D646"/>
    <mergeCell ref="M715:N715"/>
    <mergeCell ref="M716:N716"/>
    <mergeCell ref="M717:N717"/>
    <mergeCell ref="M718:N718"/>
    <mergeCell ref="M720:N720"/>
    <mergeCell ref="M723:N723"/>
    <mergeCell ref="M722:N722"/>
    <mergeCell ref="A673:D673"/>
    <mergeCell ref="A670:D670"/>
    <mergeCell ref="M649:N649"/>
    <mergeCell ref="M650:N650"/>
    <mergeCell ref="M657:N657"/>
    <mergeCell ref="M709:N709"/>
    <mergeCell ref="M679:N679"/>
    <mergeCell ref="M680:N680"/>
    <mergeCell ref="M707:N707"/>
    <mergeCell ref="M667:N667"/>
    <mergeCell ref="M666:N666"/>
    <mergeCell ref="M668:N668"/>
    <mergeCell ref="M664:N664"/>
    <mergeCell ref="M665:N665"/>
    <mergeCell ref="M692:N692"/>
    <mergeCell ref="M625:N625"/>
    <mergeCell ref="M628:N628"/>
    <mergeCell ref="M615:N615"/>
    <mergeCell ref="M627:N627"/>
    <mergeCell ref="M598:N598"/>
    <mergeCell ref="M599:N599"/>
    <mergeCell ref="M653:N653"/>
    <mergeCell ref="M654:N654"/>
    <mergeCell ref="M655:N655"/>
    <mergeCell ref="M656:N656"/>
    <mergeCell ref="M630:N630"/>
    <mergeCell ref="M631:N631"/>
    <mergeCell ref="M635:N635"/>
    <mergeCell ref="M621:N621"/>
    <mergeCell ref="M622:N622"/>
    <mergeCell ref="M623:N623"/>
    <mergeCell ref="M624:N624"/>
    <mergeCell ref="M616:N616"/>
    <mergeCell ref="M641:N641"/>
    <mergeCell ref="M642:N642"/>
    <mergeCell ref="M639:N639"/>
    <mergeCell ref="M640:N640"/>
    <mergeCell ref="M646:N646"/>
    <mergeCell ref="M651:N651"/>
    <mergeCell ref="M652:N652"/>
    <mergeCell ref="M612:N612"/>
    <mergeCell ref="M613:N613"/>
    <mergeCell ref="M614:N614"/>
    <mergeCell ref="A1005:D1005"/>
    <mergeCell ref="F1005:G1005"/>
    <mergeCell ref="M1005:N1005"/>
    <mergeCell ref="M1000:N1000"/>
    <mergeCell ref="M1001:N1001"/>
    <mergeCell ref="A1002:D1002"/>
    <mergeCell ref="M994:N994"/>
    <mergeCell ref="M995:N995"/>
    <mergeCell ref="M996:N996"/>
    <mergeCell ref="M997:N997"/>
    <mergeCell ref="M691:N691"/>
    <mergeCell ref="M693:N693"/>
    <mergeCell ref="M695:N695"/>
    <mergeCell ref="M700:N700"/>
    <mergeCell ref="M733:N733"/>
    <mergeCell ref="M741:N741"/>
    <mergeCell ref="M742:N742"/>
    <mergeCell ref="M745:N745"/>
    <mergeCell ref="M774:N774"/>
    <mergeCell ref="M773:N773"/>
    <mergeCell ref="M769:N769"/>
    <mergeCell ref="M706:N706"/>
    <mergeCell ref="M749:N749"/>
    <mergeCell ref="M792:N792"/>
    <mergeCell ref="M762:N762"/>
    <mergeCell ref="M752:N752"/>
    <mergeCell ref="M821:N821"/>
    <mergeCell ref="M823:N823"/>
    <mergeCell ref="M825:N825"/>
    <mergeCell ref="M724:N724"/>
    <mergeCell ref="M826:N826"/>
    <mergeCell ref="M750:N750"/>
    <mergeCell ref="M1047:N1047"/>
    <mergeCell ref="M1048:N1048"/>
    <mergeCell ref="M810:N810"/>
    <mergeCell ref="M879:N879"/>
    <mergeCell ref="A880:D880"/>
    <mergeCell ref="A883:D883"/>
    <mergeCell ref="F883:G883"/>
    <mergeCell ref="M883:N883"/>
    <mergeCell ref="M820:N820"/>
    <mergeCell ref="M813:N813"/>
    <mergeCell ref="M814:N814"/>
    <mergeCell ref="M846:N846"/>
    <mergeCell ref="M847:N847"/>
    <mergeCell ref="A855:D855"/>
    <mergeCell ref="F855:G855"/>
    <mergeCell ref="M855:N855"/>
    <mergeCell ref="M874:N874"/>
    <mergeCell ref="M876:N876"/>
    <mergeCell ref="M878:N878"/>
    <mergeCell ref="A852:D852"/>
    <mergeCell ref="M1041:N1041"/>
    <mergeCell ref="M1042:N1042"/>
    <mergeCell ref="M1043:N1043"/>
    <mergeCell ref="M1044:N1044"/>
    <mergeCell ref="A990:D990"/>
    <mergeCell ref="A987:D987"/>
    <mergeCell ref="M1028:N1028"/>
    <mergeCell ref="M1029:N1029"/>
    <mergeCell ref="A1030:D1030"/>
    <mergeCell ref="A1033:D1033"/>
    <mergeCell ref="M815:N815"/>
    <mergeCell ref="M819:N819"/>
    <mergeCell ref="M1052:N1052"/>
    <mergeCell ref="M1056:N1056"/>
    <mergeCell ref="M1057:N1057"/>
    <mergeCell ref="M1058:N1058"/>
    <mergeCell ref="M1059:N1059"/>
    <mergeCell ref="M1075:N1075"/>
    <mergeCell ref="Q1075:R1075"/>
    <mergeCell ref="M1076:N1076"/>
    <mergeCell ref="Q1076:R1076"/>
    <mergeCell ref="M1077:N1077"/>
    <mergeCell ref="F990:G990"/>
    <mergeCell ref="M990:N990"/>
    <mergeCell ref="M968:N968"/>
    <mergeCell ref="M969:N969"/>
    <mergeCell ref="M970:N970"/>
    <mergeCell ref="M971:N971"/>
    <mergeCell ref="M972:N972"/>
    <mergeCell ref="M973:N973"/>
    <mergeCell ref="M974:N974"/>
    <mergeCell ref="M975:N975"/>
    <mergeCell ref="M976:N976"/>
    <mergeCell ref="M977:N977"/>
    <mergeCell ref="M978:N978"/>
    <mergeCell ref="M979:N979"/>
    <mergeCell ref="M980:N980"/>
    <mergeCell ref="M1060:N1060"/>
    <mergeCell ref="M1049:N1049"/>
    <mergeCell ref="M1050:N1050"/>
    <mergeCell ref="M1038:N1038"/>
    <mergeCell ref="M1039:N1039"/>
    <mergeCell ref="M1045:N1045"/>
    <mergeCell ref="M1046:N1046"/>
    <mergeCell ref="M1079:N1079"/>
    <mergeCell ref="M1080:N1080"/>
    <mergeCell ref="M1081:N1081"/>
    <mergeCell ref="M1082:N1082"/>
    <mergeCell ref="M1083:N1083"/>
    <mergeCell ref="A1084:D1084"/>
    <mergeCell ref="M1113:N1113"/>
    <mergeCell ref="M1114:N1114"/>
    <mergeCell ref="M1078:N1078"/>
    <mergeCell ref="Q1072:R1072"/>
    <mergeCell ref="M1073:N1073"/>
    <mergeCell ref="Q1073:R1073"/>
    <mergeCell ref="M1074:N1074"/>
    <mergeCell ref="Q1074:R1074"/>
    <mergeCell ref="M1061:N1061"/>
    <mergeCell ref="A1062:D1062"/>
    <mergeCell ref="A1067:D1067"/>
    <mergeCell ref="F1067:G1067"/>
    <mergeCell ref="M1067:N1067"/>
    <mergeCell ref="M1070:N1070"/>
    <mergeCell ref="M1071:N1071"/>
    <mergeCell ref="M1072:N1072"/>
    <mergeCell ref="M1093:N1093"/>
    <mergeCell ref="M1094:N1094"/>
    <mergeCell ref="M1095:N1095"/>
    <mergeCell ref="A1105:D1105"/>
    <mergeCell ref="A1108:D1108"/>
    <mergeCell ref="F1108:G1108"/>
    <mergeCell ref="M1108:N1108"/>
    <mergeCell ref="M1111:N1111"/>
    <mergeCell ref="M1112:N1112"/>
    <mergeCell ref="M1099:N1099"/>
    <mergeCell ref="M1100:N1100"/>
    <mergeCell ref="M1101:N1101"/>
    <mergeCell ref="M1102:N1102"/>
    <mergeCell ref="M1103:N1103"/>
    <mergeCell ref="M1104:N1104"/>
    <mergeCell ref="M1133:N1133"/>
    <mergeCell ref="M1096:N1096"/>
    <mergeCell ref="M1097:N1097"/>
    <mergeCell ref="M1098:N1098"/>
    <mergeCell ref="A1087:D1087"/>
    <mergeCell ref="F1087:G1087"/>
    <mergeCell ref="M1087:N1087"/>
    <mergeCell ref="M1090:N1090"/>
    <mergeCell ref="M1091:N1091"/>
    <mergeCell ref="M1092:N1092"/>
    <mergeCell ref="M1134:N1134"/>
    <mergeCell ref="M1135:N1135"/>
    <mergeCell ref="M1136:N1136"/>
    <mergeCell ref="M1137:N1137"/>
    <mergeCell ref="M1125:N1125"/>
    <mergeCell ref="M1126:N1126"/>
    <mergeCell ref="A1127:D1127"/>
    <mergeCell ref="A1130:D1130"/>
    <mergeCell ref="F1130:G1130"/>
    <mergeCell ref="M1130:N1130"/>
    <mergeCell ref="M1119:N1119"/>
    <mergeCell ref="M1120:N1120"/>
    <mergeCell ref="M1121:N1121"/>
    <mergeCell ref="M1122:N1122"/>
    <mergeCell ref="M1123:N1123"/>
    <mergeCell ref="M1124:N1124"/>
    <mergeCell ref="M1115:N1115"/>
    <mergeCell ref="M1116:N1116"/>
    <mergeCell ref="M1117:N1117"/>
    <mergeCell ref="M1118:N1118"/>
    <mergeCell ref="M1157:N1157"/>
    <mergeCell ref="A1158:D1158"/>
    <mergeCell ref="A1161:D1161"/>
    <mergeCell ref="F1161:G1161"/>
    <mergeCell ref="M1161:N1161"/>
    <mergeCell ref="M1164:N1164"/>
    <mergeCell ref="M1145:N1145"/>
    <mergeCell ref="M1150:N1150"/>
    <mergeCell ref="M1151:N1151"/>
    <mergeCell ref="M1152:N1152"/>
    <mergeCell ref="M1153:N1153"/>
    <mergeCell ref="M1156:N1156"/>
    <mergeCell ref="M1138:N1138"/>
    <mergeCell ref="M1139:N1139"/>
    <mergeCell ref="M1140:N1140"/>
    <mergeCell ref="M1141:N1141"/>
    <mergeCell ref="M1142:N1142"/>
    <mergeCell ref="M1143:N1143"/>
    <mergeCell ref="M1155:N1155"/>
    <mergeCell ref="M1154:N1154"/>
    <mergeCell ref="M1146:N1146"/>
    <mergeCell ref="M1147:N1147"/>
    <mergeCell ref="M1178:N1178"/>
    <mergeCell ref="M1179:N1179"/>
    <mergeCell ref="A1180:D1180"/>
    <mergeCell ref="A1183:D1183"/>
    <mergeCell ref="F1183:G1183"/>
    <mergeCell ref="M1183:N1183"/>
    <mergeCell ref="M1171:N1171"/>
    <mergeCell ref="M1172:N1172"/>
    <mergeCell ref="M1173:N1173"/>
    <mergeCell ref="M1174:N1174"/>
    <mergeCell ref="M1175:N1175"/>
    <mergeCell ref="M1176:N1176"/>
    <mergeCell ref="M1165:N1165"/>
    <mergeCell ref="M1166:N1166"/>
    <mergeCell ref="M1167:N1167"/>
    <mergeCell ref="M1168:N1168"/>
    <mergeCell ref="M1169:N1169"/>
    <mergeCell ref="M1170:N1170"/>
    <mergeCell ref="M1199:N1199"/>
    <mergeCell ref="M1200:N1200"/>
    <mergeCell ref="A1201:D1201"/>
    <mergeCell ref="A1204:D1204"/>
    <mergeCell ref="F1204:G1204"/>
    <mergeCell ref="M1204:N1204"/>
    <mergeCell ref="M922:N922"/>
    <mergeCell ref="M923:N923"/>
    <mergeCell ref="M924:N924"/>
    <mergeCell ref="M925:N925"/>
    <mergeCell ref="M927:N927"/>
    <mergeCell ref="M929:N929"/>
    <mergeCell ref="M930:N930"/>
    <mergeCell ref="A931:D931"/>
    <mergeCell ref="A934:D934"/>
    <mergeCell ref="F934:G934"/>
    <mergeCell ref="M934:N934"/>
    <mergeCell ref="M966:N966"/>
    <mergeCell ref="M967:N967"/>
    <mergeCell ref="M1192:N1192"/>
    <mergeCell ref="M1193:N1193"/>
    <mergeCell ref="M1194:N1194"/>
    <mergeCell ref="M1195:N1195"/>
    <mergeCell ref="M1196:N1196"/>
    <mergeCell ref="M1197:N1197"/>
    <mergeCell ref="M1186:N1186"/>
    <mergeCell ref="M1187:N1187"/>
    <mergeCell ref="M1188:N1188"/>
    <mergeCell ref="M1189:N1189"/>
    <mergeCell ref="M1190:N1190"/>
    <mergeCell ref="M1191:N1191"/>
    <mergeCell ref="M1177:N1177"/>
    <mergeCell ref="M1213:N1213"/>
    <mergeCell ref="M1214:N1214"/>
    <mergeCell ref="M1215:N1215"/>
    <mergeCell ref="M1216:N1216"/>
    <mergeCell ref="M1217:N1217"/>
    <mergeCell ref="M1218:N1218"/>
    <mergeCell ref="M1207:N1207"/>
    <mergeCell ref="M1208:N1208"/>
    <mergeCell ref="M1209:N1209"/>
    <mergeCell ref="M1210:N1210"/>
    <mergeCell ref="M1211:N1211"/>
    <mergeCell ref="M1212:N1212"/>
    <mergeCell ref="M904:N904"/>
    <mergeCell ref="M903:N903"/>
    <mergeCell ref="M902:N902"/>
    <mergeCell ref="M901:N901"/>
    <mergeCell ref="A905:D905"/>
    <mergeCell ref="A908:D908"/>
    <mergeCell ref="F908:G908"/>
    <mergeCell ref="M908:N908"/>
    <mergeCell ref="M911:N911"/>
    <mergeCell ref="M912:N912"/>
    <mergeCell ref="M913:N913"/>
    <mergeCell ref="M914:N914"/>
    <mergeCell ref="M915:N915"/>
    <mergeCell ref="M916:N916"/>
    <mergeCell ref="M917:N917"/>
    <mergeCell ref="M918:N918"/>
    <mergeCell ref="M919:N919"/>
    <mergeCell ref="M920:N920"/>
    <mergeCell ref="M921:N921"/>
    <mergeCell ref="M1198:N1198"/>
    <mergeCell ref="M1233:N1233"/>
    <mergeCell ref="M1234:N1234"/>
    <mergeCell ref="M1235:N1235"/>
    <mergeCell ref="M1236:N1236"/>
    <mergeCell ref="M1237:N1237"/>
    <mergeCell ref="M1238:N1238"/>
    <mergeCell ref="A1227:D1227"/>
    <mergeCell ref="F1227:G1227"/>
    <mergeCell ref="M1227:N1227"/>
    <mergeCell ref="M1230:N1230"/>
    <mergeCell ref="M1231:N1231"/>
    <mergeCell ref="M1232:N1232"/>
    <mergeCell ref="M1219:N1219"/>
    <mergeCell ref="M1220:N1220"/>
    <mergeCell ref="M1221:N1221"/>
    <mergeCell ref="M1222:N1222"/>
    <mergeCell ref="M1223:N1223"/>
    <mergeCell ref="A1224:D1224"/>
    <mergeCell ref="M1253:N1253"/>
    <mergeCell ref="M1254:N1254"/>
    <mergeCell ref="M1255:N1255"/>
    <mergeCell ref="M1256:N1256"/>
    <mergeCell ref="M1257:N1257"/>
    <mergeCell ref="M1258:N1258"/>
    <mergeCell ref="M1245:N1245"/>
    <mergeCell ref="A1246:D1246"/>
    <mergeCell ref="A1249:D1249"/>
    <mergeCell ref="F1249:G1249"/>
    <mergeCell ref="M1249:N1249"/>
    <mergeCell ref="M1252:N1252"/>
    <mergeCell ref="M1239:N1239"/>
    <mergeCell ref="M1240:N1240"/>
    <mergeCell ref="M1241:N1241"/>
    <mergeCell ref="M1242:N1242"/>
    <mergeCell ref="M1243:N1243"/>
    <mergeCell ref="M1244:N1244"/>
    <mergeCell ref="M1275:N1275"/>
    <mergeCell ref="M1276:N1276"/>
    <mergeCell ref="M1277:N1277"/>
    <mergeCell ref="M1278:N1278"/>
    <mergeCell ref="M1279:N1279"/>
    <mergeCell ref="M1280:N1280"/>
    <mergeCell ref="M1265:N1265"/>
    <mergeCell ref="M1266:N1266"/>
    <mergeCell ref="M1267:N1267"/>
    <mergeCell ref="M1268:N1268"/>
    <mergeCell ref="A1269:D1269"/>
    <mergeCell ref="A1272:D1272"/>
    <mergeCell ref="F1272:G1272"/>
    <mergeCell ref="M1272:N1272"/>
    <mergeCell ref="M1259:N1259"/>
    <mergeCell ref="M1260:N1260"/>
    <mergeCell ref="M1261:N1261"/>
    <mergeCell ref="M1262:N1262"/>
    <mergeCell ref="M1263:N1263"/>
    <mergeCell ref="M1264:N1264"/>
    <mergeCell ref="M1299:N1299"/>
    <mergeCell ref="M1300:N1300"/>
    <mergeCell ref="M1301:N1301"/>
    <mergeCell ref="M1302:N1302"/>
    <mergeCell ref="M1303:N1303"/>
    <mergeCell ref="M1304:N1304"/>
    <mergeCell ref="M1287:N1287"/>
    <mergeCell ref="M1288:N1288"/>
    <mergeCell ref="M1289:N1289"/>
    <mergeCell ref="M1291:N1291"/>
    <mergeCell ref="A1292:D1292"/>
    <mergeCell ref="A1295:D1295"/>
    <mergeCell ref="F1295:G1295"/>
    <mergeCell ref="M1295:N1295"/>
    <mergeCell ref="M1281:N1281"/>
    <mergeCell ref="M1282:N1282"/>
    <mergeCell ref="M1283:N1283"/>
    <mergeCell ref="M1284:N1284"/>
    <mergeCell ref="M1285:N1285"/>
    <mergeCell ref="M1286:N1286"/>
    <mergeCell ref="M1290:N1290"/>
    <mergeCell ref="A1319:D1319"/>
    <mergeCell ref="F1319:G1319"/>
    <mergeCell ref="M1319:N1319"/>
    <mergeCell ref="M1322:N1322"/>
    <mergeCell ref="M1323:N1323"/>
    <mergeCell ref="M1324:N1324"/>
    <mergeCell ref="M1311:N1311"/>
    <mergeCell ref="M1312:N1312"/>
    <mergeCell ref="M1313:N1313"/>
    <mergeCell ref="M1314:N1314"/>
    <mergeCell ref="M1315:N1315"/>
    <mergeCell ref="A1316:D1316"/>
    <mergeCell ref="M1305:N1305"/>
    <mergeCell ref="M1306:N1306"/>
    <mergeCell ref="M1307:N1307"/>
    <mergeCell ref="M1308:N1308"/>
    <mergeCell ref="M1309:N1309"/>
    <mergeCell ref="M1310:N1310"/>
    <mergeCell ref="M1337:N1337"/>
    <mergeCell ref="A1338:D1338"/>
    <mergeCell ref="A1341:D1341"/>
    <mergeCell ref="F1341:G1341"/>
    <mergeCell ref="M1341:N1341"/>
    <mergeCell ref="M1344:N1344"/>
    <mergeCell ref="M1331:N1331"/>
    <mergeCell ref="M1332:N1332"/>
    <mergeCell ref="M1333:N1333"/>
    <mergeCell ref="M1334:N1334"/>
    <mergeCell ref="M1335:N1335"/>
    <mergeCell ref="M1336:N1336"/>
    <mergeCell ref="M1325:N1325"/>
    <mergeCell ref="M1326:N1326"/>
    <mergeCell ref="M1327:N1327"/>
    <mergeCell ref="M1328:N1328"/>
    <mergeCell ref="M1329:N1329"/>
    <mergeCell ref="M1330:N1330"/>
    <mergeCell ref="A1357:D1357"/>
    <mergeCell ref="A1360:D1360"/>
    <mergeCell ref="F1360:G1360"/>
    <mergeCell ref="M1360:N1360"/>
    <mergeCell ref="M1363:N1363"/>
    <mergeCell ref="M1364:N1364"/>
    <mergeCell ref="M1351:N1351"/>
    <mergeCell ref="M1352:N1352"/>
    <mergeCell ref="M1353:N1353"/>
    <mergeCell ref="M1354:N1354"/>
    <mergeCell ref="M1355:N1355"/>
    <mergeCell ref="M1356:N1356"/>
    <mergeCell ref="M1345:N1345"/>
    <mergeCell ref="M1346:N1346"/>
    <mergeCell ref="M1347:N1347"/>
    <mergeCell ref="M1348:N1348"/>
    <mergeCell ref="M1349:N1349"/>
    <mergeCell ref="M1350:N1350"/>
    <mergeCell ref="M1380:N1380"/>
    <mergeCell ref="M1381:N1381"/>
    <mergeCell ref="M1382:N1382"/>
    <mergeCell ref="M1383:N1383"/>
    <mergeCell ref="M1384:N1384"/>
    <mergeCell ref="M1385:N1385"/>
    <mergeCell ref="M1371:N1371"/>
    <mergeCell ref="M1372:N1372"/>
    <mergeCell ref="M1373:N1373"/>
    <mergeCell ref="A1374:D1374"/>
    <mergeCell ref="A1377:D1377"/>
    <mergeCell ref="F1377:G1377"/>
    <mergeCell ref="M1377:N1377"/>
    <mergeCell ref="M1365:N1365"/>
    <mergeCell ref="M1366:N1366"/>
    <mergeCell ref="M1367:N1367"/>
    <mergeCell ref="M1368:N1368"/>
    <mergeCell ref="M1369:N1369"/>
    <mergeCell ref="M1370:N1370"/>
    <mergeCell ref="M1401:N1401"/>
    <mergeCell ref="M1402:N1402"/>
    <mergeCell ref="M1403:N1403"/>
    <mergeCell ref="M1404:N1404"/>
    <mergeCell ref="M1405:N1405"/>
    <mergeCell ref="M1406:N1406"/>
    <mergeCell ref="M1395:N1395"/>
    <mergeCell ref="M1396:N1396"/>
    <mergeCell ref="M1397:N1397"/>
    <mergeCell ref="M1398:N1398"/>
    <mergeCell ref="M1399:N1399"/>
    <mergeCell ref="M1400:N1400"/>
    <mergeCell ref="M1386:N1386"/>
    <mergeCell ref="M1387:N1387"/>
    <mergeCell ref="M1388:N1388"/>
    <mergeCell ref="A1389:D1389"/>
    <mergeCell ref="A1392:D1392"/>
    <mergeCell ref="F1392:G1392"/>
    <mergeCell ref="M1392:N1392"/>
    <mergeCell ref="M1422:N1422"/>
    <mergeCell ref="M1423:N1423"/>
    <mergeCell ref="M1424:N1424"/>
    <mergeCell ref="M1425:N1425"/>
    <mergeCell ref="M1426:N1426"/>
    <mergeCell ref="M1427:N1427"/>
    <mergeCell ref="A1416:D1416"/>
    <mergeCell ref="F1416:G1416"/>
    <mergeCell ref="M1416:N1416"/>
    <mergeCell ref="M1419:N1419"/>
    <mergeCell ref="M1420:N1420"/>
    <mergeCell ref="M1421:N1421"/>
    <mergeCell ref="M1407:N1407"/>
    <mergeCell ref="M1408:N1408"/>
    <mergeCell ref="M1410:N1410"/>
    <mergeCell ref="M1411:N1411"/>
    <mergeCell ref="M1412:N1412"/>
    <mergeCell ref="A1413:D1413"/>
    <mergeCell ref="M1409:N1409"/>
    <mergeCell ref="M1442:N1442"/>
    <mergeCell ref="M1443:N1443"/>
    <mergeCell ref="M1444:N1444"/>
    <mergeCell ref="M1445:N1445"/>
    <mergeCell ref="M1446:N1446"/>
    <mergeCell ref="M1447:N1447"/>
    <mergeCell ref="M1434:N1434"/>
    <mergeCell ref="M1435:N1435"/>
    <mergeCell ref="A1436:D1436"/>
    <mergeCell ref="A1439:D1439"/>
    <mergeCell ref="F1439:G1439"/>
    <mergeCell ref="M1439:N1439"/>
    <mergeCell ref="M1428:N1428"/>
    <mergeCell ref="M1429:N1429"/>
    <mergeCell ref="M1430:N1430"/>
    <mergeCell ref="M1431:N1431"/>
    <mergeCell ref="M1432:N1432"/>
    <mergeCell ref="M1433:N1433"/>
    <mergeCell ref="A1463:D1463"/>
    <mergeCell ref="F1463:G1463"/>
    <mergeCell ref="M1463:N1463"/>
    <mergeCell ref="M1454:N1454"/>
    <mergeCell ref="M1455:N1455"/>
    <mergeCell ref="M1456:N1456"/>
    <mergeCell ref="M1458:N1458"/>
    <mergeCell ref="M1459:N1459"/>
    <mergeCell ref="A1460:D1460"/>
    <mergeCell ref="M1448:N1448"/>
    <mergeCell ref="M1449:N1449"/>
    <mergeCell ref="M1450:N1450"/>
    <mergeCell ref="M1451:N1451"/>
    <mergeCell ref="M1452:N1452"/>
    <mergeCell ref="M1453:N1453"/>
    <mergeCell ref="M1466:N1466"/>
    <mergeCell ref="M1467:N1467"/>
    <mergeCell ref="M1457:N1457"/>
    <mergeCell ref="A1478:D1478"/>
    <mergeCell ref="A1481:D1481"/>
    <mergeCell ref="F1481:G1481"/>
    <mergeCell ref="M1481:N1481"/>
    <mergeCell ref="M1533:N1533"/>
    <mergeCell ref="M1470:N1470"/>
    <mergeCell ref="M1471:N1471"/>
    <mergeCell ref="M1472:N1472"/>
    <mergeCell ref="M1473:N1473"/>
    <mergeCell ref="M1474:N1474"/>
    <mergeCell ref="M1475:N1475"/>
    <mergeCell ref="M1484:N1484"/>
    <mergeCell ref="M1485:N1485"/>
    <mergeCell ref="M1486:N1486"/>
    <mergeCell ref="M1487:N1487"/>
    <mergeCell ref="M1488:N1488"/>
    <mergeCell ref="M1489:N1489"/>
    <mergeCell ref="M1490:N1490"/>
    <mergeCell ref="M1491:N1491"/>
    <mergeCell ref="M1492:N1492"/>
    <mergeCell ref="M1493:N1493"/>
    <mergeCell ref="M1494:N1494"/>
    <mergeCell ref="M1495:N1495"/>
    <mergeCell ref="M1496:N1496"/>
    <mergeCell ref="M1497:N1497"/>
    <mergeCell ref="M1498:N1498"/>
    <mergeCell ref="M1500:N1500"/>
    <mergeCell ref="M1501:N1501"/>
    <mergeCell ref="A1502:D1502"/>
    <mergeCell ref="A1505:D1505"/>
    <mergeCell ref="F1505:G1505"/>
    <mergeCell ref="M1505:N1505"/>
    <mergeCell ref="M1545:N1545"/>
    <mergeCell ref="M1546:N1546"/>
    <mergeCell ref="M1547:N1547"/>
    <mergeCell ref="M1549:N1549"/>
    <mergeCell ref="M1550:N1550"/>
    <mergeCell ref="M1552:N1552"/>
    <mergeCell ref="M1539:N1539"/>
    <mergeCell ref="M1540:N1540"/>
    <mergeCell ref="M1541:N1541"/>
    <mergeCell ref="M1542:N1542"/>
    <mergeCell ref="M1543:N1543"/>
    <mergeCell ref="M1544:N1544"/>
    <mergeCell ref="M1551:N1551"/>
    <mergeCell ref="M1548:N1548"/>
    <mergeCell ref="M1468:N1468"/>
    <mergeCell ref="M1469:N1469"/>
    <mergeCell ref="M1534:N1534"/>
    <mergeCell ref="M1535:N1535"/>
    <mergeCell ref="M1536:N1536"/>
    <mergeCell ref="M1537:N1537"/>
    <mergeCell ref="M1538:N1538"/>
    <mergeCell ref="M1477:N1477"/>
    <mergeCell ref="M1525:N1525"/>
    <mergeCell ref="M1476:N1476"/>
    <mergeCell ref="M1521:N1521"/>
    <mergeCell ref="M1522:N1522"/>
    <mergeCell ref="M1523:N1523"/>
    <mergeCell ref="M1524:N1524"/>
    <mergeCell ref="M1568:N1568"/>
    <mergeCell ref="M1569:N1569"/>
    <mergeCell ref="M1570:N1570"/>
    <mergeCell ref="M1571:N1571"/>
    <mergeCell ref="M1572:N1572"/>
    <mergeCell ref="M1573:N1573"/>
    <mergeCell ref="M1562:N1562"/>
    <mergeCell ref="M1563:N1563"/>
    <mergeCell ref="M1564:N1564"/>
    <mergeCell ref="M1565:N1565"/>
    <mergeCell ref="M1567:N1567"/>
    <mergeCell ref="M1553:N1553"/>
    <mergeCell ref="A1554:D1554"/>
    <mergeCell ref="M1557:N1557"/>
    <mergeCell ref="M1558:N1558"/>
    <mergeCell ref="A1559:D1559"/>
    <mergeCell ref="F1559:G1559"/>
    <mergeCell ref="M1559:N1559"/>
    <mergeCell ref="M1588:N1588"/>
    <mergeCell ref="M1589:N1589"/>
    <mergeCell ref="M1590:N1590"/>
    <mergeCell ref="M1591:N1591"/>
    <mergeCell ref="M1592:N1592"/>
    <mergeCell ref="M1595:N1595"/>
    <mergeCell ref="A1580:D1580"/>
    <mergeCell ref="A1583:D1583"/>
    <mergeCell ref="F1583:G1583"/>
    <mergeCell ref="M1583:N1583"/>
    <mergeCell ref="M1586:N1586"/>
    <mergeCell ref="M1587:N1587"/>
    <mergeCell ref="M1574:N1574"/>
    <mergeCell ref="M1575:N1575"/>
    <mergeCell ref="M1576:N1576"/>
    <mergeCell ref="M1577:N1577"/>
    <mergeCell ref="M1578:N1578"/>
    <mergeCell ref="M1579:N1579"/>
    <mergeCell ref="M1611:N1611"/>
    <mergeCell ref="M1612:N1612"/>
    <mergeCell ref="M1613:N1613"/>
    <mergeCell ref="M1614:N1614"/>
    <mergeCell ref="M1615:N1615"/>
    <mergeCell ref="M1617:N1617"/>
    <mergeCell ref="M1605:N1605"/>
    <mergeCell ref="M1606:N1606"/>
    <mergeCell ref="M1607:N1607"/>
    <mergeCell ref="M1608:N1608"/>
    <mergeCell ref="M1609:N1609"/>
    <mergeCell ref="M1610:N1610"/>
    <mergeCell ref="M1596:N1596"/>
    <mergeCell ref="M1597:N1597"/>
    <mergeCell ref="M1598:N1598"/>
    <mergeCell ref="A1599:D1599"/>
    <mergeCell ref="A1602:D1602"/>
    <mergeCell ref="F1602:G1602"/>
    <mergeCell ref="M1602:N1602"/>
    <mergeCell ref="M1633:N1633"/>
    <mergeCell ref="M1634:N1634"/>
    <mergeCell ref="M1635:N1635"/>
    <mergeCell ref="M1636:N1636"/>
    <mergeCell ref="M1637:N1637"/>
    <mergeCell ref="M1638:N1638"/>
    <mergeCell ref="M1627:N1627"/>
    <mergeCell ref="M1628:N1628"/>
    <mergeCell ref="M1629:N1629"/>
    <mergeCell ref="M1630:N1630"/>
    <mergeCell ref="M1631:N1631"/>
    <mergeCell ref="M1632:N1632"/>
    <mergeCell ref="A1618:D1618"/>
    <mergeCell ref="A1621:D1621"/>
    <mergeCell ref="F1621:G1621"/>
    <mergeCell ref="M1621:N1621"/>
    <mergeCell ref="M1624:N1624"/>
    <mergeCell ref="M1625:N1625"/>
    <mergeCell ref="M1653:N1653"/>
    <mergeCell ref="M1654:N1654"/>
    <mergeCell ref="M1655:N1655"/>
    <mergeCell ref="M1656:N1656"/>
    <mergeCell ref="M1657:N1657"/>
    <mergeCell ref="M1658:N1658"/>
    <mergeCell ref="M1647:N1647"/>
    <mergeCell ref="M1648:N1648"/>
    <mergeCell ref="M1649:N1649"/>
    <mergeCell ref="M1650:N1650"/>
    <mergeCell ref="M1651:N1651"/>
    <mergeCell ref="M1652:N1652"/>
    <mergeCell ref="M1639:N1639"/>
    <mergeCell ref="A1640:D1640"/>
    <mergeCell ref="A1643:D1643"/>
    <mergeCell ref="F1643:G1643"/>
    <mergeCell ref="M1643:N1643"/>
    <mergeCell ref="M1646:N1646"/>
    <mergeCell ref="M1672:N1672"/>
    <mergeCell ref="M1673:N1673"/>
    <mergeCell ref="M1674:N1674"/>
    <mergeCell ref="M1675:N1675"/>
    <mergeCell ref="M1676:N1676"/>
    <mergeCell ref="M1677:N1677"/>
    <mergeCell ref="M1667:N1667"/>
    <mergeCell ref="M1668:N1668"/>
    <mergeCell ref="M1669:N1669"/>
    <mergeCell ref="P1669:Q1669"/>
    <mergeCell ref="M1670:N1670"/>
    <mergeCell ref="M1671:N1671"/>
    <mergeCell ref="M1659:N1659"/>
    <mergeCell ref="M1660:N1660"/>
    <mergeCell ref="A1661:D1661"/>
    <mergeCell ref="A1664:D1664"/>
    <mergeCell ref="F1664:G1664"/>
    <mergeCell ref="M1664:N1664"/>
    <mergeCell ref="M1694:N1694"/>
    <mergeCell ref="M1695:N1695"/>
    <mergeCell ref="M1696:N1696"/>
    <mergeCell ref="M1697:N1697"/>
    <mergeCell ref="M1698:N1698"/>
    <mergeCell ref="M1699:N1699"/>
    <mergeCell ref="M1688:N1688"/>
    <mergeCell ref="M1689:N1689"/>
    <mergeCell ref="M1690:N1690"/>
    <mergeCell ref="M1691:N1691"/>
    <mergeCell ref="M1692:N1692"/>
    <mergeCell ref="M1693:N1693"/>
    <mergeCell ref="M1678:N1678"/>
    <mergeCell ref="M1679:N1679"/>
    <mergeCell ref="M1680:N1680"/>
    <mergeCell ref="M1681:N1681"/>
    <mergeCell ref="A1682:D1682"/>
    <mergeCell ref="A1685:D1685"/>
    <mergeCell ref="F1685:G1685"/>
    <mergeCell ref="M1685:N1685"/>
    <mergeCell ref="M1714:N1714"/>
    <mergeCell ref="M1715:N1715"/>
    <mergeCell ref="M1716:N1716"/>
    <mergeCell ref="M1717:N1717"/>
    <mergeCell ref="M1718:N1718"/>
    <mergeCell ref="M1719:N1719"/>
    <mergeCell ref="M1706:N1706"/>
    <mergeCell ref="A1707:D1707"/>
    <mergeCell ref="A1710:D1710"/>
    <mergeCell ref="F1710:G1710"/>
    <mergeCell ref="M1710:N1710"/>
    <mergeCell ref="M1713:N1713"/>
    <mergeCell ref="M1700:N1700"/>
    <mergeCell ref="M1701:N1701"/>
    <mergeCell ref="M1702:N1702"/>
    <mergeCell ref="M1703:N1703"/>
    <mergeCell ref="M1704:N1704"/>
    <mergeCell ref="M1705:N1705"/>
    <mergeCell ref="A1733:D1733"/>
    <mergeCell ref="A1736:D1736"/>
    <mergeCell ref="F1736:G1736"/>
    <mergeCell ref="M1736:N1736"/>
    <mergeCell ref="M1739:N1739"/>
    <mergeCell ref="M1740:N1740"/>
    <mergeCell ref="M1726:N1726"/>
    <mergeCell ref="M1728:N1728"/>
    <mergeCell ref="M1729:N1729"/>
    <mergeCell ref="M1730:N1730"/>
    <mergeCell ref="M1731:N1731"/>
    <mergeCell ref="M1732:N1732"/>
    <mergeCell ref="M1720:N1720"/>
    <mergeCell ref="M1721:N1721"/>
    <mergeCell ref="M1722:N1722"/>
    <mergeCell ref="M1723:N1723"/>
    <mergeCell ref="M1724:N1724"/>
    <mergeCell ref="M1725:N1725"/>
    <mergeCell ref="M1761:N1761"/>
    <mergeCell ref="M1764:N1764"/>
    <mergeCell ref="M1765:N1765"/>
    <mergeCell ref="M1766:N1766"/>
    <mergeCell ref="M1753:N1753"/>
    <mergeCell ref="M1754:N1754"/>
    <mergeCell ref="M1755:N1755"/>
    <mergeCell ref="M1756:N1756"/>
    <mergeCell ref="M1757:N1757"/>
    <mergeCell ref="A1758:D1758"/>
    <mergeCell ref="M1747:N1747"/>
    <mergeCell ref="M1748:N1748"/>
    <mergeCell ref="M1749:N1749"/>
    <mergeCell ref="M1750:N1750"/>
    <mergeCell ref="M1751:N1751"/>
    <mergeCell ref="M1752:N1752"/>
    <mergeCell ref="M1741:N1741"/>
    <mergeCell ref="M1742:N1742"/>
    <mergeCell ref="M1743:N1743"/>
    <mergeCell ref="M1744:N1744"/>
    <mergeCell ref="M1745:N1745"/>
    <mergeCell ref="M1746:N1746"/>
    <mergeCell ref="M1829:N1829"/>
    <mergeCell ref="A1823:D1823"/>
    <mergeCell ref="M1823:N1823"/>
    <mergeCell ref="A1826:D1826"/>
    <mergeCell ref="F1826:G1826"/>
    <mergeCell ref="M1826:N1826"/>
    <mergeCell ref="M1828:N1828"/>
    <mergeCell ref="M1815:N1815"/>
    <mergeCell ref="M1816:N1816"/>
    <mergeCell ref="M1817:N1817"/>
    <mergeCell ref="M1818:N1818"/>
    <mergeCell ref="M1819:N1819"/>
    <mergeCell ref="M1822:N1822"/>
    <mergeCell ref="A1807:D1807"/>
    <mergeCell ref="A1810:D1810"/>
    <mergeCell ref="F1810:G1810"/>
    <mergeCell ref="M1810:N1810"/>
    <mergeCell ref="M1813:N1813"/>
    <mergeCell ref="M1814:N1814"/>
    <mergeCell ref="M1820:N1820"/>
    <mergeCell ref="M1821:N1821"/>
    <mergeCell ref="M1767:N1767"/>
    <mergeCell ref="M1768:N1768"/>
    <mergeCell ref="M1769:N1769"/>
    <mergeCell ref="M950:N950"/>
    <mergeCell ref="M1770:N1770"/>
    <mergeCell ref="M1771:N1771"/>
    <mergeCell ref="M1772:N1772"/>
    <mergeCell ref="A1761:D1761"/>
    <mergeCell ref="F1761:G1761"/>
    <mergeCell ref="M952:N952"/>
    <mergeCell ref="M953:N953"/>
    <mergeCell ref="M954:N954"/>
    <mergeCell ref="M1806:N1806"/>
    <mergeCell ref="M1793:N1793"/>
    <mergeCell ref="M1794:N1794"/>
    <mergeCell ref="M1795:N1795"/>
    <mergeCell ref="M1796:N1796"/>
    <mergeCell ref="M981:N981"/>
    <mergeCell ref="M983:N983"/>
    <mergeCell ref="M985:N985"/>
    <mergeCell ref="M986:N986"/>
    <mergeCell ref="M1040:N1040"/>
    <mergeCell ref="M1499:N1499"/>
    <mergeCell ref="A962:D962"/>
    <mergeCell ref="F962:G962"/>
    <mergeCell ref="M962:N962"/>
    <mergeCell ref="M1797:N1797"/>
    <mergeCell ref="A1798:D1798"/>
    <mergeCell ref="M1787:N1787"/>
    <mergeCell ref="M1788:N1788"/>
    <mergeCell ref="M1789:N1789"/>
    <mergeCell ref="M1790:N1790"/>
    <mergeCell ref="A1801:D1801"/>
    <mergeCell ref="F1801:G1801"/>
    <mergeCell ref="M1801:N1801"/>
    <mergeCell ref="M1804:N1804"/>
    <mergeCell ref="M1805:N1805"/>
    <mergeCell ref="M1779:N1779"/>
    <mergeCell ref="M1780:N1780"/>
    <mergeCell ref="A1781:D1781"/>
    <mergeCell ref="A1784:D1784"/>
    <mergeCell ref="F1784:G1784"/>
    <mergeCell ref="M1784:N1784"/>
    <mergeCell ref="M1773:N1773"/>
    <mergeCell ref="M1774:N1774"/>
    <mergeCell ref="M1775:N1775"/>
    <mergeCell ref="M1776:N1776"/>
    <mergeCell ref="M1777:N1777"/>
    <mergeCell ref="M1778:N1778"/>
    <mergeCell ref="M1791:N1791"/>
    <mergeCell ref="M1792:N1792"/>
    <mergeCell ref="M747:N747"/>
    <mergeCell ref="M748:N748"/>
    <mergeCell ref="M900:N900"/>
    <mergeCell ref="M756:N756"/>
    <mergeCell ref="M772:N772"/>
    <mergeCell ref="M746:N746"/>
    <mergeCell ref="M822:N822"/>
    <mergeCell ref="M875:N875"/>
    <mergeCell ref="M926:N926"/>
    <mergeCell ref="M751:N751"/>
    <mergeCell ref="M775:N775"/>
    <mergeCell ref="M872:N872"/>
    <mergeCell ref="M780:N780"/>
    <mergeCell ref="M830:N830"/>
    <mergeCell ref="M834:N834"/>
    <mergeCell ref="M835:N835"/>
    <mergeCell ref="M818:N818"/>
    <mergeCell ref="M816:N816"/>
    <mergeCell ref="M864:N864"/>
    <mergeCell ref="M865:N865"/>
    <mergeCell ref="M866:N866"/>
    <mergeCell ref="M867:N867"/>
    <mergeCell ref="M868:N868"/>
    <mergeCell ref="M955:N955"/>
    <mergeCell ref="M957:N957"/>
    <mergeCell ref="M958:N958"/>
    <mergeCell ref="A959:D959"/>
    <mergeCell ref="M894:N894"/>
    <mergeCell ref="M895:N895"/>
    <mergeCell ref="M896:N896"/>
    <mergeCell ref="A697:D697"/>
    <mergeCell ref="A763:D763"/>
    <mergeCell ref="M873:N873"/>
    <mergeCell ref="M817:N817"/>
    <mergeCell ref="M809:N809"/>
    <mergeCell ref="M811:N811"/>
    <mergeCell ref="M812:N812"/>
    <mergeCell ref="M805:N805"/>
    <mergeCell ref="M808:N808"/>
    <mergeCell ref="M736:N736"/>
    <mergeCell ref="M838:N838"/>
    <mergeCell ref="A726:D726"/>
    <mergeCell ref="M938:N938"/>
    <mergeCell ref="M939:N939"/>
    <mergeCell ref="M940:N940"/>
    <mergeCell ref="F805:G805"/>
    <mergeCell ref="M760:N760"/>
    <mergeCell ref="M776:N776"/>
    <mergeCell ref="M759:N759"/>
    <mergeCell ref="M770:N770"/>
    <mergeCell ref="M796:N796"/>
    <mergeCell ref="A792:D792"/>
    <mergeCell ref="M899:N899"/>
    <mergeCell ref="M887:N887"/>
    <mergeCell ref="M888:N888"/>
    <mergeCell ref="M947:N947"/>
    <mergeCell ref="F780:G780"/>
    <mergeCell ref="A830:D830"/>
    <mergeCell ref="F830:G830"/>
    <mergeCell ref="M948:N948"/>
    <mergeCell ref="M949:N949"/>
    <mergeCell ref="M941:N941"/>
    <mergeCell ref="M942:N942"/>
    <mergeCell ref="M943:N943"/>
    <mergeCell ref="M871:N871"/>
    <mergeCell ref="A840:D840"/>
    <mergeCell ref="A843:D843"/>
    <mergeCell ref="F843:G843"/>
    <mergeCell ref="M843:N843"/>
    <mergeCell ref="M798:N798"/>
    <mergeCell ref="M800:N800"/>
    <mergeCell ref="M801:N801"/>
    <mergeCell ref="M795:N795"/>
    <mergeCell ref="M945:N945"/>
    <mergeCell ref="M946:N946"/>
    <mergeCell ref="M944:N944"/>
    <mergeCell ref="M897:N897"/>
    <mergeCell ref="M898:N898"/>
    <mergeCell ref="M890:N890"/>
    <mergeCell ref="M891:N891"/>
    <mergeCell ref="M892:N892"/>
    <mergeCell ref="M893:N893"/>
    <mergeCell ref="A1526:D1526"/>
    <mergeCell ref="M951:N951"/>
    <mergeCell ref="A827:D827"/>
    <mergeCell ref="M869:N869"/>
    <mergeCell ref="M870:N870"/>
    <mergeCell ref="M859:N859"/>
    <mergeCell ref="M860:N860"/>
    <mergeCell ref="M861:N861"/>
    <mergeCell ref="M862:N862"/>
    <mergeCell ref="M863:N863"/>
    <mergeCell ref="A777:D777"/>
    <mergeCell ref="M839:N839"/>
    <mergeCell ref="M850:N850"/>
    <mergeCell ref="M851:N851"/>
    <mergeCell ref="M787:N787"/>
    <mergeCell ref="M788:N788"/>
    <mergeCell ref="A1529:D1529"/>
    <mergeCell ref="F1529:G1529"/>
    <mergeCell ref="M1529:N1529"/>
    <mergeCell ref="M1508:N1508"/>
    <mergeCell ref="M1509:N1509"/>
    <mergeCell ref="M1510:N1510"/>
    <mergeCell ref="M1511:N1511"/>
    <mergeCell ref="M1512:N1512"/>
    <mergeCell ref="M1513:N1513"/>
    <mergeCell ref="M1514:N1514"/>
    <mergeCell ref="M1515:N1515"/>
    <mergeCell ref="M1516:N1516"/>
    <mergeCell ref="M1517:N1517"/>
    <mergeCell ref="M1518:N1518"/>
    <mergeCell ref="M1519:N1519"/>
    <mergeCell ref="M1520:N1520"/>
    <mergeCell ref="M521:N521"/>
    <mergeCell ref="M487:N487"/>
    <mergeCell ref="A766:D766"/>
    <mergeCell ref="F766:G766"/>
    <mergeCell ref="M766:N766"/>
    <mergeCell ref="M753:N753"/>
    <mergeCell ref="M754:N754"/>
    <mergeCell ref="M755:N755"/>
    <mergeCell ref="M758:N758"/>
    <mergeCell ref="M757:N757"/>
    <mergeCell ref="M761:N761"/>
    <mergeCell ref="A789:D789"/>
    <mergeCell ref="M563:N563"/>
    <mergeCell ref="M475:N475"/>
    <mergeCell ref="M564:N564"/>
    <mergeCell ref="A780:D780"/>
    <mergeCell ref="M577:N577"/>
    <mergeCell ref="F635:G635"/>
    <mergeCell ref="M783:N783"/>
    <mergeCell ref="M784:N784"/>
    <mergeCell ref="M743:N743"/>
    <mergeCell ref="M744:N744"/>
    <mergeCell ref="M738:N738"/>
    <mergeCell ref="M689:N689"/>
    <mergeCell ref="M690:N690"/>
    <mergeCell ref="M734:N734"/>
    <mergeCell ref="M735:N735"/>
    <mergeCell ref="M676:N676"/>
    <mergeCell ref="M677:N677"/>
    <mergeCell ref="M678:N678"/>
    <mergeCell ref="M740:N740"/>
    <mergeCell ref="M686:N686"/>
  </mergeCells>
  <phoneticPr fontId="19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60" fitToHeight="0" orientation="portrait" r:id="rId1"/>
  <rowBreaks count="14" manualBreakCount="14">
    <brk id="80" max="13" man="1"/>
    <brk id="184" max="13" man="1"/>
    <brk id="238" max="13" man="1"/>
    <brk id="304" max="13" man="1"/>
    <brk id="371" max="13" man="1"/>
    <brk id="444" max="13" man="1"/>
    <brk id="517" max="13" man="1"/>
    <brk id="635" max="13" man="1"/>
    <brk id="730" max="13" man="1"/>
    <brk id="883" max="13" man="1"/>
    <brk id="1161" max="13" man="1"/>
    <brk id="1416" max="13" man="1"/>
    <brk id="1531" max="13" man="1"/>
    <brk id="1621" max="13" man="1"/>
  </rowBreaks>
  <ignoredErrors>
    <ignoredError sqref="L536 L576 H692 L775 H1146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3"/>
  <sheetViews>
    <sheetView topLeftCell="A4" workbookViewId="0">
      <selection activeCell="O45" sqref="O45"/>
    </sheetView>
  </sheetViews>
  <sheetFormatPr defaultColWidth="12.625" defaultRowHeight="16.5"/>
  <cols>
    <col min="1" max="12" width="8.875" style="5" customWidth="1"/>
    <col min="13" max="13" width="11.625" style="301" customWidth="1"/>
    <col min="14" max="15" width="9.5" style="5" customWidth="1"/>
    <col min="16" max="16" width="12.5" style="5" customWidth="1"/>
    <col min="17" max="18" width="6.625" style="5" customWidth="1"/>
    <col min="19" max="19" width="9.625" style="5" customWidth="1"/>
    <col min="20" max="26" width="11" style="5" customWidth="1"/>
    <col min="27" max="16384" width="12.625" style="5"/>
  </cols>
  <sheetData>
    <row r="1" spans="1:26" ht="16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238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238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6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238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4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55"/>
      <c r="N4" s="4"/>
      <c r="O4" s="166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4.75" customHeight="1">
      <c r="A5" s="4"/>
      <c r="B5" s="210" t="s">
        <v>188</v>
      </c>
      <c r="C5" s="4"/>
      <c r="D5" s="4"/>
      <c r="E5" s="4"/>
      <c r="F5" s="4"/>
      <c r="G5" s="4"/>
      <c r="H5" s="4"/>
      <c r="I5" s="4"/>
      <c r="J5" s="4"/>
      <c r="K5" s="4"/>
      <c r="L5" s="4"/>
      <c r="M5" s="23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6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238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.5" customHeight="1" thickBo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238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>
      <c r="A8" s="4"/>
      <c r="B8" s="423">
        <f>급여대장!C57</f>
        <v>4</v>
      </c>
      <c r="C8" s="424" t="s">
        <v>54</v>
      </c>
      <c r="D8" s="4"/>
      <c r="E8" s="423">
        <f>급여대장!C478</f>
        <v>3</v>
      </c>
      <c r="F8" s="424" t="s">
        <v>450</v>
      </c>
      <c r="G8" s="4"/>
      <c r="H8" s="423">
        <f>급여대장!C1063</f>
        <v>5</v>
      </c>
      <c r="I8" s="424" t="s">
        <v>462</v>
      </c>
      <c r="J8" s="4"/>
      <c r="K8" s="423">
        <f>급여대장!C1557</f>
        <v>3</v>
      </c>
      <c r="L8" s="424" t="s">
        <v>472</v>
      </c>
      <c r="M8" s="238" t="s">
        <v>487</v>
      </c>
      <c r="N8" s="4" t="s">
        <v>476</v>
      </c>
      <c r="O8">
        <f>LARGE(CHOOSE({1,2,3,4}, B8:B25,E8:E25,H8:H25,K8:K25), 1)</f>
        <v>10</v>
      </c>
      <c r="P8" s="474" t="s">
        <v>490</v>
      </c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customHeight="1" thickBot="1">
      <c r="A9" s="4"/>
      <c r="B9" s="425">
        <f>급여대장!C78</f>
        <v>0</v>
      </c>
      <c r="C9" s="426" t="s">
        <v>439</v>
      </c>
      <c r="D9" s="4"/>
      <c r="E9" s="428">
        <f>급여대장!C514</f>
        <v>3</v>
      </c>
      <c r="F9" s="429" t="s">
        <v>451</v>
      </c>
      <c r="G9" s="4"/>
      <c r="H9" s="428">
        <f>급여대장!C1159</f>
        <v>5</v>
      </c>
      <c r="I9" s="429" t="s">
        <v>463</v>
      </c>
      <c r="J9" s="230"/>
      <c r="K9" s="428">
        <f>급여대장!C1581</f>
        <v>5</v>
      </c>
      <c r="L9" s="429" t="s">
        <v>473</v>
      </c>
      <c r="M9" s="238"/>
      <c r="N9" s="1" t="s">
        <v>477</v>
      </c>
      <c r="O9">
        <f>LARGE(CHOOSE({1,2,3,4}, B8:B25,E8:E25,H8:H25,K8:K25), 2)</f>
        <v>8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>
      <c r="A10" s="4"/>
      <c r="B10" s="421">
        <f>급여대장!C108</f>
        <v>0</v>
      </c>
      <c r="C10" s="422" t="s">
        <v>440</v>
      </c>
      <c r="D10" s="4"/>
      <c r="E10" s="428">
        <f>급여대장!C541</f>
        <v>1</v>
      </c>
      <c r="F10" s="429" t="s">
        <v>452</v>
      </c>
      <c r="G10" s="4"/>
      <c r="H10" s="428">
        <f>급여대장!C1202</f>
        <v>3</v>
      </c>
      <c r="I10" s="429" t="s">
        <v>464</v>
      </c>
      <c r="J10" s="230"/>
      <c r="K10" s="428">
        <f>급여대장!C1619</f>
        <v>1</v>
      </c>
      <c r="L10" s="429" t="s">
        <v>474</v>
      </c>
      <c r="M10" s="238"/>
      <c r="N10" s="1" t="s">
        <v>478</v>
      </c>
      <c r="O10">
        <f>LARGE(CHOOSE({1,2,3,4}, B8:B25,E8:E25,H8:H25,K8:K25), 3)</f>
        <v>6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customHeight="1">
      <c r="A11" s="4"/>
      <c r="B11" s="231"/>
      <c r="C11" s="232"/>
      <c r="D11" s="4"/>
      <c r="E11" s="428">
        <f>급여대장!C582</f>
        <v>6</v>
      </c>
      <c r="F11" s="429" t="s">
        <v>453</v>
      </c>
      <c r="G11" s="4"/>
      <c r="H11" s="428">
        <f>급여대장!C1247</f>
        <v>5</v>
      </c>
      <c r="I11" s="429" t="s">
        <v>465</v>
      </c>
      <c r="J11" s="230"/>
      <c r="K11" s="428">
        <f>급여대장!C1641</f>
        <v>2</v>
      </c>
      <c r="L11" s="429" t="s">
        <v>475</v>
      </c>
      <c r="M11" s="238"/>
      <c r="N11" s="1" t="s">
        <v>479</v>
      </c>
      <c r="O11">
        <f>LARGE(CHOOSE({1,2,3,4}, B8:B25,E8:E25,H8:H25,K8:K25), 4)</f>
        <v>6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>
      <c r="A12" s="4"/>
      <c r="B12" s="231">
        <f>급여대장!C136</f>
        <v>1</v>
      </c>
      <c r="C12" s="232" t="s">
        <v>441</v>
      </c>
      <c r="D12" s="4"/>
      <c r="E12" s="428">
        <f>급여대장!C633</f>
        <v>3</v>
      </c>
      <c r="F12" s="429" t="s">
        <v>454</v>
      </c>
      <c r="G12" s="4"/>
      <c r="H12" s="428">
        <f>급여대장!C1270</f>
        <v>0</v>
      </c>
      <c r="I12" s="429"/>
      <c r="J12" s="230"/>
      <c r="K12" s="428"/>
      <c r="L12" s="429"/>
      <c r="M12" s="238"/>
      <c r="N12" s="4"/>
      <c r="O12" s="4"/>
      <c r="P12" s="4"/>
      <c r="Q12" s="4"/>
      <c r="R12" s="4"/>
      <c r="S12" s="230"/>
      <c r="T12" s="4"/>
      <c r="U12" s="4"/>
      <c r="V12" s="4"/>
      <c r="W12" s="4"/>
      <c r="X12" s="4"/>
      <c r="Y12" s="4"/>
      <c r="Z12" s="4"/>
    </row>
    <row r="13" spans="1:26" ht="16.5" customHeight="1">
      <c r="A13" s="4"/>
      <c r="B13" s="231">
        <f>급여대장!C163</f>
        <v>2</v>
      </c>
      <c r="C13" s="232" t="s">
        <v>442</v>
      </c>
      <c r="D13" s="4"/>
      <c r="E13" s="428">
        <f>급여대장!C671</f>
        <v>4</v>
      </c>
      <c r="F13" s="429" t="s">
        <v>455</v>
      </c>
      <c r="G13" s="4"/>
      <c r="H13" s="428">
        <f>급여대장!C1293</f>
        <v>1</v>
      </c>
      <c r="I13" s="429" t="s">
        <v>467</v>
      </c>
      <c r="J13" s="230"/>
      <c r="K13" s="428"/>
      <c r="L13" s="429"/>
      <c r="M13" s="238" t="s">
        <v>486</v>
      </c>
      <c r="N13" s="4" t="s">
        <v>476</v>
      </c>
      <c r="O13" s="436">
        <f>LARGE((B8:B25), 1)</f>
        <v>10</v>
      </c>
      <c r="P13" s="4"/>
      <c r="Q13" s="4"/>
      <c r="R13" s="4"/>
      <c r="S13" s="230"/>
      <c r="T13" s="4"/>
      <c r="U13" s="4"/>
      <c r="V13" s="4"/>
      <c r="W13" s="4"/>
      <c r="X13" s="4"/>
      <c r="Y13" s="4"/>
      <c r="Z13" s="4"/>
    </row>
    <row r="14" spans="1:26" ht="16.5" customHeight="1" thickBot="1">
      <c r="A14" s="4"/>
      <c r="B14" s="427"/>
      <c r="C14" s="233"/>
      <c r="D14" s="4"/>
      <c r="E14" s="428">
        <f>급여대장!C698</f>
        <v>1</v>
      </c>
      <c r="F14" s="430" t="s">
        <v>456</v>
      </c>
      <c r="G14" s="4"/>
      <c r="H14" s="428">
        <f>급여대장!C1414</f>
        <v>2</v>
      </c>
      <c r="I14" s="430" t="s">
        <v>468</v>
      </c>
      <c r="J14" s="230"/>
      <c r="K14" s="428"/>
      <c r="L14" s="430"/>
      <c r="M14" s="238"/>
      <c r="N14" s="1" t="s">
        <v>477</v>
      </c>
      <c r="O14" s="436">
        <f>LARGE((B8:B25), 2)</f>
        <v>8</v>
      </c>
      <c r="P14" s="4"/>
      <c r="Q14" s="4"/>
      <c r="R14" s="4"/>
      <c r="S14" s="230"/>
      <c r="T14" s="4"/>
      <c r="U14" s="4"/>
      <c r="V14" s="4"/>
      <c r="W14" s="4"/>
      <c r="X14" s="4"/>
      <c r="Y14" s="4"/>
      <c r="Z14" s="4"/>
    </row>
    <row r="15" spans="1:26" ht="16.5" customHeight="1">
      <c r="A15" s="4"/>
      <c r="B15" s="423">
        <f>급여대장!C213</f>
        <v>4</v>
      </c>
      <c r="C15" s="424" t="s">
        <v>443</v>
      </c>
      <c r="D15" s="4"/>
      <c r="E15" s="428">
        <f>급여대장!C727</f>
        <v>2</v>
      </c>
      <c r="F15" s="430" t="s">
        <v>457</v>
      </c>
      <c r="G15" s="4"/>
      <c r="H15" s="428">
        <f>급여대장!C1437</f>
        <v>1</v>
      </c>
      <c r="I15" s="430" t="s">
        <v>469</v>
      </c>
      <c r="J15" s="230"/>
      <c r="K15" s="428"/>
      <c r="L15" s="430"/>
      <c r="M15" s="238"/>
      <c r="N15" s="1" t="s">
        <v>478</v>
      </c>
      <c r="O15" s="436">
        <f>LARGE((B8:B25), 3)</f>
        <v>6</v>
      </c>
      <c r="P15" s="4"/>
      <c r="Q15" s="4"/>
      <c r="R15" s="4"/>
      <c r="S15" s="230"/>
      <c r="T15" s="4"/>
      <c r="U15" s="4"/>
      <c r="V15" s="4"/>
      <c r="W15" s="4"/>
      <c r="X15" s="4"/>
      <c r="Y15" s="4"/>
      <c r="Z15" s="4"/>
    </row>
    <row r="16" spans="1:26" ht="16.5" customHeight="1">
      <c r="A16" s="4"/>
      <c r="B16" s="428">
        <f>급여대장!C236</f>
        <v>0</v>
      </c>
      <c r="C16" s="429" t="s">
        <v>528</v>
      </c>
      <c r="D16" s="4"/>
      <c r="E16" s="431">
        <f>급여대장!C764</f>
        <v>1</v>
      </c>
      <c r="F16" s="432" t="s">
        <v>458</v>
      </c>
      <c r="G16" s="4"/>
      <c r="H16" s="431">
        <f>급여대장!C1461</f>
        <v>0</v>
      </c>
      <c r="I16" s="432" t="s">
        <v>470</v>
      </c>
      <c r="J16" s="230"/>
      <c r="K16" s="431"/>
      <c r="L16" s="432"/>
      <c r="M16" s="238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>
      <c r="A17" s="4"/>
      <c r="B17" s="428">
        <f>급여대장!C260</f>
        <v>1</v>
      </c>
      <c r="C17" s="429" t="s">
        <v>529</v>
      </c>
      <c r="D17" s="4"/>
      <c r="E17" s="433">
        <f>급여대장!C828</f>
        <v>4</v>
      </c>
      <c r="F17" s="434" t="s">
        <v>459</v>
      </c>
      <c r="G17" s="4"/>
      <c r="H17" s="433">
        <f>급여대장!C1479</f>
        <v>1</v>
      </c>
      <c r="I17" s="434" t="s">
        <v>570</v>
      </c>
      <c r="J17" s="230"/>
      <c r="K17" s="433"/>
      <c r="L17" s="434"/>
      <c r="M17" s="456"/>
      <c r="N17" s="4"/>
      <c r="O17" s="229"/>
      <c r="P17" s="1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 thickBot="1">
      <c r="A18" s="4"/>
      <c r="B18" s="425">
        <f>급여대장!C302</f>
        <v>4</v>
      </c>
      <c r="C18" s="429" t="s">
        <v>445</v>
      </c>
      <c r="D18" s="4"/>
      <c r="E18" s="428">
        <f>급여대장!C881</f>
        <v>4</v>
      </c>
      <c r="F18" s="429" t="s">
        <v>460</v>
      </c>
      <c r="G18" s="4"/>
      <c r="H18" s="428">
        <f>급여대장!C1503</f>
        <v>0</v>
      </c>
      <c r="I18" s="429"/>
      <c r="J18" s="230"/>
      <c r="K18" s="428"/>
      <c r="L18" s="429"/>
      <c r="M18" s="238"/>
      <c r="N18" s="230"/>
      <c r="O18" s="4"/>
      <c r="P18" s="1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6.5" customHeight="1" thickBot="1">
      <c r="A19" s="4"/>
      <c r="B19" s="425">
        <f>급여대장!C284</f>
        <v>5</v>
      </c>
      <c r="C19" s="426" t="s">
        <v>530</v>
      </c>
      <c r="D19" s="4"/>
      <c r="E19" s="428">
        <f>급여대장!C932</f>
        <v>0</v>
      </c>
      <c r="F19" s="429" t="s">
        <v>461</v>
      </c>
      <c r="G19" s="4"/>
      <c r="H19" s="428">
        <f>급여대장!C1527</f>
        <v>0</v>
      </c>
      <c r="I19" s="429"/>
      <c r="J19" s="230"/>
      <c r="K19" s="428"/>
      <c r="L19" s="429"/>
      <c r="M19" s="238"/>
      <c r="N19" s="4"/>
      <c r="O19" s="230"/>
      <c r="P19" s="4"/>
      <c r="Q19" s="1"/>
      <c r="R19" s="4"/>
      <c r="S19" s="4"/>
      <c r="T19" s="4"/>
      <c r="U19" s="4"/>
      <c r="V19" s="4"/>
      <c r="W19" s="4"/>
      <c r="X19" s="4"/>
      <c r="Y19" s="4"/>
      <c r="Z19" s="4"/>
    </row>
    <row r="20" spans="1:26" ht="16.5" customHeight="1">
      <c r="A20" s="4"/>
      <c r="B20" s="421">
        <f>급여대장!C337</f>
        <v>6</v>
      </c>
      <c r="C20" s="422" t="s">
        <v>447</v>
      </c>
      <c r="D20" s="4"/>
      <c r="E20" s="428">
        <v>0</v>
      </c>
      <c r="F20" s="429"/>
      <c r="G20" s="4"/>
      <c r="H20" s="428"/>
      <c r="I20" s="429"/>
      <c r="J20" s="230"/>
      <c r="K20" s="428"/>
      <c r="L20" s="429"/>
      <c r="M20" s="238"/>
      <c r="N20" s="1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6.5" customHeight="1">
      <c r="A21" s="4"/>
      <c r="B21" s="231">
        <f>급여대장!C369</f>
        <v>10</v>
      </c>
      <c r="C21" s="232" t="s">
        <v>448</v>
      </c>
      <c r="D21" s="4"/>
      <c r="E21" s="428">
        <v>0</v>
      </c>
      <c r="F21" s="429"/>
      <c r="G21" s="4"/>
      <c r="H21" s="428"/>
      <c r="I21" s="429"/>
      <c r="J21" s="230"/>
      <c r="K21" s="428"/>
      <c r="L21" s="429"/>
      <c r="M21" s="238"/>
      <c r="N21" s="1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6.5" customHeight="1">
      <c r="A22" s="4"/>
      <c r="B22" s="231">
        <f>급여대장!C399</f>
        <v>2</v>
      </c>
      <c r="C22" s="232" t="s">
        <v>449</v>
      </c>
      <c r="D22" s="4"/>
      <c r="E22" s="428">
        <v>0</v>
      </c>
      <c r="F22" s="429"/>
      <c r="G22" s="4"/>
      <c r="H22" s="428"/>
      <c r="I22" s="429"/>
      <c r="J22" s="230"/>
      <c r="K22" s="428"/>
      <c r="L22" s="429"/>
      <c r="M22" s="238"/>
      <c r="N22" s="1"/>
      <c r="O22" s="4"/>
      <c r="P22" s="4"/>
      <c r="Q22" s="4"/>
      <c r="R22" s="3"/>
      <c r="S22" s="4"/>
      <c r="T22" s="4"/>
      <c r="U22" s="4"/>
      <c r="V22" s="4"/>
      <c r="W22" s="4"/>
      <c r="X22" s="4"/>
      <c r="Y22" s="4"/>
      <c r="Z22" s="4"/>
    </row>
    <row r="23" spans="1:26" ht="16.5" customHeight="1">
      <c r="A23" s="4"/>
      <c r="B23" s="231">
        <f>급여대장!C418</f>
        <v>3</v>
      </c>
      <c r="C23" s="232" t="s">
        <v>531</v>
      </c>
      <c r="D23" s="4"/>
      <c r="E23" s="428">
        <v>0</v>
      </c>
      <c r="F23" s="430"/>
      <c r="G23" s="4"/>
      <c r="H23" s="428"/>
      <c r="I23" s="430"/>
      <c r="J23" s="230"/>
      <c r="K23" s="428"/>
      <c r="L23" s="430"/>
      <c r="M23" s="238"/>
      <c r="N23" s="1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6.5" customHeight="1">
      <c r="A24" s="4"/>
      <c r="B24" s="231">
        <f>급여대장!C441</f>
        <v>8</v>
      </c>
      <c r="C24" s="232" t="s">
        <v>556</v>
      </c>
      <c r="D24" s="4"/>
      <c r="E24" s="428">
        <v>0</v>
      </c>
      <c r="F24" s="430"/>
      <c r="G24" s="4"/>
      <c r="H24" s="428"/>
      <c r="I24" s="430"/>
      <c r="J24" s="230"/>
      <c r="K24" s="428"/>
      <c r="L24" s="430"/>
      <c r="M24" s="238"/>
      <c r="N24" s="1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.5" customHeight="1" thickBot="1">
      <c r="A25" s="4"/>
      <c r="B25" s="234">
        <v>0</v>
      </c>
      <c r="C25" s="235"/>
      <c r="D25" s="4"/>
      <c r="E25" s="435">
        <v>0</v>
      </c>
      <c r="F25" s="426"/>
      <c r="G25" s="4"/>
      <c r="H25" s="435"/>
      <c r="I25" s="426"/>
      <c r="J25" s="230"/>
      <c r="K25" s="435"/>
      <c r="L25" s="426"/>
      <c r="M25" s="238"/>
      <c r="N25" s="1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238"/>
      <c r="N26" s="4"/>
      <c r="O26" s="4"/>
      <c r="P26" s="4"/>
      <c r="Q26" s="4"/>
      <c r="R26" s="4"/>
      <c r="S26" s="1"/>
      <c r="T26" s="4"/>
      <c r="U26" s="4"/>
      <c r="V26" s="4"/>
      <c r="W26" s="4"/>
      <c r="X26" s="4"/>
      <c r="Y26" s="4"/>
      <c r="Z26" s="4"/>
    </row>
    <row r="27" spans="1:26" ht="16.5" customHeight="1" thickBo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238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 thickBot="1">
      <c r="A28" s="4"/>
      <c r="B28" s="438">
        <f>급여대장!C59</f>
        <v>400</v>
      </c>
      <c r="C28" s="424" t="s">
        <v>54</v>
      </c>
      <c r="D28" s="4"/>
      <c r="E28" s="438">
        <f>급여대장!C479</f>
        <v>2510</v>
      </c>
      <c r="F28" s="424" t="s">
        <v>450</v>
      </c>
      <c r="G28" s="4"/>
      <c r="H28" s="438">
        <f>급여대장!C1064</f>
        <v>360</v>
      </c>
      <c r="I28" s="424" t="s">
        <v>462</v>
      </c>
      <c r="J28" s="4"/>
      <c r="K28" s="438">
        <f>급여대장!C1558</f>
        <v>722</v>
      </c>
      <c r="L28" s="424" t="s">
        <v>472</v>
      </c>
      <c r="M28" s="238" t="s">
        <v>488</v>
      </c>
      <c r="N28" s="4" t="s">
        <v>476</v>
      </c>
      <c r="O28" s="473">
        <f>LARGE(CHOOSE({1,2,3,4}, B28:B45,E28:E45,H28:H45,K28:K45), 1)</f>
        <v>3726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.5" customHeight="1" thickBot="1">
      <c r="A29" s="4"/>
      <c r="B29" s="438">
        <f>급여대장!C79</f>
        <v>0</v>
      </c>
      <c r="C29" s="424" t="s">
        <v>439</v>
      </c>
      <c r="D29" s="4"/>
      <c r="E29" s="441">
        <f>급여대장!C515</f>
        <v>564</v>
      </c>
      <c r="F29" s="429" t="s">
        <v>451</v>
      </c>
      <c r="G29" s="4"/>
      <c r="H29" s="441">
        <f>급여대장!C1160</f>
        <v>988</v>
      </c>
      <c r="I29" s="429" t="s">
        <v>463</v>
      </c>
      <c r="J29" s="4"/>
      <c r="K29" s="441">
        <f>급여대장!C1582</f>
        <v>1103</v>
      </c>
      <c r="L29" s="429" t="s">
        <v>473</v>
      </c>
      <c r="M29" s="238"/>
      <c r="N29" s="1" t="s">
        <v>477</v>
      </c>
      <c r="O29" s="473">
        <f>LARGE(CHOOSE({1,2,3,4}, B28:B45,E28:E45,H28:H45,K28:K45), 2)</f>
        <v>2510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6.5" customHeight="1">
      <c r="A30" s="4"/>
      <c r="B30" s="438">
        <f>급여대장!C109</f>
        <v>0</v>
      </c>
      <c r="C30" s="424" t="s">
        <v>440</v>
      </c>
      <c r="D30" s="4"/>
      <c r="E30" s="441">
        <f>급여대장!C542</f>
        <v>300</v>
      </c>
      <c r="F30" s="429" t="s">
        <v>452</v>
      </c>
      <c r="G30" s="4"/>
      <c r="H30" s="441">
        <f>급여대장!C1203</f>
        <v>315</v>
      </c>
      <c r="I30" s="429" t="s">
        <v>464</v>
      </c>
      <c r="J30" s="4"/>
      <c r="K30" s="441">
        <f>급여대장!C1620</f>
        <v>810</v>
      </c>
      <c r="L30" s="429" t="s">
        <v>474</v>
      </c>
      <c r="M30" s="238"/>
      <c r="N30" s="1" t="s">
        <v>478</v>
      </c>
      <c r="O30" s="436">
        <f>LARGE(CHOOSE({1,2,3,4}, B28:B45,E28:E45,H28:H45,K28:K45), 3)</f>
        <v>2105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5" customHeight="1">
      <c r="A31" s="4"/>
      <c r="B31" s="439"/>
      <c r="C31" s="232"/>
      <c r="D31" s="4"/>
      <c r="E31" s="441">
        <f>급여대장!C583</f>
        <v>1059</v>
      </c>
      <c r="F31" s="429" t="s">
        <v>453</v>
      </c>
      <c r="G31" s="4"/>
      <c r="H31" s="441">
        <f>급여대장!C1248</f>
        <v>1500</v>
      </c>
      <c r="I31" s="429" t="s">
        <v>465</v>
      </c>
      <c r="J31" s="4"/>
      <c r="K31" s="441">
        <f>급여대장!C1642</f>
        <v>300</v>
      </c>
      <c r="L31" s="429" t="s">
        <v>475</v>
      </c>
      <c r="M31" s="238"/>
      <c r="N31" s="1" t="s">
        <v>479</v>
      </c>
      <c r="O31" s="436">
        <f>LARGE(CHOOSE({1,2,3,4}, B28:B45,E28:E45,H28:H45,K28:K45), 4)</f>
        <v>1680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.5" customHeight="1">
      <c r="A32" s="4"/>
      <c r="B32" s="439">
        <f>급여대장!C137</f>
        <v>98</v>
      </c>
      <c r="C32" s="232" t="s">
        <v>441</v>
      </c>
      <c r="D32" s="4"/>
      <c r="E32" s="441">
        <f>급여대장!C634</f>
        <v>150</v>
      </c>
      <c r="F32" s="429" t="s">
        <v>454</v>
      </c>
      <c r="G32" s="4"/>
      <c r="H32" s="441">
        <f>급여대장!C1271</f>
        <v>0</v>
      </c>
      <c r="I32" s="429" t="s">
        <v>466</v>
      </c>
      <c r="J32" s="4"/>
      <c r="K32" s="441"/>
      <c r="L32" s="429"/>
      <c r="M32" s="238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.5" customHeight="1">
      <c r="A33" s="4"/>
      <c r="B33" s="439">
        <f>급여대장!C164</f>
        <v>110</v>
      </c>
      <c r="C33" s="232" t="s">
        <v>442</v>
      </c>
      <c r="D33" s="4"/>
      <c r="E33" s="441">
        <f>급여대장!C672</f>
        <v>882</v>
      </c>
      <c r="F33" s="429" t="s">
        <v>455</v>
      </c>
      <c r="G33" s="4"/>
      <c r="H33" s="441">
        <f>급여대장!C1294</f>
        <v>53</v>
      </c>
      <c r="I33" s="429" t="s">
        <v>467</v>
      </c>
      <c r="J33" s="4"/>
      <c r="K33" s="441"/>
      <c r="L33" s="429"/>
      <c r="M33" s="238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 customHeight="1" thickBot="1">
      <c r="A34" s="4"/>
      <c r="B34" s="440"/>
      <c r="C34" s="233"/>
      <c r="D34" s="4"/>
      <c r="E34" s="441">
        <f>급여대장!C699</f>
        <v>1680</v>
      </c>
      <c r="F34" s="430" t="s">
        <v>456</v>
      </c>
      <c r="G34" s="4"/>
      <c r="H34" s="441">
        <f>급여대장!C1415</f>
        <v>150</v>
      </c>
      <c r="I34" s="430" t="s">
        <v>468</v>
      </c>
      <c r="J34" s="4"/>
      <c r="K34" s="441"/>
      <c r="L34" s="430"/>
      <c r="M34" s="238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.5" customHeight="1">
      <c r="A35" s="4"/>
      <c r="B35" s="438">
        <f>급여대장!C214</f>
        <v>669</v>
      </c>
      <c r="C35" s="424" t="s">
        <v>443</v>
      </c>
      <c r="D35" s="4"/>
      <c r="E35" s="441">
        <f>급여대장!C728</f>
        <v>110</v>
      </c>
      <c r="F35" s="430" t="s">
        <v>457</v>
      </c>
      <c r="G35" s="4"/>
      <c r="H35" s="441">
        <f>급여대장!C1438</f>
        <v>50</v>
      </c>
      <c r="I35" s="430" t="s">
        <v>469</v>
      </c>
      <c r="J35" s="4"/>
      <c r="K35" s="441"/>
      <c r="L35" s="430"/>
      <c r="M35" s="238" t="s">
        <v>489</v>
      </c>
      <c r="N35" s="4" t="s">
        <v>476</v>
      </c>
      <c r="O35" s="436">
        <f>LARGE((B28:B45), 1)</f>
        <v>3726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6.5" customHeight="1">
      <c r="A36" s="4"/>
      <c r="B36" s="441">
        <f>급여대장!C237</f>
        <v>0</v>
      </c>
      <c r="C36" s="429" t="s">
        <v>444</v>
      </c>
      <c r="D36" s="4"/>
      <c r="E36" s="443">
        <f>급여대장!C765</f>
        <v>2105</v>
      </c>
      <c r="F36" s="432" t="s">
        <v>458</v>
      </c>
      <c r="G36" s="4"/>
      <c r="H36" s="443">
        <f>급여대장!C1462</f>
        <v>8</v>
      </c>
      <c r="I36" s="432" t="s">
        <v>470</v>
      </c>
      <c r="J36" s="4"/>
      <c r="K36" s="443"/>
      <c r="L36" s="432"/>
      <c r="M36" s="238"/>
      <c r="N36" s="1" t="s">
        <v>477</v>
      </c>
      <c r="O36" s="436">
        <f>LARGE((B28:B45), 2)</f>
        <v>1359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.5" customHeight="1">
      <c r="A37" s="4"/>
      <c r="B37" s="441">
        <f>급여대장!C261</f>
        <v>50</v>
      </c>
      <c r="C37" s="429" t="s">
        <v>446</v>
      </c>
      <c r="D37" s="4"/>
      <c r="E37" s="444">
        <f>급여대장!C829</f>
        <v>1501</v>
      </c>
      <c r="F37" s="434" t="s">
        <v>459</v>
      </c>
      <c r="G37" s="4"/>
      <c r="H37" s="444">
        <f>급여대장!C1480</f>
        <v>50</v>
      </c>
      <c r="I37" s="434" t="s">
        <v>570</v>
      </c>
      <c r="J37" s="4"/>
      <c r="K37" s="444"/>
      <c r="L37" s="434"/>
      <c r="M37" s="238"/>
      <c r="N37" s="1" t="s">
        <v>478</v>
      </c>
      <c r="O37" s="436">
        <f>LARGE((B28:B45), 3)</f>
        <v>1150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.5" customHeight="1">
      <c r="A38" s="4"/>
      <c r="B38" s="443">
        <f>급여대장!C285</f>
        <v>725</v>
      </c>
      <c r="C38" s="432" t="s">
        <v>445</v>
      </c>
      <c r="D38" s="4"/>
      <c r="E38" s="441">
        <f>급여대장!C882</f>
        <v>1260</v>
      </c>
      <c r="F38" s="429" t="s">
        <v>460</v>
      </c>
      <c r="G38" s="4"/>
      <c r="H38" s="441">
        <f>급여대장!C1504</f>
        <v>0</v>
      </c>
      <c r="I38" s="429" t="s">
        <v>471</v>
      </c>
      <c r="J38" s="4"/>
      <c r="K38" s="441"/>
      <c r="L38" s="429"/>
      <c r="M38" s="238"/>
      <c r="N38" s="1" t="s">
        <v>479</v>
      </c>
      <c r="O38" s="436">
        <f>LARGE((B28:B45), 4)</f>
        <v>725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.5" customHeight="1" thickBot="1">
      <c r="A39" s="4"/>
      <c r="B39" s="443">
        <f>급여대장!C303</f>
        <v>220</v>
      </c>
      <c r="C39" s="496" t="s">
        <v>526</v>
      </c>
      <c r="D39" s="4"/>
      <c r="E39" s="441">
        <f>급여대장!C933</f>
        <v>0</v>
      </c>
      <c r="F39" s="429" t="s">
        <v>527</v>
      </c>
      <c r="G39" s="4"/>
      <c r="H39" s="441"/>
      <c r="I39" s="429" t="s">
        <v>516</v>
      </c>
      <c r="J39" s="4"/>
      <c r="K39" s="441"/>
      <c r="L39" s="429"/>
      <c r="M39" s="238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6.5" customHeight="1">
      <c r="A40" s="4"/>
      <c r="B40" s="442">
        <f>급여대장!C338</f>
        <v>3726</v>
      </c>
      <c r="C40" s="422" t="s">
        <v>447</v>
      </c>
      <c r="D40" s="4"/>
      <c r="E40" s="441"/>
      <c r="F40" s="429"/>
      <c r="G40" s="4"/>
      <c r="H40" s="441"/>
      <c r="I40" s="429"/>
      <c r="J40" s="4"/>
      <c r="K40" s="441"/>
      <c r="L40" s="429"/>
      <c r="M40" s="238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.5" customHeight="1">
      <c r="A41" s="4"/>
      <c r="B41" s="439">
        <f>급여대장!C370</f>
        <v>1150</v>
      </c>
      <c r="C41" s="232" t="s">
        <v>448</v>
      </c>
      <c r="D41" s="4"/>
      <c r="E41" s="441">
        <v>0</v>
      </c>
      <c r="F41" s="429"/>
      <c r="G41" s="4"/>
      <c r="H41" s="441"/>
      <c r="I41" s="429"/>
      <c r="J41" s="4"/>
      <c r="K41" s="441"/>
      <c r="L41" s="429"/>
      <c r="M41" s="238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5" customHeight="1">
      <c r="A42" s="4"/>
      <c r="B42" s="439">
        <f>급여대장!C400</f>
        <v>475</v>
      </c>
      <c r="C42" s="232" t="s">
        <v>449</v>
      </c>
      <c r="D42" s="4"/>
      <c r="E42" s="441">
        <v>0</v>
      </c>
      <c r="F42" s="429"/>
      <c r="G42" s="4"/>
      <c r="H42" s="441"/>
      <c r="I42" s="429"/>
      <c r="J42" s="4"/>
      <c r="K42" s="441"/>
      <c r="L42" s="429"/>
      <c r="M42" s="238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.5" customHeight="1">
      <c r="A43" s="4"/>
      <c r="B43" s="439">
        <f>급여대장!C419</f>
        <v>350</v>
      </c>
      <c r="C43" s="232" t="s">
        <v>520</v>
      </c>
      <c r="D43" s="4"/>
      <c r="E43" s="441">
        <v>0</v>
      </c>
      <c r="F43" s="430"/>
      <c r="G43" s="4"/>
      <c r="H43" s="441"/>
      <c r="I43" s="430"/>
      <c r="J43" s="4"/>
      <c r="K43" s="441"/>
      <c r="L43" s="430"/>
      <c r="M43" s="238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6.5" customHeight="1">
      <c r="A44" s="4"/>
      <c r="B44" s="439">
        <f>급여대장!C442</f>
        <v>1359</v>
      </c>
      <c r="C44" s="232" t="s">
        <v>555</v>
      </c>
      <c r="D44" s="4"/>
      <c r="E44" s="441">
        <v>0</v>
      </c>
      <c r="F44" s="430"/>
      <c r="G44" s="4"/>
      <c r="H44" s="441"/>
      <c r="I44" s="430"/>
      <c r="J44" s="4"/>
      <c r="K44" s="441"/>
      <c r="L44" s="430"/>
      <c r="M44" s="238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 customHeight="1" thickBot="1">
      <c r="A45" s="4"/>
      <c r="B45" s="445">
        <v>0</v>
      </c>
      <c r="C45" s="235"/>
      <c r="D45" s="4"/>
      <c r="E45" s="446">
        <v>0</v>
      </c>
      <c r="F45" s="426"/>
      <c r="G45" s="4"/>
      <c r="H45" s="446"/>
      <c r="I45" s="426"/>
      <c r="J45" s="4"/>
      <c r="K45" s="446"/>
      <c r="L45" s="426"/>
      <c r="M45" s="238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6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238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6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238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6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238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6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238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6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238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6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238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6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238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6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238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6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238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6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238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6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238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6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238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6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238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6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238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6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238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6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238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6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238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6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238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6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238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6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238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6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238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6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238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6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238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6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238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6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238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6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238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6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238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6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238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6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238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6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238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6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238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6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238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6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238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6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238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6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238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6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238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238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6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238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6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238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6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238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6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238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6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238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238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6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238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6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238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6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238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238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6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238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238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6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238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6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238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6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238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238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6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238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238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238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238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238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238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238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238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238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238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238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238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238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238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238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238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238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238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238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238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238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238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238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238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238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238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238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238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238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238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238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238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238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238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238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238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238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238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238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238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238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238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238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238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238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238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238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238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238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238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238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238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238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238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238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238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238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238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238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238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238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238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238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238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238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238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238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238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238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238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238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238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238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238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238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238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238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238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238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238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238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238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238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238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238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238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238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238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238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238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238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238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238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238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238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238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238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238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238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238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238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238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238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238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238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238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238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238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238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238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238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238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238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238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238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238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238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238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238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238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238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238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238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238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238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238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238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238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238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238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238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238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238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238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238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238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238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238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238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238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238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238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238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238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238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238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238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238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238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238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238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238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238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238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238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238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238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238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238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238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238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238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238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238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238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238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238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238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238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238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238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238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238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238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238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238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238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238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238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238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238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238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238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238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238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238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238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238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238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238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238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238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238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238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238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238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238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238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238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238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238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238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238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238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238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238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238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238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238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238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238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238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238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238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238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238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238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238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238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238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238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238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238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238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238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238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238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238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238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238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238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238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238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238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238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238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238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238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238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238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238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238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238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238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238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238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238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238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238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238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238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238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238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238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238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238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238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238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238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238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238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238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238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238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238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238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238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238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238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238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238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238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238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238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238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238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238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238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238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238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238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238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238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238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238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238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238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238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238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238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238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238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238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238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238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238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238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238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238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238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238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238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238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238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238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238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238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238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238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238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238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238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238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238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238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238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238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238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238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238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238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238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238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238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238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238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238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238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238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238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238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238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238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238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238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238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238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238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238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238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238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238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238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238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238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238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238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238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238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238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238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238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238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238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238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238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238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238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238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238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238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238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238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238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238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238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238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238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238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238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238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238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238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238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238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238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238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238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238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238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238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238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238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238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238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238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238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238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238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238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238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238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238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238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238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238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238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238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238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238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238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238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238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238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238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238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238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238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238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238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238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238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238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238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238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238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238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238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238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238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238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238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238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238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238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238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238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238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238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238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238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238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238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238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238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238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238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238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238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238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238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238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238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238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238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238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238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238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238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238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238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238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238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238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238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238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238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238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238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238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238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238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238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238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238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238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238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238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238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238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238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238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238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238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238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238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238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238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238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238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238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238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238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238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238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238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238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238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238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238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238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238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238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238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238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238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238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238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238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238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238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238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238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238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238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238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238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238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238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238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238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238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238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238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238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238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238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238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238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238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238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238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238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238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238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238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238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238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238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238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238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238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238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238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238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238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238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238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238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238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238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238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238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238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238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238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238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238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238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238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238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238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238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238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238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238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238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238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238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238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238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238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238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238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238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238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238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238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238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238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238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238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238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238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238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238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238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238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238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238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238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238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238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238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238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238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238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238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238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238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238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238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238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238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238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238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238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238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238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238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238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238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238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238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238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238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238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238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238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238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238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238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238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238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238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238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238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238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238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238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238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238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238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238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238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238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238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238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238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238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238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238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238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238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238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238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238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238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238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238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238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238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238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238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238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238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238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238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238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238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238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238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238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238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238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238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238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238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238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238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238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238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238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238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238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238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238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238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238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238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238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238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238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238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238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238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238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238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238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238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238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238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238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238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238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238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238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238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238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238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238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238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238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238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238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238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238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238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238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238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238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238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238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238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238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238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238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238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238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238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238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238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238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238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238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238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238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238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238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238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238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238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238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238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238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238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238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238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238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238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238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238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238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238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238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238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238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238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238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238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238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238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238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238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238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238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238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238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238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238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238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238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238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238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238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238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238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238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238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238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238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238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238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238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238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238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238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238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238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238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238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238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238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238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238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238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238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238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238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238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238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238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238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238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238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238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238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238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238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238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238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238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238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238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238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238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238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238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238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238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238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238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238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238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238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238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238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238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238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238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238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238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238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238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238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238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238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238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238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238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238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238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238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238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238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238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238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238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238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238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238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238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238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238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238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238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238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238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238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238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238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238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238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238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238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238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238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238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238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238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238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238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238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238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238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238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238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238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238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238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238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238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238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238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238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238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238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238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238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238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238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238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238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238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238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238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238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238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238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238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238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238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238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6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238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6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238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6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238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6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238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6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238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6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238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6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238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6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238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6.5" customHeight="1">
      <c r="A990" s="4"/>
      <c r="S990" s="4"/>
      <c r="T990" s="4"/>
      <c r="U990" s="4"/>
      <c r="V990" s="4"/>
      <c r="W990" s="4"/>
      <c r="X990" s="4"/>
      <c r="Y990" s="4"/>
      <c r="Z990" s="4"/>
    </row>
    <row r="991" spans="1:26" ht="16.5" customHeight="1">
      <c r="A991" s="4"/>
      <c r="S991" s="4"/>
      <c r="T991" s="4"/>
      <c r="U991" s="4"/>
      <c r="V991" s="4"/>
      <c r="W991" s="4"/>
      <c r="X991" s="4"/>
      <c r="Y991" s="4"/>
      <c r="Z991" s="4"/>
    </row>
    <row r="992" spans="1:26" ht="16.5" customHeight="1">
      <c r="A992" s="4"/>
      <c r="S992" s="4"/>
      <c r="T992" s="4"/>
      <c r="U992" s="4"/>
      <c r="V992" s="4"/>
      <c r="W992" s="4"/>
      <c r="X992" s="4"/>
      <c r="Y992" s="4"/>
      <c r="Z992" s="4"/>
    </row>
    <row r="993" spans="1:26" ht="16.5" customHeight="1">
      <c r="A993" s="4"/>
      <c r="S993" s="4"/>
      <c r="T993" s="4"/>
      <c r="U993" s="4"/>
      <c r="V993" s="4"/>
      <c r="W993" s="4"/>
      <c r="X993" s="4"/>
      <c r="Y993" s="4"/>
      <c r="Z993" s="4"/>
    </row>
  </sheetData>
  <phoneticPr fontId="2" type="noConversion"/>
  <conditionalFormatting sqref="B26:B27 B46:B989 B36:B44 B8:B24">
    <cfRule type="cellIs" dxfId="18" priority="23" operator="greaterThanOrEqual">
      <formula>10</formula>
    </cfRule>
  </conditionalFormatting>
  <conditionalFormatting sqref="E8:E16">
    <cfRule type="cellIs" dxfId="17" priority="20" operator="greaterThanOrEqual">
      <formula>10</formula>
    </cfRule>
  </conditionalFormatting>
  <conditionalFormatting sqref="E17:E18 E20:E25">
    <cfRule type="cellIs" dxfId="16" priority="19" operator="greaterThanOrEqual">
      <formula>10</formula>
    </cfRule>
  </conditionalFormatting>
  <conditionalFormatting sqref="B25">
    <cfRule type="cellIs" dxfId="15" priority="18" operator="greaterThanOrEqual">
      <formula>10</formula>
    </cfRule>
  </conditionalFormatting>
  <conditionalFormatting sqref="H8:H16">
    <cfRule type="cellIs" dxfId="14" priority="17" operator="greaterThanOrEqual">
      <formula>10</formula>
    </cfRule>
  </conditionalFormatting>
  <conditionalFormatting sqref="H17:H25">
    <cfRule type="cellIs" dxfId="13" priority="16" operator="greaterThanOrEqual">
      <formula>10</formula>
    </cfRule>
  </conditionalFormatting>
  <conditionalFormatting sqref="K8:K16">
    <cfRule type="cellIs" dxfId="12" priority="15" operator="greaterThanOrEqual">
      <formula>10</formula>
    </cfRule>
  </conditionalFormatting>
  <conditionalFormatting sqref="K17:K25">
    <cfRule type="cellIs" dxfId="11" priority="14" operator="greaterThanOrEqual">
      <formula>10</formula>
    </cfRule>
  </conditionalFormatting>
  <conditionalFormatting sqref="B31:B35">
    <cfRule type="cellIs" dxfId="10" priority="13" operator="greaterThanOrEqual">
      <formula>10</formula>
    </cfRule>
  </conditionalFormatting>
  <conditionalFormatting sqref="B45">
    <cfRule type="cellIs" dxfId="9" priority="12" operator="greaterThanOrEqual">
      <formula>10</formula>
    </cfRule>
  </conditionalFormatting>
  <conditionalFormatting sqref="B28">
    <cfRule type="cellIs" dxfId="8" priority="11" operator="greaterThanOrEqual">
      <formula>10</formula>
    </cfRule>
  </conditionalFormatting>
  <conditionalFormatting sqref="B29:B30">
    <cfRule type="cellIs" dxfId="7" priority="8" operator="greaterThanOrEqual">
      <formula>10</formula>
    </cfRule>
  </conditionalFormatting>
  <conditionalFormatting sqref="E28:E36">
    <cfRule type="cellIs" dxfId="6" priority="7" operator="greaterThanOrEqual">
      <formula>10</formula>
    </cfRule>
  </conditionalFormatting>
  <conditionalFormatting sqref="E37:E45">
    <cfRule type="cellIs" dxfId="5" priority="6" operator="greaterThanOrEqual">
      <formula>10</formula>
    </cfRule>
  </conditionalFormatting>
  <conditionalFormatting sqref="H28:H36">
    <cfRule type="cellIs" dxfId="4" priority="5" operator="greaterThanOrEqual">
      <formula>10</formula>
    </cfRule>
  </conditionalFormatting>
  <conditionalFormatting sqref="H37:H45">
    <cfRule type="cellIs" dxfId="3" priority="4" operator="greaterThanOrEqual">
      <formula>10</formula>
    </cfRule>
  </conditionalFormatting>
  <conditionalFormatting sqref="K28:K36">
    <cfRule type="cellIs" dxfId="2" priority="3" operator="greaterThanOrEqual">
      <formula>10</formula>
    </cfRule>
  </conditionalFormatting>
  <conditionalFormatting sqref="K37:K45">
    <cfRule type="cellIs" dxfId="1" priority="2" operator="greaterThanOrEqual">
      <formula>10</formula>
    </cfRule>
  </conditionalFormatting>
  <conditionalFormatting sqref="E19">
    <cfRule type="cellIs" dxfId="0" priority="1" operator="greaterThanOrEqual">
      <formula>10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40"/>
  <sheetViews>
    <sheetView topLeftCell="A31" workbookViewId="0">
      <selection activeCell="U65" sqref="U65"/>
    </sheetView>
  </sheetViews>
  <sheetFormatPr defaultColWidth="12.625" defaultRowHeight="16.5"/>
  <cols>
    <col min="1" max="3" width="14.25" style="5" customWidth="1"/>
    <col min="4" max="4" width="10" style="5" customWidth="1"/>
    <col min="5" max="5" width="14.5" style="5" customWidth="1"/>
    <col min="6" max="6" width="51.5" style="5" customWidth="1"/>
    <col min="7" max="7" width="7.5" style="5" customWidth="1"/>
    <col min="8" max="26" width="6.625" style="5" customWidth="1"/>
    <col min="27" max="16384" width="12.625" style="5"/>
  </cols>
  <sheetData>
    <row r="1" spans="1:26" ht="16.5" customHeight="1">
      <c r="A1" s="4" t="s">
        <v>190</v>
      </c>
      <c r="B1" s="4"/>
      <c r="C1" s="4" t="s">
        <v>846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>
      <c r="A2" s="230"/>
      <c r="B2" s="4"/>
      <c r="C2" s="230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6.5" customHeight="1">
      <c r="A3" s="236" t="s">
        <v>191</v>
      </c>
      <c r="B3" s="237" t="s">
        <v>192</v>
      </c>
      <c r="C3" s="237" t="s">
        <v>193</v>
      </c>
      <c r="D3" s="236" t="s">
        <v>194</v>
      </c>
      <c r="E3" s="236" t="s">
        <v>195</v>
      </c>
      <c r="F3" s="236" t="s">
        <v>196</v>
      </c>
      <c r="G3" s="238"/>
      <c r="H3" s="238"/>
      <c r="I3" s="238"/>
      <c r="J3" s="238"/>
      <c r="K3" s="238"/>
      <c r="L3" s="238"/>
      <c r="M3" s="238"/>
      <c r="N3" s="238"/>
      <c r="O3" s="238"/>
      <c r="P3" s="238"/>
      <c r="Q3" s="238"/>
      <c r="R3" s="238"/>
      <c r="S3" s="238"/>
      <c r="T3" s="238"/>
      <c r="U3" s="238"/>
      <c r="V3" s="238"/>
      <c r="W3" s="238"/>
      <c r="X3" s="238"/>
      <c r="Y3" s="238"/>
      <c r="Z3" s="238"/>
    </row>
    <row r="4" spans="1:26" ht="16.5" customHeight="1">
      <c r="A4" s="230">
        <f>급여대장!H60</f>
        <v>4000000</v>
      </c>
      <c r="B4" s="230">
        <f>A4*3.3%</f>
        <v>132000</v>
      </c>
      <c r="C4" s="230">
        <f>A4-B4</f>
        <v>3868000</v>
      </c>
      <c r="D4" s="238" t="s">
        <v>54</v>
      </c>
      <c r="E4" s="238" t="s">
        <v>201</v>
      </c>
      <c r="F4" s="166" t="s">
        <v>199</v>
      </c>
      <c r="G4" s="166" t="s">
        <v>200</v>
      </c>
      <c r="H4" s="4"/>
      <c r="I4" s="4"/>
      <c r="J4" s="4"/>
      <c r="K4" s="1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6.5" hidden="1" customHeight="1">
      <c r="A5" s="230">
        <f>급여대장!H110</f>
        <v>0</v>
      </c>
      <c r="B5" s="230">
        <f t="shared" ref="B5:B7" si="0">A5*3.3%</f>
        <v>0</v>
      </c>
      <c r="C5" s="230">
        <f t="shared" ref="C5:C7" si="1">A5-B5</f>
        <v>0</v>
      </c>
      <c r="D5" s="238" t="s">
        <v>62</v>
      </c>
      <c r="E5" s="238" t="s">
        <v>204</v>
      </c>
      <c r="F5" s="4" t="s">
        <v>205</v>
      </c>
      <c r="G5" s="4"/>
      <c r="H5" s="4"/>
      <c r="I5" s="4"/>
      <c r="J5" s="4"/>
      <c r="K5" s="4"/>
      <c r="L5" s="4"/>
      <c r="M5" s="4"/>
      <c r="N5" s="4"/>
      <c r="O5" s="4"/>
      <c r="P5" s="4"/>
      <c r="Q5" s="4" t="s">
        <v>344</v>
      </c>
      <c r="R5" s="4"/>
      <c r="S5" s="4"/>
      <c r="T5" s="4"/>
      <c r="U5" s="4"/>
      <c r="V5" s="4"/>
      <c r="W5" s="4"/>
      <c r="X5" s="4"/>
      <c r="Y5" s="4"/>
      <c r="Z5" s="4"/>
    </row>
    <row r="6" spans="1:26" s="389" customFormat="1" ht="16.5" customHeight="1">
      <c r="A6" s="230">
        <f>급여대장!H138</f>
        <v>467599.99999999994</v>
      </c>
      <c r="B6" s="230">
        <f t="shared" si="0"/>
        <v>15430.8</v>
      </c>
      <c r="C6" s="230">
        <f t="shared" si="1"/>
        <v>452169.19999999995</v>
      </c>
      <c r="D6" s="238" t="s">
        <v>69</v>
      </c>
      <c r="E6" s="238" t="s">
        <v>207</v>
      </c>
      <c r="F6" s="239" t="s">
        <v>208</v>
      </c>
      <c r="G6" s="4"/>
      <c r="H6" s="4"/>
      <c r="I6" s="4"/>
      <c r="J6" s="4"/>
      <c r="K6" s="1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.5" customHeight="1">
      <c r="A7" s="230">
        <f>급여대장!K165/0.967</f>
        <v>520999.99999999988</v>
      </c>
      <c r="B7" s="230">
        <f t="shared" si="0"/>
        <v>17192.999999999996</v>
      </c>
      <c r="C7" s="230">
        <f t="shared" si="1"/>
        <v>503806.99999999988</v>
      </c>
      <c r="D7" s="238" t="s">
        <v>381</v>
      </c>
      <c r="E7" s="238" t="s">
        <v>382</v>
      </c>
      <c r="F7" s="4" t="s">
        <v>209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>
      <c r="A8" s="230"/>
      <c r="B8" s="230"/>
      <c r="C8" s="230"/>
      <c r="D8" s="238"/>
      <c r="E8" s="238"/>
      <c r="F8" s="23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customHeight="1">
      <c r="A9" s="230">
        <f>급여대장!K215/0.967</f>
        <v>3284881.8181818179</v>
      </c>
      <c r="B9" s="230">
        <f t="shared" ref="B9" si="2">A9*3.3%</f>
        <v>108401.09999999999</v>
      </c>
      <c r="C9" s="230">
        <f t="shared" ref="C9" si="3">A9-B9</f>
        <v>3176480.7181818178</v>
      </c>
      <c r="D9" s="238" t="s">
        <v>75</v>
      </c>
      <c r="E9" s="238" t="s">
        <v>210</v>
      </c>
      <c r="F9" s="239" t="s">
        <v>352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>
      <c r="A10" s="230">
        <f>급여대장!K262/0.967</f>
        <v>203464.32264736295</v>
      </c>
      <c r="B10" s="230">
        <f>A10*3.3%</f>
        <v>6714.3226473629775</v>
      </c>
      <c r="C10" s="230">
        <f>A10-B10</f>
        <v>196749.99999999997</v>
      </c>
      <c r="D10" s="238" t="s">
        <v>82</v>
      </c>
      <c r="E10" s="238" t="s">
        <v>213</v>
      </c>
      <c r="F10" s="239" t="s">
        <v>214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s="407" customFormat="1" ht="16.5" customHeight="1">
      <c r="A11" s="230">
        <f>급여대장!H286</f>
        <v>3643545.4545454541</v>
      </c>
      <c r="B11" s="230">
        <f t="shared" ref="B11" si="4">A11*3.3%</f>
        <v>120236.99999999999</v>
      </c>
      <c r="C11" s="230">
        <f t="shared" ref="C11" si="5">A11-B11</f>
        <v>3523308.4545454541</v>
      </c>
      <c r="D11" s="238" t="s">
        <v>222</v>
      </c>
      <c r="E11" s="238" t="s">
        <v>223</v>
      </c>
      <c r="F11" s="4" t="s">
        <v>224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s="501" customFormat="1" ht="16.5" customHeight="1">
      <c r="A12" s="230">
        <f>급여대장!H304</f>
        <v>1018299.9999999998</v>
      </c>
      <c r="B12" s="230">
        <f t="shared" ref="B12" si="6">A12*3.3%</f>
        <v>33603.899999999994</v>
      </c>
      <c r="C12" s="230">
        <f t="shared" ref="C12" si="7">A12-B12</f>
        <v>984696.09999999974</v>
      </c>
      <c r="D12" s="238" t="s">
        <v>533</v>
      </c>
      <c r="E12" s="238" t="s">
        <v>554</v>
      </c>
      <c r="F12" s="4" t="s">
        <v>540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6.5" customHeight="1">
      <c r="A13" s="230"/>
      <c r="B13" s="230"/>
      <c r="C13" s="230"/>
      <c r="D13" s="238"/>
      <c r="E13" s="238"/>
      <c r="F13" s="23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>
      <c r="A14" s="230">
        <f>급여대장!K339/0.967</f>
        <v>16754369.183040332</v>
      </c>
      <c r="B14" s="230">
        <f t="shared" ref="B14:B18" si="8">A14*3.3%</f>
        <v>552894.183040331</v>
      </c>
      <c r="C14" s="230">
        <f t="shared" ref="C14:C18" si="9">A14-B14</f>
        <v>16201475.000000002</v>
      </c>
      <c r="D14" s="238" t="s">
        <v>84</v>
      </c>
      <c r="E14" s="238" t="s">
        <v>215</v>
      </c>
      <c r="F14" s="239" t="s">
        <v>216</v>
      </c>
      <c r="G14" s="4"/>
      <c r="H14" s="4"/>
      <c r="I14" s="4"/>
      <c r="J14" s="4"/>
      <c r="K14" s="1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s="407" customFormat="1" ht="16.5" customHeight="1">
      <c r="A15" s="230">
        <f>급여대장!K371/0.967</f>
        <v>6303999.9999999991</v>
      </c>
      <c r="B15" s="230">
        <f t="shared" si="8"/>
        <v>208031.99999999997</v>
      </c>
      <c r="C15" s="230">
        <f t="shared" si="9"/>
        <v>6095967.9999999991</v>
      </c>
      <c r="D15" s="238" t="s">
        <v>296</v>
      </c>
      <c r="E15" s="238" t="s">
        <v>297</v>
      </c>
      <c r="F15" s="239" t="s">
        <v>298</v>
      </c>
      <c r="G15" s="4"/>
      <c r="H15" s="4"/>
      <c r="I15" s="4"/>
      <c r="J15" s="4"/>
      <c r="K15" s="1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customHeight="1">
      <c r="A16" s="230">
        <f>급여대장!H401</f>
        <v>2509272.7272727271</v>
      </c>
      <c r="B16" s="230">
        <f t="shared" si="8"/>
        <v>82806</v>
      </c>
      <c r="C16" s="230">
        <f t="shared" si="9"/>
        <v>2426466.7272727271</v>
      </c>
      <c r="D16" s="238" t="s">
        <v>89</v>
      </c>
      <c r="E16" s="238" t="s">
        <v>220</v>
      </c>
      <c r="F16" s="239" t="s">
        <v>221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s="475" customFormat="1" ht="16.5" customHeight="1">
      <c r="A17" s="230">
        <f>급여대장!H420</f>
        <v>1744699.9999999998</v>
      </c>
      <c r="B17" s="230">
        <f t="shared" si="8"/>
        <v>57575.1</v>
      </c>
      <c r="C17" s="230">
        <f t="shared" si="9"/>
        <v>1687124.8999999997</v>
      </c>
      <c r="D17" s="238" t="s">
        <v>520</v>
      </c>
      <c r="E17" s="238" t="s">
        <v>541</v>
      </c>
      <c r="F17" s="4" t="s">
        <v>542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s="530" customFormat="1" ht="16.5" customHeight="1">
      <c r="A18" s="230">
        <f>급여대장!H443</f>
        <v>6819599.9999999991</v>
      </c>
      <c r="B18" s="230">
        <f t="shared" si="8"/>
        <v>225046.8</v>
      </c>
      <c r="C18" s="230">
        <f t="shared" si="9"/>
        <v>6594553.1999999993</v>
      </c>
      <c r="D18" s="238" t="s">
        <v>560</v>
      </c>
      <c r="E18" s="238" t="s">
        <v>561</v>
      </c>
      <c r="F18" s="4" t="s">
        <v>562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6.5" customHeight="1">
      <c r="A19" s="230"/>
      <c r="B19" s="230"/>
      <c r="C19" s="230"/>
      <c r="D19" s="238"/>
      <c r="E19" s="238"/>
      <c r="F19" s="239"/>
      <c r="G19" s="4"/>
      <c r="H19" s="4"/>
      <c r="I19" s="238"/>
      <c r="J19" s="238"/>
      <c r="K19" s="23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s="459" customFormat="1" ht="16.5" customHeight="1">
      <c r="A20" s="230">
        <f>급여대장!K480/0.967</f>
        <v>15033062.616339196</v>
      </c>
      <c r="B20" s="230">
        <f>A20*3.3%</f>
        <v>496091.06633919349</v>
      </c>
      <c r="C20" s="241">
        <f>A20-B20</f>
        <v>14536971.550000003</v>
      </c>
      <c r="D20" s="238" t="s">
        <v>93</v>
      </c>
      <c r="E20" s="238" t="s">
        <v>306</v>
      </c>
      <c r="F20" s="166" t="s">
        <v>227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s="315" customFormat="1" ht="16.5" customHeight="1">
      <c r="A21" s="241"/>
      <c r="B21" s="241"/>
      <c r="C21" s="241"/>
      <c r="D21" s="242"/>
      <c r="E21" s="242"/>
      <c r="F21" s="355"/>
      <c r="G21" s="355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6.5" customHeight="1">
      <c r="A22" s="241">
        <f>급여대장!K516/0.967</f>
        <v>4365194.434521012</v>
      </c>
      <c r="B22" s="241">
        <f t="shared" ref="B22:B23" si="10">A22*3.3%</f>
        <v>144051.41633919341</v>
      </c>
      <c r="C22" s="241">
        <f t="shared" ref="C22" si="11">A22-B22</f>
        <v>4221143.0181818185</v>
      </c>
      <c r="D22" s="238" t="s">
        <v>97</v>
      </c>
      <c r="E22" s="238" t="s">
        <v>229</v>
      </c>
      <c r="F22" s="239" t="s">
        <v>230</v>
      </c>
      <c r="G22" s="355" t="s">
        <v>573</v>
      </c>
      <c r="H22" s="4"/>
      <c r="I22" s="4"/>
      <c r="J22" s="348"/>
      <c r="K22" s="348"/>
      <c r="L22" s="348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>
      <c r="A23" s="241">
        <f>급여대장!K584/0.967</f>
        <v>5244162.5454545449</v>
      </c>
      <c r="B23" s="241">
        <f t="shared" si="10"/>
        <v>173057.364</v>
      </c>
      <c r="C23" s="241">
        <f>A23-B23</f>
        <v>5071105.1814545449</v>
      </c>
      <c r="D23" s="242" t="s">
        <v>101</v>
      </c>
      <c r="E23" s="242" t="s">
        <v>231</v>
      </c>
      <c r="F23" s="243" t="s">
        <v>232</v>
      </c>
      <c r="G23" s="115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6.5" customHeight="1">
      <c r="A24" s="230">
        <f>급여대장!H635</f>
        <v>703124.99999999988</v>
      </c>
      <c r="B24" s="230">
        <f>A24*3.3%</f>
        <v>23203.124999999996</v>
      </c>
      <c r="C24" s="241">
        <f>A24-B24</f>
        <v>679921.87499999988</v>
      </c>
      <c r="D24" s="238" t="s">
        <v>104</v>
      </c>
      <c r="E24" s="238" t="s">
        <v>233</v>
      </c>
      <c r="F24" s="239" t="s">
        <v>234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.5" customHeight="1">
      <c r="A25" s="230">
        <f>급여대장!H673</f>
        <v>4246934</v>
      </c>
      <c r="B25" s="230">
        <f>A25*3.3%</f>
        <v>140148.82200000001</v>
      </c>
      <c r="C25" s="241">
        <f>A25-B25</f>
        <v>4106785.1779999998</v>
      </c>
      <c r="D25" s="238" t="s">
        <v>111</v>
      </c>
      <c r="E25" s="238" t="s">
        <v>239</v>
      </c>
      <c r="F25" s="239" t="s">
        <v>240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>
      <c r="A26" s="230">
        <f>급여대장!H700</f>
        <v>8335875</v>
      </c>
      <c r="B26" s="230">
        <f>A26*3.3%</f>
        <v>275083.875</v>
      </c>
      <c r="C26" s="241">
        <f>A26-B26</f>
        <v>8060791.125</v>
      </c>
      <c r="D26" s="238" t="s">
        <v>127</v>
      </c>
      <c r="E26" s="238" t="s">
        <v>247</v>
      </c>
      <c r="F26" s="239" t="s">
        <v>248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>
      <c r="A27" s="230">
        <f>급여대장!K729/0.967</f>
        <v>549999.99999999988</v>
      </c>
      <c r="B27" s="230">
        <f>A27*3.3%</f>
        <v>18149.999999999996</v>
      </c>
      <c r="C27" s="241">
        <f>A27-B27</f>
        <v>531849.99999999988</v>
      </c>
      <c r="D27" s="238" t="s">
        <v>113</v>
      </c>
      <c r="E27" s="238" t="s">
        <v>241</v>
      </c>
      <c r="F27" s="239" t="s">
        <v>242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s="268" customFormat="1" ht="16.5" customHeight="1">
      <c r="A28" s="230"/>
      <c r="B28" s="230"/>
      <c r="C28" s="241"/>
      <c r="D28" s="238"/>
      <c r="E28" s="238"/>
      <c r="F28" s="23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.5" customHeight="1">
      <c r="A29" s="230">
        <f>급여대장!H766</f>
        <v>11607363.070884647</v>
      </c>
      <c r="B29" s="230">
        <f>A29*3.3%</f>
        <v>383042.98133919336</v>
      </c>
      <c r="C29" s="241">
        <f>A29-B29</f>
        <v>11224320.089545453</v>
      </c>
      <c r="D29" s="238" t="s">
        <v>109</v>
      </c>
      <c r="E29" s="238" t="s">
        <v>237</v>
      </c>
      <c r="F29" s="239" t="s">
        <v>238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6.5" customHeight="1">
      <c r="A30" s="230">
        <f>급여대장!K830/0.967</f>
        <v>7405464.322647362</v>
      </c>
      <c r="B30" s="230">
        <f>A30*3.3%</f>
        <v>244380.32264736295</v>
      </c>
      <c r="C30" s="241">
        <f>A30-B30</f>
        <v>7161083.9999999991</v>
      </c>
      <c r="D30" s="238" t="s">
        <v>123</v>
      </c>
      <c r="E30" s="238" t="s">
        <v>245</v>
      </c>
      <c r="F30" s="239" t="s">
        <v>246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5" customHeight="1">
      <c r="A31" s="230">
        <f>급여대장!K883/0.967</f>
        <v>6266150</v>
      </c>
      <c r="B31" s="230">
        <f t="shared" ref="B31" si="12">A31*3.3%</f>
        <v>206782.95</v>
      </c>
      <c r="C31" s="241">
        <f t="shared" ref="C31" si="13">A31-B31</f>
        <v>6059367.0499999998</v>
      </c>
      <c r="D31" s="238" t="s">
        <v>107</v>
      </c>
      <c r="E31" s="238" t="s">
        <v>235</v>
      </c>
      <c r="F31" s="239" t="s">
        <v>236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s="321" customFormat="1" ht="16.5" hidden="1" customHeight="1">
      <c r="A32" s="230">
        <f>급여대장!H934</f>
        <v>0</v>
      </c>
      <c r="B32" s="230">
        <f t="shared" ref="B32" si="14">A32*3.3%</f>
        <v>0</v>
      </c>
      <c r="C32" s="241">
        <f t="shared" ref="C32" si="15">A32-B32</f>
        <v>0</v>
      </c>
      <c r="D32" s="238" t="s">
        <v>400</v>
      </c>
      <c r="E32" s="238" t="s">
        <v>375</v>
      </c>
      <c r="F32" s="239" t="s">
        <v>377</v>
      </c>
      <c r="G32" s="4" t="s">
        <v>376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s="529" customFormat="1" ht="16.5" hidden="1" customHeight="1">
      <c r="A33" s="230">
        <v>0</v>
      </c>
      <c r="B33" s="230">
        <f t="shared" ref="B33" si="16">A33*3.3%</f>
        <v>0</v>
      </c>
      <c r="C33" s="241">
        <f t="shared" ref="C33" si="17">A33-B33</f>
        <v>0</v>
      </c>
      <c r="D33" s="238" t="s">
        <v>557</v>
      </c>
      <c r="E33" s="238" t="s">
        <v>558</v>
      </c>
      <c r="F33" s="239" t="s">
        <v>559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 customHeight="1">
      <c r="A34" s="230"/>
      <c r="B34" s="230"/>
      <c r="C34" s="230"/>
      <c r="D34" s="238"/>
      <c r="E34" s="238"/>
      <c r="F34" s="23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.5" customHeight="1">
      <c r="A35" s="230">
        <f>급여대장!H1067</f>
        <v>1713849.9999999998</v>
      </c>
      <c r="B35" s="230">
        <f t="shared" ref="B35:B41" si="18">A35*3.3%</f>
        <v>56557.049999999996</v>
      </c>
      <c r="C35" s="230">
        <f t="shared" ref="C35:C42" si="19">A35-B35</f>
        <v>1657292.9499999997</v>
      </c>
      <c r="D35" s="238" t="s">
        <v>129</v>
      </c>
      <c r="E35" s="238" t="s">
        <v>249</v>
      </c>
      <c r="F35" s="239" t="s">
        <v>250</v>
      </c>
      <c r="G35" s="4"/>
      <c r="H35" s="4"/>
      <c r="I35" s="238"/>
      <c r="J35" s="238"/>
      <c r="K35" s="1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230">
        <f>급여대장!K1161/0.967</f>
        <v>4830822.7272727266</v>
      </c>
      <c r="B36" s="230">
        <f t="shared" si="18"/>
        <v>159417.15</v>
      </c>
      <c r="C36" s="230">
        <f>A36-B36</f>
        <v>4671405.5772727262</v>
      </c>
      <c r="D36" s="238" t="s">
        <v>135</v>
      </c>
      <c r="E36" s="238" t="s">
        <v>251</v>
      </c>
      <c r="F36" s="4" t="s">
        <v>252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230">
        <f>급여대장!K1204/0.967</f>
        <v>1530737.04992009</v>
      </c>
      <c r="B37" s="230">
        <f t="shared" si="18"/>
        <v>50514.322647362969</v>
      </c>
      <c r="C37" s="230">
        <f t="shared" si="19"/>
        <v>1480222.7272727271</v>
      </c>
      <c r="D37" s="238" t="s">
        <v>138</v>
      </c>
      <c r="E37" s="238" t="s">
        <v>345</v>
      </c>
      <c r="F37" s="411" t="s">
        <v>253</v>
      </c>
      <c r="G37" s="4"/>
      <c r="H37" s="4"/>
      <c r="I37" s="4"/>
      <c r="J37" s="4"/>
      <c r="K37" s="1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.5" customHeight="1">
      <c r="A38" s="241">
        <f>급여대장!K1249/0.967</f>
        <v>7500909.0909090908</v>
      </c>
      <c r="B38" s="230">
        <f t="shared" si="18"/>
        <v>247530</v>
      </c>
      <c r="C38" s="241">
        <f t="shared" si="19"/>
        <v>7253379.0909090908</v>
      </c>
      <c r="D38" s="410" t="s">
        <v>140</v>
      </c>
      <c r="E38" s="410" t="s">
        <v>254</v>
      </c>
      <c r="F38" s="413" t="s">
        <v>379</v>
      </c>
      <c r="G38" s="4"/>
      <c r="H38" s="4"/>
      <c r="I38" s="4"/>
      <c r="J38" s="4"/>
      <c r="K38" s="1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s="366" customFormat="1" ht="18.75" customHeight="1">
      <c r="A39" s="241">
        <f>급여대장!K1295/0.967</f>
        <v>277272.72727272724</v>
      </c>
      <c r="B39" s="241">
        <f t="shared" ref="B39" si="20">A39*3.3%</f>
        <v>9150</v>
      </c>
      <c r="C39" s="241">
        <f t="shared" ref="C39" si="21">A39-B39</f>
        <v>268122.72727272724</v>
      </c>
      <c r="D39" s="410" t="s">
        <v>398</v>
      </c>
      <c r="E39" s="412" t="s">
        <v>255</v>
      </c>
      <c r="F39" s="502" t="s">
        <v>534</v>
      </c>
      <c r="G39" s="115"/>
      <c r="H39" s="115"/>
      <c r="I39" s="4"/>
      <c r="J39" s="4"/>
      <c r="K39" s="1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230">
        <f>급여대장!H1416</f>
        <v>711999.99999999988</v>
      </c>
      <c r="B40" s="230">
        <f t="shared" si="18"/>
        <v>23495.999999999996</v>
      </c>
      <c r="C40" s="241">
        <f t="shared" si="19"/>
        <v>688503.99999999988</v>
      </c>
      <c r="D40" s="242" t="s">
        <v>151</v>
      </c>
      <c r="E40" s="242" t="s">
        <v>257</v>
      </c>
      <c r="F40" s="538" t="s">
        <v>565</v>
      </c>
      <c r="G40" s="4"/>
      <c r="H40" s="4"/>
      <c r="I40" s="4"/>
      <c r="J40" s="4"/>
      <c r="K40" s="1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.5" customHeight="1">
      <c r="A41" s="230">
        <f>급여대장!H1439</f>
        <v>249999.99999999997</v>
      </c>
      <c r="B41" s="230">
        <f t="shared" si="18"/>
        <v>8250</v>
      </c>
      <c r="C41" s="241">
        <f t="shared" si="19"/>
        <v>241749.99999999997</v>
      </c>
      <c r="D41" s="242" t="s">
        <v>153</v>
      </c>
      <c r="E41" s="242" t="s">
        <v>258</v>
      </c>
      <c r="F41" s="239" t="s">
        <v>259</v>
      </c>
      <c r="G41" s="4"/>
      <c r="H41" s="4"/>
      <c r="I41" s="4"/>
      <c r="J41" s="4"/>
      <c r="K41" s="1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5" customHeight="1">
      <c r="A42" s="230">
        <f>급여대장!H1463</f>
        <v>72818.181818181823</v>
      </c>
      <c r="B42" s="230">
        <f>A42*3.3%</f>
        <v>2403.0000000000005</v>
      </c>
      <c r="C42" s="230">
        <f t="shared" si="19"/>
        <v>70415.181818181823</v>
      </c>
      <c r="D42" s="238" t="s">
        <v>260</v>
      </c>
      <c r="E42" s="238" t="s">
        <v>261</v>
      </c>
      <c r="F42" s="239" t="s">
        <v>262</v>
      </c>
      <c r="G42" s="4"/>
      <c r="H42" s="4"/>
      <c r="I42" s="4"/>
      <c r="J42" s="4"/>
      <c r="K42" s="1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s="366" customFormat="1" ht="16.5" customHeight="1">
      <c r="A43" s="230">
        <f>급여대장!H1481</f>
        <v>200000</v>
      </c>
      <c r="B43" s="230">
        <f>A43*3.3%</f>
        <v>6600</v>
      </c>
      <c r="C43" s="230">
        <f>A43-B43</f>
        <v>193400</v>
      </c>
      <c r="D43" s="238" t="s">
        <v>570</v>
      </c>
      <c r="E43" s="238" t="s">
        <v>571</v>
      </c>
      <c r="F43" s="413" t="s">
        <v>572</v>
      </c>
      <c r="G43" s="4"/>
      <c r="H43" s="4"/>
      <c r="I43" s="4"/>
      <c r="J43" s="4"/>
      <c r="K43" s="1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6.5" customHeight="1">
      <c r="A44" s="230"/>
      <c r="B44" s="230"/>
      <c r="C44" s="230"/>
      <c r="D44" s="238"/>
      <c r="E44" s="238"/>
      <c r="F44" s="239"/>
      <c r="G44" s="4"/>
      <c r="H44" s="4"/>
      <c r="I44" s="4"/>
      <c r="J44" s="4"/>
      <c r="K44" s="1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 customHeight="1">
      <c r="A45" s="230">
        <f>급여대장!H1559</f>
        <v>4681479.7405283432</v>
      </c>
      <c r="B45" s="230">
        <f>A45*3.3%</f>
        <v>154488.83143743532</v>
      </c>
      <c r="C45" s="230">
        <f>A45-B45</f>
        <v>4526990.9090909082</v>
      </c>
      <c r="D45" s="238" t="s">
        <v>158</v>
      </c>
      <c r="E45" s="238" t="s">
        <v>265</v>
      </c>
      <c r="F45" s="239" t="s">
        <v>266</v>
      </c>
      <c r="G45" s="4"/>
      <c r="H45" s="4"/>
      <c r="I45" s="4"/>
      <c r="J45" s="4"/>
      <c r="K45" s="1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6.5" customHeight="1">
      <c r="A46" s="241">
        <f>급여대장!K1583/0.967</f>
        <v>5417134.6385258995</v>
      </c>
      <c r="B46" s="230">
        <f t="shared" ref="B46:B48" si="22">A46*3.3%</f>
        <v>178765.4430713547</v>
      </c>
      <c r="C46" s="230">
        <f t="shared" ref="C46:C48" si="23">A46-B46</f>
        <v>5238369.1954545444</v>
      </c>
      <c r="D46" s="238" t="s">
        <v>160</v>
      </c>
      <c r="E46" s="238" t="s">
        <v>267</v>
      </c>
      <c r="F46" s="239" t="s">
        <v>268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s="475" customFormat="1" ht="16.5" customHeight="1">
      <c r="A47" s="230">
        <f>급여대장!H1621</f>
        <v>3849949.9999999995</v>
      </c>
      <c r="B47" s="230">
        <f t="shared" ref="B47" si="24">A47*3.3%</f>
        <v>127048.34999999999</v>
      </c>
      <c r="C47" s="230">
        <f t="shared" ref="C47" si="25">A47-B47</f>
        <v>3722901.6499999994</v>
      </c>
      <c r="D47" s="238" t="s">
        <v>162</v>
      </c>
      <c r="E47" s="238" t="s">
        <v>269</v>
      </c>
      <c r="F47" s="239" t="s">
        <v>270</v>
      </c>
      <c r="G47" s="4"/>
      <c r="H47" s="4"/>
      <c r="I47" s="4"/>
      <c r="J47" s="4"/>
      <c r="K47" s="1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7.25" customHeight="1">
      <c r="A48" s="230">
        <f>급여대장!H1643</f>
        <v>1289649.9999999998</v>
      </c>
      <c r="B48" s="230">
        <f t="shared" si="22"/>
        <v>42558.45</v>
      </c>
      <c r="C48" s="230">
        <f t="shared" si="23"/>
        <v>1247091.5499999998</v>
      </c>
      <c r="D48" s="238" t="s">
        <v>495</v>
      </c>
      <c r="E48" s="5" t="s">
        <v>496</v>
      </c>
      <c r="F48" s="5" t="s">
        <v>497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s="116" customFormat="1" ht="16.5" customHeight="1">
      <c r="A49" s="230">
        <f>급여대장!H1664</f>
        <v>600000</v>
      </c>
      <c r="B49" s="230">
        <f t="shared" ref="B49" si="26">A49*3.3%</f>
        <v>19800</v>
      </c>
      <c r="C49" s="230">
        <f t="shared" ref="C49" si="27">A49-B49</f>
        <v>580200</v>
      </c>
      <c r="D49" s="242" t="s">
        <v>591</v>
      </c>
      <c r="E49" s="242" t="s">
        <v>592</v>
      </c>
      <c r="F49" s="115" t="s">
        <v>593</v>
      </c>
      <c r="G49" s="355"/>
      <c r="H49" s="355"/>
      <c r="I49" s="115"/>
      <c r="J49" s="35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</row>
    <row r="50" spans="1:26" s="501" customFormat="1" ht="16.5" customHeight="1">
      <c r="A50" s="241"/>
      <c r="B50" s="230"/>
      <c r="C50" s="230"/>
      <c r="D50" s="354"/>
      <c r="E50" s="116"/>
      <c r="F50" s="116"/>
      <c r="G50" s="166"/>
      <c r="H50" s="166"/>
      <c r="I50" s="4"/>
      <c r="J50" s="166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s="116" customFormat="1">
      <c r="A51" s="241">
        <f>90000/0.967</f>
        <v>93071.354705274047</v>
      </c>
      <c r="B51" s="241">
        <f t="shared" ref="B51" si="28">A51*3.3%</f>
        <v>3071.3547052740437</v>
      </c>
      <c r="C51" s="241">
        <f t="shared" ref="C51" si="29">A51-B51</f>
        <v>90000</v>
      </c>
      <c r="D51" s="238" t="s">
        <v>600</v>
      </c>
      <c r="E51" s="238" t="s">
        <v>601</v>
      </c>
      <c r="F51" s="4" t="s">
        <v>602</v>
      </c>
    </row>
    <row r="52" spans="1:26" s="116" customFormat="1">
      <c r="A52" s="241">
        <f t="shared" ref="A52:A54" si="30">90000/0.967</f>
        <v>93071.354705274047</v>
      </c>
      <c r="B52" s="241">
        <f t="shared" ref="B52:B54" si="31">A52*3.3%</f>
        <v>3071.3547052740437</v>
      </c>
      <c r="C52" s="241">
        <f t="shared" ref="C52:C54" si="32">A52-B52</f>
        <v>90000</v>
      </c>
      <c r="D52" s="238" t="s">
        <v>847</v>
      </c>
      <c r="E52" s="238" t="s">
        <v>848</v>
      </c>
      <c r="F52" s="4" t="s">
        <v>849</v>
      </c>
    </row>
    <row r="53" spans="1:26" s="116" customFormat="1">
      <c r="A53" s="241">
        <f t="shared" si="30"/>
        <v>93071.354705274047</v>
      </c>
      <c r="B53" s="241">
        <f t="shared" si="31"/>
        <v>3071.3547052740437</v>
      </c>
      <c r="C53" s="241">
        <f t="shared" si="32"/>
        <v>90000</v>
      </c>
      <c r="D53" s="238" t="s">
        <v>850</v>
      </c>
      <c r="E53" s="238" t="s">
        <v>851</v>
      </c>
      <c r="F53" s="4" t="s">
        <v>852</v>
      </c>
    </row>
    <row r="54" spans="1:26" s="116" customFormat="1">
      <c r="A54" s="241">
        <f t="shared" si="30"/>
        <v>93071.354705274047</v>
      </c>
      <c r="B54" s="241">
        <f t="shared" si="31"/>
        <v>3071.3547052740437</v>
      </c>
      <c r="C54" s="241">
        <f t="shared" si="32"/>
        <v>90000</v>
      </c>
      <c r="D54" s="238" t="s">
        <v>853</v>
      </c>
      <c r="E54" s="238" t="s">
        <v>854</v>
      </c>
      <c r="F54" s="4" t="s">
        <v>855</v>
      </c>
    </row>
    <row r="55" spans="1:26" s="116" customFormat="1" ht="17.25" customHeight="1">
      <c r="A55" s="241">
        <f>540000/0.967</f>
        <v>558428.12823164428</v>
      </c>
      <c r="B55" s="230">
        <f t="shared" ref="B55:B57" si="33">A55*3.3%</f>
        <v>18428.128231644263</v>
      </c>
      <c r="C55" s="241">
        <f t="shared" ref="C55:C57" si="34">A55-B55</f>
        <v>540000</v>
      </c>
      <c r="D55" s="242" t="s">
        <v>538</v>
      </c>
      <c r="E55" s="242" t="s">
        <v>539</v>
      </c>
      <c r="F55" s="115" t="s">
        <v>289</v>
      </c>
      <c r="G55" s="355"/>
      <c r="H55" s="355"/>
      <c r="I55" s="115"/>
      <c r="J55" s="35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</row>
    <row r="56" spans="1:26" s="546" customFormat="1" ht="16.5" customHeight="1">
      <c r="A56" s="241">
        <f t="shared" ref="A56" si="35">90000/0.967</f>
        <v>93071.354705274047</v>
      </c>
      <c r="B56" s="230">
        <f t="shared" si="33"/>
        <v>3071.3547052740437</v>
      </c>
      <c r="C56" s="241">
        <f t="shared" si="34"/>
        <v>90000</v>
      </c>
      <c r="D56" s="238" t="s">
        <v>277</v>
      </c>
      <c r="E56" s="238" t="s">
        <v>278</v>
      </c>
      <c r="F56" s="239" t="s">
        <v>279</v>
      </c>
      <c r="G56" s="166"/>
      <c r="H56" s="166"/>
      <c r="I56" s="4"/>
      <c r="J56" s="166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s="116" customFormat="1" ht="16.5" customHeight="1">
      <c r="A57" s="241">
        <f>90000/0.967</f>
        <v>93071.354705274047</v>
      </c>
      <c r="B57" s="230">
        <f t="shared" si="33"/>
        <v>3071.3547052740437</v>
      </c>
      <c r="C57" s="230">
        <f t="shared" si="34"/>
        <v>90000</v>
      </c>
      <c r="D57" s="242" t="s">
        <v>389</v>
      </c>
      <c r="E57" s="242" t="s">
        <v>390</v>
      </c>
      <c r="F57" s="115" t="s">
        <v>391</v>
      </c>
      <c r="G57" s="355"/>
      <c r="H57" s="355"/>
      <c r="I57" s="115"/>
      <c r="J57" s="35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</row>
    <row r="58" spans="1:26" s="546" customFormat="1" ht="16.5" customHeight="1">
      <c r="A58" s="241">
        <f>180000/0.967</f>
        <v>186142.70941054809</v>
      </c>
      <c r="B58" s="230">
        <f t="shared" ref="B58" si="36">A58*3.3%</f>
        <v>6142.7094105480874</v>
      </c>
      <c r="C58" s="241">
        <f t="shared" ref="C58" si="37">A58-B58</f>
        <v>180000</v>
      </c>
      <c r="D58" s="238" t="s">
        <v>603</v>
      </c>
      <c r="E58" s="238" t="s">
        <v>604</v>
      </c>
      <c r="F58" s="239" t="s">
        <v>605</v>
      </c>
      <c r="G58" s="166"/>
      <c r="H58" s="166"/>
      <c r="I58" s="4"/>
      <c r="J58" s="166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s="562" customFormat="1" ht="16.5" customHeight="1">
      <c r="A59" s="241">
        <f>180000/0.967</f>
        <v>186142.70941054809</v>
      </c>
      <c r="B59" s="230">
        <f t="shared" ref="B59" si="38">A59*3.3%</f>
        <v>6142.7094105480874</v>
      </c>
      <c r="C59" s="241">
        <f t="shared" ref="C59" si="39">A59-B59</f>
        <v>180000</v>
      </c>
      <c r="D59" s="238" t="s">
        <v>856</v>
      </c>
      <c r="E59" s="238" t="s">
        <v>857</v>
      </c>
      <c r="F59" s="239" t="s">
        <v>858</v>
      </c>
      <c r="G59" s="166"/>
      <c r="H59" s="166"/>
      <c r="I59" s="4"/>
      <c r="J59" s="166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s="546" customFormat="1" ht="18.75" customHeight="1">
      <c r="A60" s="241">
        <f t="shared" ref="A60" si="40">90000/0.967</f>
        <v>93071.354705274047</v>
      </c>
      <c r="B60" s="230">
        <f t="shared" ref="B60:B61" si="41">A60*3.3%</f>
        <v>3071.3547052740437</v>
      </c>
      <c r="C60" s="241">
        <f t="shared" ref="C60:C61" si="42">A60-B60</f>
        <v>90000</v>
      </c>
      <c r="D60" s="238" t="s">
        <v>612</v>
      </c>
      <c r="E60" s="238" t="s">
        <v>613</v>
      </c>
      <c r="F60" s="411" t="s">
        <v>614</v>
      </c>
      <c r="G60" s="4"/>
      <c r="H60" s="4"/>
      <c r="I60" s="4"/>
      <c r="J60" s="4"/>
      <c r="K60" s="1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s="116" customFormat="1">
      <c r="A61" s="241">
        <f>90000/0.967</f>
        <v>93071.354705274047</v>
      </c>
      <c r="B61" s="241">
        <f t="shared" si="41"/>
        <v>3071.3547052740437</v>
      </c>
      <c r="C61" s="241">
        <f t="shared" si="42"/>
        <v>90000</v>
      </c>
      <c r="D61" s="238" t="s">
        <v>274</v>
      </c>
      <c r="E61" s="238" t="s">
        <v>275</v>
      </c>
      <c r="F61" s="239" t="s">
        <v>276</v>
      </c>
    </row>
    <row r="62" spans="1:26" s="300" customFormat="1">
      <c r="A62" s="230"/>
      <c r="B62" s="230"/>
      <c r="C62" s="241"/>
      <c r="D62" s="301"/>
    </row>
    <row r="63" spans="1:26" ht="16.5" customHeight="1">
      <c r="A63" s="241">
        <f>3000000/0.967</f>
        <v>3102378.4901758013</v>
      </c>
      <c r="B63" s="230">
        <f t="shared" ref="B63:B64" si="43">A63*3.3%</f>
        <v>102378.49017580145</v>
      </c>
      <c r="C63" s="230">
        <f t="shared" ref="C63:C64" si="44">A63-B63</f>
        <v>3000000</v>
      </c>
      <c r="D63" s="238" t="s">
        <v>292</v>
      </c>
      <c r="E63" s="238" t="s">
        <v>293</v>
      </c>
      <c r="F63" s="239" t="s">
        <v>294</v>
      </c>
      <c r="G63" s="546" t="s">
        <v>859</v>
      </c>
      <c r="H63" s="245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s="501" customFormat="1" ht="16.5" customHeight="1">
      <c r="A64" s="241">
        <f>1500000/0.967</f>
        <v>1551189.2450879007</v>
      </c>
      <c r="B64" s="230">
        <f t="shared" si="43"/>
        <v>51189.245087900723</v>
      </c>
      <c r="C64" s="230">
        <f t="shared" si="44"/>
        <v>1500000</v>
      </c>
      <c r="D64" s="238" t="s">
        <v>535</v>
      </c>
      <c r="E64" s="238" t="s">
        <v>547</v>
      </c>
      <c r="F64" s="4" t="s">
        <v>548</v>
      </c>
      <c r="G64" s="460"/>
      <c r="H64" s="245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s="501" customFormat="1" ht="16.5" customHeight="1">
      <c r="A65" s="230"/>
      <c r="B65" s="230"/>
      <c r="C65" s="230"/>
      <c r="D65" s="4"/>
      <c r="E65" s="4"/>
      <c r="F65" s="4"/>
      <c r="G65" s="4"/>
      <c r="H65" s="4"/>
      <c r="I65" s="4"/>
      <c r="J65" s="4"/>
      <c r="K65" s="4"/>
      <c r="L65" s="4"/>
      <c r="M65" s="230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6.5" customHeight="1">
      <c r="A66" s="246">
        <f>SUM(A4:A64)</f>
        <v>150283540.77174017</v>
      </c>
      <c r="B66" s="246">
        <f>SUM(B4:B64)</f>
        <v>4959356.8454674268</v>
      </c>
      <c r="C66" s="246">
        <f>SUM(C4:C64)</f>
        <v>145324183.92627275</v>
      </c>
      <c r="D66" s="246"/>
      <c r="E66" s="246"/>
      <c r="F66" s="246"/>
      <c r="G66" s="247" t="s">
        <v>295</v>
      </c>
      <c r="H66" s="4"/>
      <c r="I66" s="4"/>
      <c r="J66" s="4"/>
      <c r="K66" s="1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6.5" customHeight="1">
      <c r="A67" s="230"/>
      <c r="B67" s="230"/>
      <c r="C67" s="230"/>
      <c r="D67" s="4"/>
      <c r="E67" s="4"/>
      <c r="F67" s="4"/>
      <c r="G67" s="4"/>
      <c r="H67" s="4"/>
      <c r="I67" s="4"/>
      <c r="J67" s="4"/>
      <c r="K67" s="4"/>
      <c r="L67" s="4"/>
      <c r="M67" s="230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s="299" customFormat="1" ht="16.5" customHeight="1">
      <c r="A68" s="230"/>
      <c r="B68" s="230"/>
      <c r="C68" s="230"/>
      <c r="D68" s="238" t="s">
        <v>217</v>
      </c>
      <c r="E68" s="240" t="s">
        <v>218</v>
      </c>
      <c r="F68" s="240" t="s">
        <v>219</v>
      </c>
      <c r="G68" s="166" t="s">
        <v>189</v>
      </c>
      <c r="H68" s="4"/>
      <c r="I68" s="4"/>
      <c r="J68" s="4"/>
      <c r="K68" s="4"/>
      <c r="L68" s="4"/>
      <c r="M68" s="230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6.5" customHeight="1">
      <c r="A69" s="230"/>
      <c r="B69" s="230"/>
      <c r="C69" s="230"/>
      <c r="D69" s="238" t="s">
        <v>296</v>
      </c>
      <c r="E69" s="238" t="s">
        <v>297</v>
      </c>
      <c r="F69" s="239" t="s">
        <v>298</v>
      </c>
      <c r="G69" s="166" t="s">
        <v>299</v>
      </c>
      <c r="H69" s="4"/>
      <c r="I69" s="238"/>
      <c r="J69" s="238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6.5" customHeight="1">
      <c r="A70" s="230"/>
      <c r="B70" s="230"/>
      <c r="C70" s="230"/>
      <c r="D70" s="238" t="s">
        <v>59</v>
      </c>
      <c r="E70" s="238" t="s">
        <v>202</v>
      </c>
      <c r="F70" s="239" t="s">
        <v>203</v>
      </c>
      <c r="G70" s="4"/>
      <c r="H70" s="4"/>
      <c r="I70" s="4"/>
      <c r="J70" s="4"/>
      <c r="K70" s="1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6.5" customHeight="1">
      <c r="A71" s="230">
        <v>0</v>
      </c>
      <c r="B71" s="230">
        <f>A71*3.3%</f>
        <v>0</v>
      </c>
      <c r="C71" s="230">
        <f>A71-B71</f>
        <v>0</v>
      </c>
      <c r="D71" s="238" t="s">
        <v>84</v>
      </c>
      <c r="E71" s="238" t="s">
        <v>215</v>
      </c>
      <c r="F71" s="239" t="s">
        <v>216</v>
      </c>
      <c r="G71" s="4"/>
      <c r="H71" s="4"/>
      <c r="I71" s="4"/>
      <c r="J71" s="4"/>
      <c r="K71" s="1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6.5" customHeight="1">
      <c r="A72" s="230"/>
      <c r="B72" s="230"/>
      <c r="C72" s="230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6.5" customHeight="1">
      <c r="A73" s="230">
        <f>급여대장!H80</f>
        <v>0</v>
      </c>
      <c r="B73" s="230">
        <f>A73*3.3%</f>
        <v>0</v>
      </c>
      <c r="C73" s="230">
        <f>A73-B73</f>
        <v>0</v>
      </c>
      <c r="D73" s="238" t="s">
        <v>59</v>
      </c>
      <c r="E73" s="238" t="s">
        <v>202</v>
      </c>
      <c r="F73" s="239" t="s">
        <v>203</v>
      </c>
      <c r="G73" s="4"/>
      <c r="H73" s="4"/>
      <c r="I73" s="4"/>
      <c r="J73" s="4"/>
      <c r="K73" s="1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6.5" customHeight="1">
      <c r="A74" s="230"/>
      <c r="B74" s="230"/>
      <c r="C74" s="230"/>
      <c r="D74" s="238" t="s">
        <v>54</v>
      </c>
      <c r="E74" s="238" t="s">
        <v>201</v>
      </c>
      <c r="F74" s="166" t="s">
        <v>199</v>
      </c>
      <c r="G74" s="166" t="s">
        <v>200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6.5" customHeight="1">
      <c r="A75" s="230"/>
      <c r="B75" s="230"/>
      <c r="C75" s="230"/>
      <c r="D75" s="238" t="s">
        <v>300</v>
      </c>
      <c r="E75" s="238" t="s">
        <v>301</v>
      </c>
      <c r="F75" s="166" t="s">
        <v>302</v>
      </c>
      <c r="G75" s="166" t="s">
        <v>200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6.5" customHeight="1">
      <c r="A76" s="230"/>
      <c r="B76" s="230"/>
      <c r="C76" s="230"/>
      <c r="D76" s="238" t="s">
        <v>197</v>
      </c>
      <c r="E76" s="238" t="s">
        <v>198</v>
      </c>
      <c r="F76" s="166" t="s">
        <v>199</v>
      </c>
      <c r="G76" s="166" t="s">
        <v>200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6.5" customHeight="1">
      <c r="A77" s="230"/>
      <c r="B77" s="230"/>
      <c r="C77" s="230"/>
      <c r="D77" s="238" t="s">
        <v>303</v>
      </c>
      <c r="E77" s="238" t="s">
        <v>304</v>
      </c>
      <c r="F77" s="166" t="s">
        <v>305</v>
      </c>
      <c r="G77" s="166" t="s">
        <v>200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s="475" customFormat="1" ht="16.5" customHeight="1">
      <c r="A78" s="230"/>
      <c r="B78" s="230"/>
      <c r="C78" s="230"/>
      <c r="D78" s="242" t="s">
        <v>423</v>
      </c>
      <c r="E78" s="242" t="s">
        <v>424</v>
      </c>
      <c r="F78" s="355" t="s">
        <v>425</v>
      </c>
      <c r="G78" s="355" t="s">
        <v>228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6.5" customHeight="1">
      <c r="A79" s="230"/>
      <c r="B79" s="230"/>
      <c r="C79" s="230"/>
      <c r="D79" s="238" t="s">
        <v>93</v>
      </c>
      <c r="E79" s="238" t="s">
        <v>306</v>
      </c>
      <c r="F79" s="166" t="s">
        <v>227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6.5" customHeight="1">
      <c r="A80" s="230"/>
      <c r="B80" s="230"/>
      <c r="C80" s="230"/>
      <c r="D80" s="238" t="s">
        <v>225</v>
      </c>
      <c r="E80" s="238" t="s">
        <v>226</v>
      </c>
      <c r="F80" s="166" t="s">
        <v>227</v>
      </c>
      <c r="G80" s="166" t="s">
        <v>228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6.5" customHeight="1">
      <c r="A81" s="230"/>
      <c r="B81" s="230"/>
      <c r="C81" s="230"/>
      <c r="D81" s="238" t="s">
        <v>97</v>
      </c>
      <c r="E81" s="238" t="s">
        <v>229</v>
      </c>
      <c r="F81" s="239" t="s">
        <v>230</v>
      </c>
      <c r="G81" s="4"/>
      <c r="H81" s="4"/>
      <c r="I81" s="4"/>
      <c r="J81" s="4"/>
      <c r="K81" s="1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6.5" customHeight="1">
      <c r="A82" s="230"/>
      <c r="B82" s="230"/>
      <c r="C82" s="230"/>
      <c r="D82" s="238" t="s">
        <v>69</v>
      </c>
      <c r="E82" s="238" t="s">
        <v>207</v>
      </c>
      <c r="F82" s="239" t="s">
        <v>208</v>
      </c>
      <c r="G82" s="4"/>
      <c r="H82" s="4"/>
      <c r="I82" s="4"/>
      <c r="J82" s="4"/>
      <c r="K82" s="1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6.5" customHeight="1">
      <c r="A83" s="230"/>
      <c r="B83" s="230"/>
      <c r="C83" s="230"/>
      <c r="D83" s="238" t="s">
        <v>78</v>
      </c>
      <c r="E83" s="238" t="s">
        <v>211</v>
      </c>
      <c r="F83" s="239" t="s">
        <v>212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6.5" customHeight="1">
      <c r="A84" s="230"/>
      <c r="B84" s="230"/>
      <c r="C84" s="230"/>
      <c r="D84" s="238" t="s">
        <v>307</v>
      </c>
      <c r="E84" s="238" t="s">
        <v>308</v>
      </c>
      <c r="F84" s="239" t="s">
        <v>221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6.5" customHeight="1">
      <c r="A85" s="230"/>
      <c r="B85" s="230"/>
      <c r="C85" s="230"/>
      <c r="D85" s="238" t="s">
        <v>117</v>
      </c>
      <c r="E85" s="238" t="s">
        <v>243</v>
      </c>
      <c r="F85" s="239" t="s">
        <v>244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s="321" customFormat="1" ht="16.5" customHeight="1">
      <c r="A86" s="230"/>
      <c r="B86" s="230"/>
      <c r="C86" s="230"/>
      <c r="D86" s="238" t="s">
        <v>383</v>
      </c>
      <c r="E86" s="238" t="s">
        <v>384</v>
      </c>
      <c r="F86" s="239" t="s">
        <v>385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6.5" customHeight="1">
      <c r="A87" s="230"/>
      <c r="B87" s="230"/>
      <c r="C87" s="230"/>
      <c r="D87" s="238"/>
      <c r="E87" s="238"/>
      <c r="F87" s="23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6.5" customHeight="1">
      <c r="A88" s="230"/>
      <c r="B88" s="230"/>
      <c r="C88" s="230"/>
      <c r="D88" s="248" t="s">
        <v>0</v>
      </c>
      <c r="E88" s="248" t="s">
        <v>309</v>
      </c>
      <c r="F88" s="92" t="s">
        <v>310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6.5" customHeight="1">
      <c r="A89" s="230"/>
      <c r="B89" s="230"/>
      <c r="C89" s="230"/>
      <c r="D89" s="238" t="s">
        <v>62</v>
      </c>
      <c r="E89" s="238" t="s">
        <v>204</v>
      </c>
      <c r="F89" s="239" t="s">
        <v>205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6.5" customHeight="1">
      <c r="A90" s="230"/>
      <c r="B90" s="230"/>
      <c r="C90" s="230"/>
      <c r="D90" s="238" t="s">
        <v>68</v>
      </c>
      <c r="E90" s="238" t="s">
        <v>311</v>
      </c>
      <c r="F90" s="239" t="s">
        <v>206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6.5" customHeight="1">
      <c r="A91" s="230"/>
      <c r="B91" s="230"/>
      <c r="C91" s="230"/>
      <c r="D91" s="238" t="s">
        <v>129</v>
      </c>
      <c r="E91" s="238" t="s">
        <v>249</v>
      </c>
      <c r="F91" s="239" t="s">
        <v>250</v>
      </c>
      <c r="G91" s="4"/>
      <c r="H91" s="4"/>
      <c r="I91" s="238"/>
      <c r="J91" s="238"/>
      <c r="K91" s="239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6.5" customHeight="1">
      <c r="A93" s="230"/>
      <c r="B93" s="230"/>
      <c r="C93" s="230"/>
      <c r="D93" s="238" t="s">
        <v>142</v>
      </c>
      <c r="E93" s="238" t="s">
        <v>255</v>
      </c>
      <c r="F93" s="239" t="s">
        <v>256</v>
      </c>
      <c r="G93" s="4"/>
      <c r="H93" s="4"/>
      <c r="I93" s="4"/>
      <c r="J93" s="4"/>
      <c r="K93" s="1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6.5" customHeight="1">
      <c r="A94" s="230"/>
      <c r="B94" s="230"/>
      <c r="C94" s="230"/>
      <c r="D94" s="238"/>
      <c r="E94" s="238"/>
      <c r="F94" s="239"/>
      <c r="G94" s="4"/>
      <c r="H94" s="4"/>
      <c r="I94" s="4"/>
      <c r="J94" s="4"/>
      <c r="K94" s="1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6.5" customHeight="1">
      <c r="A95" s="230"/>
      <c r="B95" s="230"/>
      <c r="C95" s="230"/>
      <c r="D95" s="238"/>
      <c r="E95" s="238"/>
      <c r="F95" s="239"/>
      <c r="G95" s="4"/>
      <c r="H95" s="4"/>
      <c r="I95" s="238"/>
      <c r="J95" s="238"/>
      <c r="K95" s="239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6.5" customHeight="1">
      <c r="A96" s="230"/>
      <c r="B96" s="230"/>
      <c r="C96" s="230"/>
      <c r="D96" s="238" t="s">
        <v>157</v>
      </c>
      <c r="E96" s="238" t="s">
        <v>263</v>
      </c>
      <c r="F96" s="239" t="s">
        <v>264</v>
      </c>
      <c r="G96" s="4"/>
      <c r="H96" s="4"/>
      <c r="I96" s="4"/>
      <c r="J96" s="4"/>
      <c r="K96" s="1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6.5" customHeight="1">
      <c r="A97" s="230"/>
      <c r="B97" s="230"/>
      <c r="C97" s="230"/>
      <c r="D97" s="238" t="s">
        <v>158</v>
      </c>
      <c r="E97" s="238" t="s">
        <v>265</v>
      </c>
      <c r="F97" s="239" t="s">
        <v>266</v>
      </c>
      <c r="G97" s="4"/>
      <c r="H97" s="4"/>
      <c r="I97" s="4"/>
      <c r="J97" s="4"/>
      <c r="K97" s="1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6.5" customHeight="1">
      <c r="A98" s="230"/>
      <c r="B98" s="230"/>
      <c r="C98" s="230"/>
      <c r="D98" s="238" t="s">
        <v>160</v>
      </c>
      <c r="E98" s="238" t="s">
        <v>267</v>
      </c>
      <c r="F98" s="239" t="s">
        <v>268</v>
      </c>
      <c r="G98" s="4"/>
      <c r="H98" s="4"/>
      <c r="I98" s="4"/>
      <c r="J98" s="4"/>
      <c r="K98" s="1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s="328" customFormat="1" ht="16.5" customHeight="1">
      <c r="A99" s="230"/>
      <c r="B99" s="230"/>
      <c r="C99" s="230"/>
      <c r="D99" s="238" t="s">
        <v>355</v>
      </c>
      <c r="E99" s="238" t="s">
        <v>358</v>
      </c>
      <c r="F99" s="239" t="s">
        <v>359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s="328" customFormat="1" ht="16.5" customHeight="1">
      <c r="A100" s="230"/>
      <c r="B100" s="230"/>
      <c r="C100" s="230"/>
      <c r="D100" s="238" t="s">
        <v>162</v>
      </c>
      <c r="E100" s="238" t="s">
        <v>269</v>
      </c>
      <c r="F100" s="239" t="s">
        <v>270</v>
      </c>
      <c r="G100" s="4"/>
      <c r="H100" s="4"/>
      <c r="I100" s="4"/>
      <c r="J100" s="4"/>
      <c r="K100" s="1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6.5" customHeight="1">
      <c r="A101" s="249"/>
      <c r="B101" s="4"/>
      <c r="C101" s="4"/>
      <c r="D101" s="238"/>
      <c r="E101" s="238"/>
      <c r="F101" s="23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6.5" customHeight="1">
      <c r="A102" s="249" t="s">
        <v>574</v>
      </c>
      <c r="B102" s="4"/>
      <c r="C102" s="4"/>
      <c r="D102" s="238"/>
      <c r="E102" s="238"/>
      <c r="F102" s="23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6.5" customHeight="1">
      <c r="A103" s="4"/>
      <c r="B103" s="4"/>
      <c r="C103" s="4"/>
      <c r="D103" s="238" t="s">
        <v>181</v>
      </c>
      <c r="E103" s="238" t="s">
        <v>312</v>
      </c>
      <c r="F103" s="239" t="s">
        <v>313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6.5" customHeight="1">
      <c r="A104" s="4"/>
      <c r="B104" s="4"/>
      <c r="C104" s="4"/>
      <c r="D104" s="238" t="s">
        <v>172</v>
      </c>
      <c r="E104" s="238" t="s">
        <v>314</v>
      </c>
      <c r="F104" s="239" t="s">
        <v>315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6.5" customHeight="1">
      <c r="A105" s="4"/>
      <c r="B105" s="4"/>
      <c r="C105" s="4"/>
      <c r="D105" s="238" t="s">
        <v>316</v>
      </c>
      <c r="E105" s="238" t="s">
        <v>317</v>
      </c>
      <c r="F105" s="239" t="s">
        <v>318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6.5" customHeight="1">
      <c r="A106" s="166"/>
      <c r="B106" s="230"/>
      <c r="C106" s="230"/>
      <c r="D106" s="238" t="s">
        <v>176</v>
      </c>
      <c r="E106" s="238" t="s">
        <v>290</v>
      </c>
      <c r="F106" s="239" t="s">
        <v>291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6.5" customHeight="1">
      <c r="A107" s="4"/>
      <c r="B107" s="4"/>
      <c r="C107" s="4"/>
      <c r="D107" s="238" t="s">
        <v>180</v>
      </c>
      <c r="E107" s="238" t="s">
        <v>319</v>
      </c>
      <c r="F107" s="239" t="s">
        <v>320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6.5" customHeight="1">
      <c r="A108" s="4"/>
      <c r="B108" s="4"/>
      <c r="C108" s="4"/>
      <c r="D108" s="238" t="s">
        <v>321</v>
      </c>
      <c r="E108" s="238" t="s">
        <v>322</v>
      </c>
      <c r="F108" s="239" t="s">
        <v>323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6.5" customHeight="1">
      <c r="A109" s="4"/>
      <c r="B109" s="4"/>
      <c r="C109" s="4"/>
      <c r="D109" s="238" t="s">
        <v>178</v>
      </c>
      <c r="E109" s="238" t="s">
        <v>324</v>
      </c>
      <c r="F109" s="239" t="s">
        <v>325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6.5" customHeight="1">
      <c r="A110" s="4"/>
      <c r="B110" s="4"/>
      <c r="C110" s="4"/>
      <c r="D110" s="238" t="s">
        <v>392</v>
      </c>
      <c r="E110" s="238" t="s">
        <v>393</v>
      </c>
      <c r="F110" s="4" t="s">
        <v>394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s="116" customFormat="1">
      <c r="A111" s="241"/>
      <c r="B111" s="241"/>
      <c r="C111" s="241"/>
      <c r="D111" s="4"/>
      <c r="E111" s="4"/>
      <c r="F111" s="4"/>
    </row>
    <row r="112" spans="1:26" s="562" customFormat="1" ht="16.5" customHeight="1">
      <c r="A112" s="230">
        <f>90000/0.967</f>
        <v>93071.354705274047</v>
      </c>
      <c r="B112" s="230">
        <f t="shared" ref="B112:B113" si="45">A112*3.3%</f>
        <v>3071.3547052740437</v>
      </c>
      <c r="C112" s="241">
        <f t="shared" ref="C112:C113" si="46">A112-B112</f>
        <v>90000</v>
      </c>
      <c r="D112" s="354" t="s">
        <v>411</v>
      </c>
      <c r="E112" s="116" t="s">
        <v>412</v>
      </c>
      <c r="F112" s="116" t="s">
        <v>413</v>
      </c>
      <c r="G112" s="166"/>
      <c r="H112" s="166"/>
      <c r="I112" s="4"/>
      <c r="J112" s="166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s="562" customFormat="1" ht="16.5" customHeight="1">
      <c r="A113" s="230">
        <f t="shared" ref="A113:A114" si="47">90000/0.967</f>
        <v>93071.354705274047</v>
      </c>
      <c r="B113" s="230">
        <f t="shared" si="45"/>
        <v>3071.3547052740437</v>
      </c>
      <c r="C113" s="241">
        <f t="shared" si="46"/>
        <v>90000</v>
      </c>
      <c r="D113" s="354" t="s">
        <v>346</v>
      </c>
      <c r="E113" s="116" t="s">
        <v>348</v>
      </c>
      <c r="F113" s="116" t="s">
        <v>347</v>
      </c>
      <c r="G113" s="166"/>
      <c r="H113" s="166"/>
      <c r="I113" s="4"/>
      <c r="J113" s="166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s="116" customFormat="1">
      <c r="A114" s="241">
        <f t="shared" si="47"/>
        <v>93071.354705274047</v>
      </c>
      <c r="B114" s="241">
        <f>A114*3.3%</f>
        <v>3071.3547052740437</v>
      </c>
      <c r="C114" s="241">
        <f>A114-B114</f>
        <v>90000</v>
      </c>
      <c r="D114" s="354" t="s">
        <v>594</v>
      </c>
      <c r="E114" s="116" t="s">
        <v>595</v>
      </c>
      <c r="F114" s="116" t="s">
        <v>596</v>
      </c>
      <c r="G114" s="166"/>
    </row>
    <row r="115" spans="1:26" s="501" customFormat="1" ht="16.5" customHeight="1">
      <c r="A115" s="241">
        <f>180000/0.967</f>
        <v>186142.70941054809</v>
      </c>
      <c r="B115" s="230">
        <f>A115*3.3%</f>
        <v>6142.7094105480874</v>
      </c>
      <c r="C115" s="230">
        <f>A115-B115</f>
        <v>180000</v>
      </c>
      <c r="D115" s="354" t="s">
        <v>536</v>
      </c>
      <c r="E115" s="116" t="s">
        <v>543</v>
      </c>
      <c r="F115" s="116" t="s">
        <v>544</v>
      </c>
      <c r="G115" s="166"/>
      <c r="H115" s="166"/>
      <c r="I115" s="4"/>
      <c r="J115" s="166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s="327" customFormat="1" ht="16.5" customHeight="1">
      <c r="A116" s="230">
        <f t="shared" ref="A116:A123" si="48">90000/0.967</f>
        <v>93071.354705274047</v>
      </c>
      <c r="B116" s="230">
        <f t="shared" ref="B116:B144" si="49">A116*3.3%</f>
        <v>3071.3547052740437</v>
      </c>
      <c r="C116" s="230">
        <f t="shared" ref="C116:C144" si="50">A116-B116</f>
        <v>90000</v>
      </c>
      <c r="D116" s="238" t="s">
        <v>326</v>
      </c>
      <c r="E116" s="238" t="s">
        <v>327</v>
      </c>
      <c r="F116" s="239" t="s">
        <v>328</v>
      </c>
      <c r="G116" s="166"/>
      <c r="H116" s="166"/>
      <c r="I116" s="4"/>
      <c r="J116" s="166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6.5" customHeight="1">
      <c r="A117" s="230">
        <f t="shared" si="48"/>
        <v>93071.354705274047</v>
      </c>
      <c r="B117" s="230">
        <f t="shared" si="49"/>
        <v>3071.3547052740437</v>
      </c>
      <c r="C117" s="230">
        <f t="shared" si="50"/>
        <v>90000</v>
      </c>
      <c r="D117" s="238" t="s">
        <v>366</v>
      </c>
      <c r="E117" s="238" t="s">
        <v>369</v>
      </c>
      <c r="F117" s="239" t="s">
        <v>370</v>
      </c>
      <c r="G117" s="166"/>
      <c r="H117" s="166"/>
      <c r="I117" s="4"/>
      <c r="J117" s="166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s="116" customFormat="1">
      <c r="A118" s="241">
        <f t="shared" si="48"/>
        <v>93071.354705274047</v>
      </c>
      <c r="B118" s="241">
        <f t="shared" si="49"/>
        <v>3071.3547052740437</v>
      </c>
      <c r="C118" s="241">
        <f t="shared" si="50"/>
        <v>90000</v>
      </c>
      <c r="D118" s="238" t="s">
        <v>329</v>
      </c>
      <c r="E118" s="238" t="s">
        <v>330</v>
      </c>
      <c r="F118" s="4" t="s">
        <v>331</v>
      </c>
    </row>
    <row r="119" spans="1:26" s="116" customFormat="1">
      <c r="A119" s="241">
        <f>90000/0.967</f>
        <v>93071.354705274047</v>
      </c>
      <c r="B119" s="241">
        <f>A119*3.3%</f>
        <v>3071.3547052740437</v>
      </c>
      <c r="C119" s="241">
        <f>A119-B119</f>
        <v>90000</v>
      </c>
      <c r="D119" s="238" t="s">
        <v>537</v>
      </c>
      <c r="E119" s="238" t="s">
        <v>545</v>
      </c>
      <c r="F119" s="4" t="s">
        <v>546</v>
      </c>
    </row>
    <row r="120" spans="1:26" s="116" customFormat="1">
      <c r="A120" s="241"/>
      <c r="B120" s="241"/>
      <c r="C120" s="241"/>
      <c r="D120" s="238" t="s">
        <v>597</v>
      </c>
      <c r="E120" s="238" t="s">
        <v>598</v>
      </c>
      <c r="F120" s="4" t="s">
        <v>599</v>
      </c>
    </row>
    <row r="121" spans="1:26" ht="16.5" customHeight="1">
      <c r="A121" s="230">
        <f t="shared" si="48"/>
        <v>93071.354705274047</v>
      </c>
      <c r="B121" s="230">
        <f t="shared" si="49"/>
        <v>3071.3547052740437</v>
      </c>
      <c r="C121" s="230">
        <f t="shared" si="50"/>
        <v>90000</v>
      </c>
      <c r="D121" s="354" t="s">
        <v>346</v>
      </c>
      <c r="E121" s="116" t="s">
        <v>348</v>
      </c>
      <c r="F121" s="116" t="s">
        <v>347</v>
      </c>
      <c r="G121" s="166"/>
      <c r="H121" s="166"/>
      <c r="I121" s="4"/>
      <c r="J121" s="166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s="116" customFormat="1">
      <c r="A122" s="241">
        <f t="shared" si="48"/>
        <v>93071.354705274047</v>
      </c>
      <c r="B122" s="241">
        <f>A122*3.3%</f>
        <v>3071.3547052740437</v>
      </c>
      <c r="C122" s="241">
        <f>A122-B122</f>
        <v>90000</v>
      </c>
      <c r="D122" s="354" t="s">
        <v>414</v>
      </c>
      <c r="E122" s="116" t="s">
        <v>415</v>
      </c>
      <c r="F122" s="116" t="s">
        <v>416</v>
      </c>
    </row>
    <row r="123" spans="1:26" s="116" customFormat="1" ht="16.5" customHeight="1">
      <c r="A123" s="241">
        <f t="shared" si="48"/>
        <v>93071.354705274047</v>
      </c>
      <c r="B123" s="241">
        <f t="shared" si="49"/>
        <v>3071.3547052740437</v>
      </c>
      <c r="C123" s="241">
        <f t="shared" si="50"/>
        <v>90000</v>
      </c>
      <c r="D123" s="238" t="s">
        <v>332</v>
      </c>
      <c r="E123" s="238" t="s">
        <v>333</v>
      </c>
      <c r="F123" s="239" t="s">
        <v>334</v>
      </c>
      <c r="G123" s="355"/>
      <c r="H123" s="355"/>
      <c r="I123" s="115"/>
      <c r="J123" s="35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</row>
    <row r="124" spans="1:26" s="116" customFormat="1" ht="16.5" customHeight="1">
      <c r="A124" s="241">
        <f>180000/0.967</f>
        <v>186142.70941054809</v>
      </c>
      <c r="B124" s="241">
        <f t="shared" ref="B124:B125" si="51">A124*3.3%</f>
        <v>6142.7094105480874</v>
      </c>
      <c r="C124" s="241">
        <f t="shared" ref="C124:C125" si="52">A124-B124</f>
        <v>180000</v>
      </c>
      <c r="D124" s="242" t="s">
        <v>498</v>
      </c>
      <c r="E124" s="242" t="s">
        <v>499</v>
      </c>
      <c r="F124" s="115" t="s">
        <v>500</v>
      </c>
      <c r="G124" s="355"/>
      <c r="H124" s="355"/>
      <c r="I124" s="115"/>
      <c r="J124" s="35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</row>
    <row r="125" spans="1:26" s="116" customFormat="1">
      <c r="A125" s="241">
        <f t="shared" ref="A125" si="53">90000/0.967</f>
        <v>93071.354705274047</v>
      </c>
      <c r="B125" s="241">
        <f t="shared" si="51"/>
        <v>3071.3547052740437</v>
      </c>
      <c r="C125" s="241">
        <f t="shared" si="52"/>
        <v>90000</v>
      </c>
      <c r="D125" s="238" t="s">
        <v>600</v>
      </c>
      <c r="E125" s="238" t="s">
        <v>601</v>
      </c>
      <c r="F125" s="4" t="s">
        <v>602</v>
      </c>
    </row>
    <row r="126" spans="1:26" s="116" customFormat="1">
      <c r="A126" s="241">
        <f>180000/0.967</f>
        <v>186142.70941054809</v>
      </c>
      <c r="B126" s="241">
        <f t="shared" ref="B126" si="54">A126*3.3%</f>
        <v>6142.7094105480874</v>
      </c>
      <c r="C126" s="241">
        <f t="shared" ref="C126" si="55">A126-B126</f>
        <v>180000</v>
      </c>
      <c r="D126" s="238" t="s">
        <v>508</v>
      </c>
      <c r="E126" s="238" t="s">
        <v>509</v>
      </c>
      <c r="F126" s="4" t="s">
        <v>510</v>
      </c>
    </row>
    <row r="127" spans="1:26" ht="16.5" customHeight="1">
      <c r="A127" s="230">
        <f>270000/0.967</f>
        <v>279214.06411582214</v>
      </c>
      <c r="B127" s="230">
        <f t="shared" si="49"/>
        <v>9214.0641158221315</v>
      </c>
      <c r="C127" s="230">
        <f t="shared" si="50"/>
        <v>270000</v>
      </c>
      <c r="D127" s="242" t="s">
        <v>368</v>
      </c>
      <c r="E127" s="242" t="s">
        <v>371</v>
      </c>
      <c r="F127" s="243" t="s">
        <v>372</v>
      </c>
      <c r="G127" s="166"/>
      <c r="H127" s="166"/>
      <c r="I127" s="4"/>
      <c r="J127" s="166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6.5" customHeight="1">
      <c r="A128" s="241">
        <f>90000/0.967</f>
        <v>93071.354705274047</v>
      </c>
      <c r="B128" s="241">
        <f t="shared" si="49"/>
        <v>3071.3547052740437</v>
      </c>
      <c r="C128" s="241">
        <f t="shared" si="50"/>
        <v>90000</v>
      </c>
      <c r="D128" s="238" t="s">
        <v>335</v>
      </c>
      <c r="E128" s="238" t="s">
        <v>336</v>
      </c>
      <c r="F128" s="239" t="s">
        <v>337</v>
      </c>
      <c r="G128" s="166"/>
      <c r="H128" s="166"/>
      <c r="I128" s="4"/>
      <c r="J128" s="166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6.5" customHeight="1">
      <c r="A129" s="230">
        <f>50000/0.967</f>
        <v>51706.30816959669</v>
      </c>
      <c r="B129" s="230">
        <f t="shared" si="49"/>
        <v>1706.308169596691</v>
      </c>
      <c r="C129" s="241">
        <f t="shared" si="50"/>
        <v>50000</v>
      </c>
      <c r="D129" s="242" t="s">
        <v>338</v>
      </c>
      <c r="E129" s="242"/>
      <c r="F129" s="243"/>
      <c r="G129" s="166"/>
      <c r="H129" s="166"/>
      <c r="I129" s="4"/>
      <c r="J129" s="166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6.5" customHeight="1">
      <c r="A130" s="230">
        <f>90000/0.967</f>
        <v>93071.354705274047</v>
      </c>
      <c r="B130" s="230">
        <f t="shared" si="49"/>
        <v>3071.3547052740437</v>
      </c>
      <c r="C130" s="241">
        <f t="shared" si="50"/>
        <v>90000</v>
      </c>
      <c r="D130" s="238" t="s">
        <v>271</v>
      </c>
      <c r="E130" s="238" t="s">
        <v>272</v>
      </c>
      <c r="F130" s="239" t="s">
        <v>273</v>
      </c>
      <c r="G130" s="166"/>
      <c r="H130" s="166"/>
      <c r="I130" s="4"/>
      <c r="J130" s="166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s="116" customFormat="1">
      <c r="A131" s="241">
        <f>90000/0.967</f>
        <v>93071.354705274047</v>
      </c>
      <c r="B131" s="241">
        <f t="shared" si="49"/>
        <v>3071.3547052740437</v>
      </c>
      <c r="C131" s="241">
        <f t="shared" si="50"/>
        <v>90000</v>
      </c>
      <c r="D131" s="238" t="s">
        <v>274</v>
      </c>
      <c r="E131" s="238" t="s">
        <v>275</v>
      </c>
      <c r="F131" s="239" t="s">
        <v>276</v>
      </c>
    </row>
    <row r="132" spans="1:26" s="459" customFormat="1" ht="16.5" customHeight="1">
      <c r="A132" s="241">
        <f>70000/0.967</f>
        <v>72388.831437435365</v>
      </c>
      <c r="B132" s="241">
        <f>A132*3.3%</f>
        <v>2388.8314374353672</v>
      </c>
      <c r="C132" s="241">
        <f>A132-B132</f>
        <v>70000</v>
      </c>
      <c r="D132" s="242" t="s">
        <v>286</v>
      </c>
      <c r="E132" s="242" t="s">
        <v>287</v>
      </c>
      <c r="F132" s="244" t="s">
        <v>288</v>
      </c>
      <c r="G132" s="166"/>
      <c r="H132" s="166"/>
      <c r="I132" s="4"/>
      <c r="J132" s="166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s="116" customFormat="1" ht="16.5" customHeight="1">
      <c r="A133" s="230">
        <f>90000/0.967</f>
        <v>93071.354705274047</v>
      </c>
      <c r="B133" s="230">
        <f>A133*3.3%</f>
        <v>3071.3547052740437</v>
      </c>
      <c r="C133" s="230">
        <f>A133-B133</f>
        <v>90000</v>
      </c>
      <c r="D133" s="354" t="s">
        <v>386</v>
      </c>
      <c r="E133" s="116" t="s">
        <v>387</v>
      </c>
      <c r="F133" s="116" t="s">
        <v>388</v>
      </c>
      <c r="G133" s="355"/>
      <c r="H133" s="355"/>
      <c r="I133" s="115"/>
      <c r="J133" s="35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</row>
    <row r="134" spans="1:26" ht="16.5" customHeight="1">
      <c r="A134" s="230">
        <f>90000/0.967</f>
        <v>93071.354705274047</v>
      </c>
      <c r="B134" s="230">
        <f t="shared" si="49"/>
        <v>3071.3547052740437</v>
      </c>
      <c r="C134" s="241">
        <f t="shared" si="50"/>
        <v>90000</v>
      </c>
      <c r="D134" s="242" t="s">
        <v>426</v>
      </c>
      <c r="E134" s="242" t="s">
        <v>427</v>
      </c>
      <c r="F134" s="115" t="s">
        <v>428</v>
      </c>
      <c r="G134" s="166"/>
      <c r="H134" s="166"/>
      <c r="I134" s="4"/>
      <c r="J134" s="166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6.5" customHeight="1">
      <c r="A135" s="230">
        <f>180000/0.967</f>
        <v>186142.70941054809</v>
      </c>
      <c r="B135" s="230">
        <f t="shared" si="49"/>
        <v>6142.7094105480874</v>
      </c>
      <c r="C135" s="241">
        <f t="shared" si="50"/>
        <v>180000</v>
      </c>
      <c r="D135" s="238" t="s">
        <v>277</v>
      </c>
      <c r="E135" s="238" t="s">
        <v>278</v>
      </c>
      <c r="F135" s="239" t="s">
        <v>279</v>
      </c>
      <c r="G135" s="166"/>
      <c r="H135" s="166"/>
      <c r="I135" s="4"/>
      <c r="J135" s="166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s="327" customFormat="1" ht="16.5" customHeight="1">
      <c r="A136" s="230">
        <f>90000/0.967</f>
        <v>93071.354705274047</v>
      </c>
      <c r="B136" s="230">
        <f t="shared" si="49"/>
        <v>3071.3547052740437</v>
      </c>
      <c r="C136" s="241">
        <f t="shared" si="50"/>
        <v>90000</v>
      </c>
      <c r="D136" s="238" t="s">
        <v>280</v>
      </c>
      <c r="E136" s="238" t="s">
        <v>281</v>
      </c>
      <c r="F136" s="239" t="s">
        <v>282</v>
      </c>
      <c r="G136" s="166"/>
      <c r="H136" s="166"/>
      <c r="I136" s="4"/>
      <c r="J136" s="166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s="116" customFormat="1" ht="16.5" customHeight="1">
      <c r="A137" s="241">
        <f>90000/0.967</f>
        <v>93071.354705274047</v>
      </c>
      <c r="B137" s="230">
        <f t="shared" ref="B137" si="56">A137*3.3%</f>
        <v>3071.3547052740437</v>
      </c>
      <c r="C137" s="230">
        <f t="shared" ref="C137" si="57">A137-B137</f>
        <v>90000</v>
      </c>
      <c r="D137" s="242" t="s">
        <v>389</v>
      </c>
      <c r="E137" s="242" t="s">
        <v>390</v>
      </c>
      <c r="F137" s="115" t="s">
        <v>391</v>
      </c>
      <c r="G137" s="355"/>
      <c r="H137" s="355"/>
      <c r="I137" s="115"/>
      <c r="J137" s="35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</row>
    <row r="138" spans="1:26" s="116" customFormat="1" ht="17.25" customHeight="1">
      <c r="A138" s="241">
        <f t="shared" ref="A138" si="58">90000/0.967</f>
        <v>93071.354705274047</v>
      </c>
      <c r="B138" s="241">
        <f>A138*3.3%</f>
        <v>3071.3547052740437</v>
      </c>
      <c r="C138" s="241">
        <f>A138-B138</f>
        <v>90000</v>
      </c>
      <c r="D138" s="242" t="s">
        <v>567</v>
      </c>
      <c r="E138" s="242" t="s">
        <v>568</v>
      </c>
      <c r="F138" s="115" t="s">
        <v>569</v>
      </c>
      <c r="G138" s="355"/>
      <c r="H138" s="355"/>
      <c r="I138" s="115"/>
      <c r="J138" s="35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</row>
    <row r="139" spans="1:26" s="546" customFormat="1" ht="16.5" customHeight="1">
      <c r="A139" s="241">
        <f t="shared" ref="A139" si="59">90000/0.967</f>
        <v>93071.354705274047</v>
      </c>
      <c r="B139" s="230">
        <f t="shared" ref="B139" si="60">A139*3.3%</f>
        <v>3071.3547052740437</v>
      </c>
      <c r="C139" s="241">
        <f t="shared" ref="C139" si="61">A139-B139</f>
        <v>90000</v>
      </c>
      <c r="D139" s="238" t="s">
        <v>603</v>
      </c>
      <c r="E139" s="238" t="s">
        <v>604</v>
      </c>
      <c r="F139" s="239" t="s">
        <v>605</v>
      </c>
      <c r="G139" s="166"/>
      <c r="H139" s="166"/>
      <c r="I139" s="4"/>
      <c r="J139" s="166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s="116" customFormat="1" ht="16.5" customHeight="1">
      <c r="A140" s="241">
        <f>180000/0.967</f>
        <v>186142.70941054809</v>
      </c>
      <c r="B140" s="241">
        <f>A140*3.3%</f>
        <v>6142.7094105480874</v>
      </c>
      <c r="C140" s="241">
        <f>A140-B140</f>
        <v>180000</v>
      </c>
      <c r="D140" s="242" t="s">
        <v>429</v>
      </c>
      <c r="E140" s="242" t="s">
        <v>430</v>
      </c>
      <c r="F140" s="115" t="s">
        <v>431</v>
      </c>
      <c r="G140" s="355"/>
      <c r="H140" s="355"/>
      <c r="I140" s="115"/>
      <c r="J140" s="35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</row>
    <row r="141" spans="1:26" s="459" customFormat="1" ht="18.75" customHeight="1">
      <c r="A141" s="241">
        <f>180000/0.967</f>
        <v>186142.70941054809</v>
      </c>
      <c r="B141" s="241">
        <f t="shared" ref="B141" si="62">A141*3.3%</f>
        <v>6142.7094105480874</v>
      </c>
      <c r="C141" s="241">
        <f t="shared" ref="C141" si="63">A141-B141</f>
        <v>180000</v>
      </c>
      <c r="D141" s="238" t="s">
        <v>138</v>
      </c>
      <c r="E141" s="238" t="s">
        <v>345</v>
      </c>
      <c r="F141" s="411" t="s">
        <v>253</v>
      </c>
      <c r="G141" s="4"/>
      <c r="H141" s="4"/>
      <c r="I141" s="4"/>
      <c r="J141" s="4"/>
      <c r="K141" s="1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6.5" customHeight="1">
      <c r="A142" s="241">
        <f>180000/0.967</f>
        <v>186142.70941054809</v>
      </c>
      <c r="B142" s="241">
        <f t="shared" si="49"/>
        <v>6142.7094105480874</v>
      </c>
      <c r="C142" s="241">
        <f t="shared" si="50"/>
        <v>180000</v>
      </c>
      <c r="D142" s="238" t="s">
        <v>367</v>
      </c>
      <c r="E142" s="238" t="s">
        <v>373</v>
      </c>
      <c r="F142" s="4" t="s">
        <v>374</v>
      </c>
      <c r="G142" s="166"/>
      <c r="H142" s="166"/>
      <c r="I142" s="4"/>
      <c r="J142" s="166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6.5" customHeight="1">
      <c r="A143" s="241">
        <f>70000/0.967</f>
        <v>72388.831437435365</v>
      </c>
      <c r="B143" s="241">
        <f t="shared" si="49"/>
        <v>2388.8314374353672</v>
      </c>
      <c r="C143" s="241">
        <f t="shared" si="50"/>
        <v>70000</v>
      </c>
      <c r="D143" s="242" t="s">
        <v>283</v>
      </c>
      <c r="E143" s="242" t="s">
        <v>284</v>
      </c>
      <c r="F143" s="243" t="s">
        <v>285</v>
      </c>
      <c r="G143" s="166"/>
      <c r="H143" s="166"/>
      <c r="I143" s="4"/>
      <c r="J143" s="166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s="116" customFormat="1">
      <c r="A144" s="241">
        <f>90000/0.967</f>
        <v>93071.354705274047</v>
      </c>
      <c r="B144" s="241">
        <f t="shared" si="49"/>
        <v>3071.3547052740437</v>
      </c>
      <c r="C144" s="241">
        <f t="shared" si="50"/>
        <v>90000</v>
      </c>
      <c r="D144" s="242" t="s">
        <v>286</v>
      </c>
      <c r="E144" s="242" t="s">
        <v>287</v>
      </c>
      <c r="F144" s="244" t="s">
        <v>288</v>
      </c>
    </row>
    <row r="145" spans="1:26" ht="16.5" customHeight="1">
      <c r="A145" s="4"/>
      <c r="B145" s="4"/>
      <c r="C145" s="4"/>
      <c r="D145" s="354" t="s">
        <v>349</v>
      </c>
      <c r="E145" s="116" t="s">
        <v>350</v>
      </c>
      <c r="F145" s="116" t="s">
        <v>351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s="546" customFormat="1" ht="18.75" customHeight="1">
      <c r="A146" s="241">
        <f t="shared" ref="A146:A148" si="64">90000/0.967</f>
        <v>93071.354705274047</v>
      </c>
      <c r="B146" s="230">
        <f t="shared" ref="B146:B148" si="65">A146*3.3%</f>
        <v>3071.3547052740437</v>
      </c>
      <c r="C146" s="241">
        <f t="shared" ref="C146:C148" si="66">A146-B146</f>
        <v>90000</v>
      </c>
      <c r="D146" s="238" t="s">
        <v>606</v>
      </c>
      <c r="E146" s="238" t="s">
        <v>607</v>
      </c>
      <c r="F146" s="411" t="s">
        <v>608</v>
      </c>
      <c r="G146" s="4"/>
      <c r="H146" s="4"/>
      <c r="I146" s="4"/>
      <c r="J146" s="4"/>
      <c r="K146" s="1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s="546" customFormat="1" ht="18.75" customHeight="1">
      <c r="A147" s="241">
        <f t="shared" si="64"/>
        <v>93071.354705274047</v>
      </c>
      <c r="B147" s="230">
        <f t="shared" si="65"/>
        <v>3071.3547052740437</v>
      </c>
      <c r="C147" s="241">
        <f t="shared" si="66"/>
        <v>90000</v>
      </c>
      <c r="D147" s="238" t="s">
        <v>612</v>
      </c>
      <c r="E147" s="238" t="s">
        <v>613</v>
      </c>
      <c r="F147" s="411" t="s">
        <v>614</v>
      </c>
      <c r="G147" s="4"/>
      <c r="H147" s="4"/>
      <c r="I147" s="4"/>
      <c r="J147" s="4"/>
      <c r="K147" s="1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s="562" customFormat="1" ht="18.75" customHeight="1">
      <c r="A148" s="241">
        <f t="shared" si="64"/>
        <v>93071.354705274047</v>
      </c>
      <c r="B148" s="230">
        <f t="shared" si="65"/>
        <v>3071.3547052740437</v>
      </c>
      <c r="C148" s="241">
        <f t="shared" si="66"/>
        <v>90000</v>
      </c>
      <c r="D148" s="238" t="s">
        <v>609</v>
      </c>
      <c r="E148" s="238" t="s">
        <v>610</v>
      </c>
      <c r="F148" s="411" t="s">
        <v>611</v>
      </c>
      <c r="G148" s="4"/>
      <c r="H148" s="4"/>
      <c r="I148" s="4"/>
      <c r="J148" s="4"/>
      <c r="K148" s="1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6.5" customHeight="1">
      <c r="A149" s="4"/>
      <c r="B149" s="4"/>
      <c r="C149" s="4"/>
      <c r="D149" s="238"/>
      <c r="E149" s="238"/>
      <c r="F149" s="239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6.5" customHeight="1">
      <c r="A150" s="4"/>
      <c r="B150" s="4"/>
      <c r="C150" s="4"/>
      <c r="D150" s="238"/>
      <c r="E150" s="238"/>
      <c r="F150" s="239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6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6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6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6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6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6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6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6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6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6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6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6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6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6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6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6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6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6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6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6.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6.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6.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6.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6.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6.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6.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6.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6.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6.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6.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6.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6.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6.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6.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6.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6.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6.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6.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6.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6.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6.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6.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6.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6.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6.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6.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6.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6.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6.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6.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6.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6.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6.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6.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6.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6.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6.5" customHeight="1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6.5" customHeight="1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>
      <c r="D1040" s="4"/>
      <c r="E1040" s="4"/>
      <c r="F1040" s="4"/>
    </row>
  </sheetData>
  <phoneticPr fontId="2" type="noConversion"/>
  <pageMargins left="0.7" right="0.7" top="0.75" bottom="0.75" header="0.3" footer="0.3"/>
  <pageSetup paperSize="9" orientation="portrait" r:id="rId1"/>
  <ignoredErrors>
    <ignoredError sqref="A40 A5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급여대장</vt:lpstr>
      <vt:lpstr>계약포상계산</vt:lpstr>
      <vt:lpstr>소득신고</vt:lpstr>
      <vt:lpstr>급여대장!Print_Area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user456</dc:creator>
  <cp:lastModifiedBy>CHU</cp:lastModifiedBy>
  <cp:lastPrinted>2026-02-05T00:33:54Z</cp:lastPrinted>
  <dcterms:created xsi:type="dcterms:W3CDTF">2025-02-26T01:45:12Z</dcterms:created>
  <dcterms:modified xsi:type="dcterms:W3CDTF">2026-02-05T08:22:57Z</dcterms:modified>
</cp:coreProperties>
</file>