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CHU\Desktop\"/>
    </mc:Choice>
  </mc:AlternateContent>
  <bookViews>
    <workbookView xWindow="0" yWindow="0" windowWidth="28800" windowHeight="12135"/>
  </bookViews>
  <sheets>
    <sheet name="엘앤씨 2018,2019" sheetId="1" r:id="rId1"/>
  </sheets>
  <definedNames>
    <definedName name="_xlnm._FilterDatabase" localSheetId="0" hidden="1">'엘앤씨 2018,2019'!$A$1:$S$324</definedName>
  </definedNames>
  <calcPr calcId="162913"/>
  <extLst>
    <ext uri="GoogleSheetsCustomDataVersion2">
      <go:sheetsCustomData xmlns:go="http://customooxmlschemas.google.com/" r:id="rId5" roundtripDataChecksum="VA3iPcwpK/ok/FHZdTakRmSODrytTW0DcuOSEHKbyUQ="/>
    </ext>
  </extLst>
</workbook>
</file>

<file path=xl/calcChain.xml><?xml version="1.0" encoding="utf-8"?>
<calcChain xmlns="http://schemas.openxmlformats.org/spreadsheetml/2006/main">
  <c r="J317" i="1" l="1"/>
  <c r="J318" i="1"/>
  <c r="J319" i="1"/>
  <c r="J320" i="1"/>
  <c r="J321" i="1"/>
  <c r="J322" i="1"/>
  <c r="J323" i="1"/>
  <c r="P323" i="1" l="1"/>
  <c r="R323" i="1" s="1"/>
  <c r="P322" i="1"/>
  <c r="R322" i="1" s="1"/>
  <c r="P321" i="1" l="1"/>
  <c r="R321" i="1" s="1"/>
  <c r="P320" i="1"/>
  <c r="R320" i="1" s="1"/>
  <c r="J316" i="1"/>
  <c r="P316" i="1" s="1"/>
  <c r="R316" i="1" s="1"/>
  <c r="J315" i="1" l="1"/>
  <c r="J314" i="1"/>
  <c r="P314" i="1" s="1"/>
  <c r="R314" i="1" s="1"/>
  <c r="J313" i="1"/>
  <c r="J312" i="1"/>
  <c r="P312" i="1" s="1"/>
  <c r="P315" i="1" l="1"/>
  <c r="R315" i="1" s="1"/>
  <c r="P313" i="1"/>
  <c r="R313" i="1" s="1"/>
  <c r="R312" i="1"/>
  <c r="J311" i="1"/>
  <c r="P311" i="1" l="1"/>
  <c r="R311" i="1" s="1"/>
  <c r="J308" i="1"/>
  <c r="P308" i="1" s="1"/>
  <c r="R308" i="1" s="1"/>
  <c r="J307" i="1"/>
  <c r="P307" i="1" s="1"/>
  <c r="R307" i="1" s="1"/>
  <c r="J306" i="1"/>
  <c r="P306" i="1" s="1"/>
  <c r="R306" i="1" s="1"/>
  <c r="J304" i="1" l="1"/>
  <c r="P304" i="1" s="1"/>
  <c r="R304" i="1" s="1"/>
  <c r="J303" i="1"/>
  <c r="J302" i="1"/>
  <c r="P302" i="1" s="1"/>
  <c r="J301" i="1"/>
  <c r="P301" i="1" s="1"/>
  <c r="R301" i="1" s="1"/>
  <c r="J305" i="1"/>
  <c r="P303" i="1" l="1"/>
  <c r="R303" i="1" s="1"/>
  <c r="R302" i="1"/>
  <c r="P305" i="1"/>
  <c r="R305" i="1" s="1"/>
  <c r="J295" i="1" l="1"/>
  <c r="P295" i="1" s="1"/>
  <c r="R295" i="1" s="1"/>
  <c r="J294" i="1"/>
  <c r="P294" i="1" l="1"/>
  <c r="R294" i="1" s="1"/>
  <c r="J293" i="1"/>
  <c r="P293" i="1" s="1"/>
  <c r="J292" i="1"/>
  <c r="J291" i="1"/>
  <c r="P291" i="1" s="1"/>
  <c r="R291" i="1" s="1"/>
  <c r="R293" i="1" l="1"/>
  <c r="P292" i="1"/>
  <c r="R292" i="1" s="1"/>
  <c r="J290" i="1"/>
  <c r="P290" i="1" l="1"/>
  <c r="R290" i="1" s="1"/>
  <c r="J288" i="1"/>
  <c r="J287" i="1"/>
  <c r="P288" i="1" l="1"/>
  <c r="R288" i="1" s="1"/>
  <c r="P287" i="1"/>
  <c r="R287" i="1" s="1"/>
  <c r="J286" i="1" l="1"/>
  <c r="J285" i="1"/>
  <c r="P286" i="1" l="1"/>
  <c r="R286" i="1" s="1"/>
  <c r="P285" i="1"/>
  <c r="R285" i="1" s="1"/>
  <c r="J283" i="1" l="1"/>
  <c r="P283" i="1" s="1"/>
  <c r="R283" i="1" s="1"/>
  <c r="J282" i="1" l="1"/>
  <c r="P282" i="1" s="1"/>
  <c r="R282" i="1" s="1"/>
  <c r="J280" i="1"/>
  <c r="P280" i="1" s="1"/>
  <c r="J279" i="1"/>
  <c r="P279" i="1" s="1"/>
  <c r="J278" i="1"/>
  <c r="J289" i="1"/>
  <c r="P289" i="1" s="1"/>
  <c r="P255" i="1"/>
  <c r="P256" i="1"/>
  <c r="P258" i="1"/>
  <c r="J276" i="1"/>
  <c r="P276" i="1" s="1"/>
  <c r="R276" i="1" s="1"/>
  <c r="J275" i="1"/>
  <c r="P275" i="1" s="1"/>
  <c r="R280" i="1" l="1"/>
  <c r="R279" i="1"/>
  <c r="P278" i="1"/>
  <c r="R278" i="1" s="1"/>
  <c r="R275" i="1"/>
  <c r="J277" i="1" l="1"/>
  <c r="P277" i="1" s="1"/>
  <c r="P319" i="1"/>
  <c r="P318" i="1"/>
  <c r="P317" i="1" l="1"/>
  <c r="J274" i="1"/>
  <c r="P274" i="1" s="1"/>
  <c r="J273" i="1"/>
  <c r="P273" i="1" s="1"/>
  <c r="R273" i="1" l="1"/>
  <c r="R274" i="1"/>
  <c r="J272" i="1" l="1"/>
  <c r="P272" i="1" s="1"/>
  <c r="J271" i="1"/>
  <c r="P271" i="1" s="1"/>
  <c r="J270" i="1"/>
  <c r="P270" i="1" s="1"/>
  <c r="R272" i="1" l="1"/>
  <c r="R271" i="1"/>
  <c r="R270" i="1"/>
  <c r="J310" i="1"/>
  <c r="P310" i="1" s="1"/>
  <c r="J309" i="1" l="1"/>
  <c r="P309" i="1" s="1"/>
  <c r="J300" i="1"/>
  <c r="P300" i="1" s="1"/>
  <c r="J299" i="1"/>
  <c r="P299" i="1" s="1"/>
  <c r="J298" i="1"/>
  <c r="P298" i="1" s="1"/>
  <c r="J297" i="1"/>
  <c r="P297" i="1" s="1"/>
  <c r="J296" i="1" l="1"/>
  <c r="P296" i="1" s="1"/>
  <c r="J269" i="1"/>
  <c r="P269" i="1" s="1"/>
  <c r="J284" i="1"/>
  <c r="P284" i="1" s="1"/>
  <c r="J268" i="1"/>
  <c r="J267" i="1"/>
  <c r="P268" i="1" l="1"/>
  <c r="R268" i="1" s="1"/>
  <c r="P267" i="1"/>
  <c r="R267" i="1" s="1"/>
  <c r="R269" i="1"/>
  <c r="J265" i="1" l="1"/>
  <c r="J264" i="1"/>
  <c r="J263" i="1"/>
  <c r="P264" i="1" l="1"/>
  <c r="R264" i="1" s="1"/>
  <c r="P263" i="1"/>
  <c r="R263" i="1" s="1"/>
  <c r="P265" i="1"/>
  <c r="R265" i="1" s="1"/>
  <c r="J262" i="1"/>
  <c r="J261" i="1"/>
  <c r="P261" i="1" l="1"/>
  <c r="R261" i="1" s="1"/>
  <c r="P262" i="1"/>
  <c r="R262" i="1" s="1"/>
  <c r="J260" i="1"/>
  <c r="P260" i="1" l="1"/>
  <c r="R260" i="1" s="1"/>
  <c r="J259" i="1"/>
  <c r="P259" i="1" s="1"/>
  <c r="R259" i="1" l="1"/>
  <c r="J257" i="1"/>
  <c r="P257" i="1" s="1"/>
  <c r="R257" i="1" l="1"/>
  <c r="J281" i="1"/>
  <c r="P281" i="1" s="1"/>
  <c r="J254" i="1"/>
  <c r="P254" i="1" l="1"/>
  <c r="R254" i="1" s="1"/>
  <c r="J253" i="1"/>
  <c r="J252" i="1"/>
  <c r="P252" i="1" s="1"/>
  <c r="R252" i="1" s="1"/>
  <c r="J251" i="1"/>
  <c r="J250" i="1"/>
  <c r="P250" i="1" s="1"/>
  <c r="R250" i="1" s="1"/>
  <c r="J249" i="1"/>
  <c r="J248" i="1"/>
  <c r="J244" i="1"/>
  <c r="P244" i="1" s="1"/>
  <c r="R244" i="1" s="1"/>
  <c r="J243" i="1"/>
  <c r="P243" i="1" s="1"/>
  <c r="P253" i="1" l="1"/>
  <c r="R253" i="1" s="1"/>
  <c r="P251" i="1"/>
  <c r="R251" i="1" s="1"/>
  <c r="P249" i="1"/>
  <c r="R249" i="1" s="1"/>
  <c r="P248" i="1"/>
  <c r="R248" i="1" s="1"/>
  <c r="R243" i="1"/>
  <c r="J241" i="1" l="1"/>
  <c r="P241" i="1" s="1"/>
  <c r="R241" i="1" s="1"/>
  <c r="J240" i="1" l="1"/>
  <c r="P240" i="1" s="1"/>
  <c r="R240" i="1" s="1"/>
  <c r="J239" i="1" l="1"/>
  <c r="P239" i="1" s="1"/>
  <c r="R239" i="1" s="1"/>
  <c r="J238" i="1" l="1"/>
  <c r="J236" i="1"/>
  <c r="P236" i="1" s="1"/>
  <c r="R236" i="1" s="1"/>
  <c r="P238" i="1" l="1"/>
  <c r="R238" i="1" s="1"/>
  <c r="J235" i="1"/>
  <c r="P235" i="1" s="1"/>
  <c r="R235" i="1" s="1"/>
  <c r="J233" i="1"/>
  <c r="P233" i="1" s="1"/>
  <c r="R233" i="1" s="1"/>
  <c r="J234" i="1" l="1"/>
  <c r="P234" i="1" s="1"/>
  <c r="R234" i="1" s="1"/>
  <c r="J266" i="1"/>
  <c r="P266" i="1" s="1"/>
  <c r="J226" i="1"/>
  <c r="P226" i="1" s="1"/>
  <c r="R226" i="1" s="1"/>
  <c r="J225" i="1" l="1"/>
  <c r="P225" i="1" l="1"/>
  <c r="R225" i="1" s="1"/>
  <c r="J237" i="1" l="1"/>
  <c r="J242" i="1"/>
  <c r="J224" i="1"/>
  <c r="P224" i="1" l="1"/>
  <c r="R224" i="1" s="1"/>
  <c r="J221" i="1"/>
  <c r="J220" i="1"/>
  <c r="P220" i="1" s="1"/>
  <c r="R220" i="1" l="1"/>
  <c r="P221" i="1"/>
  <c r="R221" i="1" s="1"/>
  <c r="J219" i="1" l="1"/>
  <c r="P219" i="1" s="1"/>
  <c r="R219" i="1" s="1"/>
  <c r="J218" i="1" l="1"/>
  <c r="P218" i="1" s="1"/>
  <c r="R218" i="1" s="1"/>
  <c r="J217" i="1"/>
  <c r="P217" i="1" s="1"/>
  <c r="R217" i="1" s="1"/>
  <c r="J216" i="1"/>
  <c r="P216" i="1" s="1"/>
  <c r="R216" i="1" s="1"/>
  <c r="J213" i="1" l="1"/>
  <c r="P213" i="1" s="1"/>
  <c r="R213" i="1" s="1"/>
  <c r="J212" i="1"/>
  <c r="P212" i="1" s="1"/>
  <c r="R212" i="1" s="1"/>
  <c r="J211" i="1"/>
  <c r="P211" i="1" s="1"/>
  <c r="R211" i="1" s="1"/>
  <c r="J246" i="1" l="1"/>
  <c r="J209" i="1"/>
  <c r="J245" i="1"/>
  <c r="J208" i="1"/>
  <c r="P209" i="1" l="1"/>
  <c r="R209" i="1" s="1"/>
  <c r="J207" i="1" l="1"/>
  <c r="P207" i="1" s="1"/>
  <c r="R207" i="1" s="1"/>
  <c r="J206" i="1" l="1"/>
  <c r="J205" i="1"/>
  <c r="P205" i="1" s="1"/>
  <c r="R205" i="1" s="1"/>
  <c r="P206" i="1" l="1"/>
  <c r="R206" i="1" s="1"/>
  <c r="J204" i="1"/>
  <c r="P204" i="1" s="1"/>
  <c r="R204" i="1" s="1"/>
  <c r="J203" i="1"/>
  <c r="P203" i="1" s="1"/>
  <c r="R203" i="1" s="1"/>
  <c r="J202" i="1" l="1"/>
  <c r="P202" i="1" s="1"/>
  <c r="R202" i="1" s="1"/>
  <c r="J201" i="1"/>
  <c r="P201" i="1" s="1"/>
  <c r="R201" i="1" s="1"/>
  <c r="J200" i="1"/>
  <c r="P200" i="1" l="1"/>
  <c r="R200" i="1" s="1"/>
  <c r="J195" i="1"/>
  <c r="P195" i="1" s="1"/>
  <c r="R195" i="1" s="1"/>
  <c r="J228" i="1"/>
  <c r="J193" i="1"/>
  <c r="P193" i="1" s="1"/>
  <c r="R193" i="1" s="1"/>
  <c r="J192" i="1"/>
  <c r="P192" i="1" s="1"/>
  <c r="R192" i="1" s="1"/>
  <c r="J191" i="1"/>
  <c r="P191" i="1" s="1"/>
  <c r="J190" i="1"/>
  <c r="P190" i="1" s="1"/>
  <c r="R190" i="1" s="1"/>
  <c r="J189" i="1"/>
  <c r="P189" i="1" s="1"/>
  <c r="R189" i="1" s="1"/>
  <c r="J188" i="1"/>
  <c r="P188" i="1" s="1"/>
  <c r="R188" i="1" s="1"/>
  <c r="R191" i="1" l="1"/>
  <c r="J187" i="1" l="1"/>
  <c r="P187" i="1" s="1"/>
  <c r="R187" i="1" s="1"/>
  <c r="J185" i="1" l="1"/>
  <c r="J186" i="1"/>
  <c r="P185" i="1" l="1"/>
  <c r="R185" i="1" s="1"/>
  <c r="P186" i="1"/>
  <c r="R186" i="1" s="1"/>
  <c r="J180" i="1" l="1"/>
  <c r="P180" i="1" s="1"/>
  <c r="R180" i="1" s="1"/>
  <c r="J179" i="1"/>
  <c r="P179" i="1" s="1"/>
  <c r="R179" i="1" s="1"/>
  <c r="J178" i="1"/>
  <c r="J177" i="1"/>
  <c r="P177" i="1" s="1"/>
  <c r="J176" i="1"/>
  <c r="P176" i="1" s="1"/>
  <c r="P178" i="1" l="1"/>
  <c r="R178" i="1" s="1"/>
  <c r="R177" i="1"/>
  <c r="R176" i="1"/>
  <c r="J174" i="1" l="1"/>
  <c r="P174" i="1" s="1"/>
  <c r="R174" i="1" s="1"/>
  <c r="J175" i="1"/>
  <c r="J173" i="1"/>
  <c r="P173" i="1" s="1"/>
  <c r="R173" i="1" s="1"/>
  <c r="P175" i="1" l="1"/>
  <c r="R175" i="1" s="1"/>
  <c r="J171" i="1"/>
  <c r="P171" i="1" s="1"/>
  <c r="J170" i="1"/>
  <c r="R171" i="1" l="1"/>
  <c r="P170" i="1"/>
  <c r="R170" i="1" s="1"/>
  <c r="J168" i="1"/>
  <c r="P168" i="1" s="1"/>
  <c r="R168" i="1" s="1"/>
  <c r="J167" i="1"/>
  <c r="P167" i="1" s="1"/>
  <c r="J166" i="1"/>
  <c r="J165" i="1"/>
  <c r="P165" i="1" s="1"/>
  <c r="R165" i="1" s="1"/>
  <c r="J164" i="1"/>
  <c r="P164" i="1" s="1"/>
  <c r="R164" i="1" s="1"/>
  <c r="J163" i="1"/>
  <c r="R167" i="1" l="1"/>
  <c r="P166" i="1"/>
  <c r="R166" i="1" s="1"/>
  <c r="P163" i="1"/>
  <c r="R163" i="1" s="1"/>
  <c r="J162" i="1"/>
  <c r="J161" i="1"/>
  <c r="P162" i="1" l="1"/>
  <c r="R162" i="1" s="1"/>
  <c r="P161" i="1"/>
  <c r="R161" i="1" s="1"/>
  <c r="J160" i="1"/>
  <c r="J169" i="1"/>
  <c r="P169" i="1" s="1"/>
  <c r="J158" i="1"/>
  <c r="R169" i="1" l="1"/>
  <c r="P160" i="1"/>
  <c r="R160" i="1" s="1"/>
  <c r="P158" i="1"/>
  <c r="R158" i="1" s="1"/>
  <c r="J156" i="1"/>
  <c r="J155" i="1"/>
  <c r="P155" i="1" s="1"/>
  <c r="R155" i="1" s="1"/>
  <c r="P156" i="1" l="1"/>
  <c r="R156" i="1" s="1"/>
  <c r="J210" i="1" l="1"/>
  <c r="P210" i="1" l="1"/>
  <c r="R210" i="1" s="1"/>
  <c r="J153" i="1" l="1"/>
  <c r="P153" i="1" s="1"/>
  <c r="J152" i="1"/>
  <c r="J159" i="1"/>
  <c r="P159" i="1" s="1"/>
  <c r="J151" i="1"/>
  <c r="J199" i="1"/>
  <c r="P199" i="1" s="1"/>
  <c r="R199" i="1" s="1"/>
  <c r="J198" i="1"/>
  <c r="P198" i="1" s="1"/>
  <c r="J197" i="1"/>
  <c r="P197" i="1" s="1"/>
  <c r="J196" i="1"/>
  <c r="P196" i="1" s="1"/>
  <c r="J184" i="1"/>
  <c r="P184" i="1" s="1"/>
  <c r="J183" i="1"/>
  <c r="P183" i="1" s="1"/>
  <c r="J182" i="1"/>
  <c r="P182" i="1" s="1"/>
  <c r="R182" i="1" s="1"/>
  <c r="J127" i="1"/>
  <c r="P127" i="1" s="1"/>
  <c r="J157" i="1"/>
  <c r="J150" i="1"/>
  <c r="J149" i="1"/>
  <c r="P149" i="1" s="1"/>
  <c r="R153" i="1" l="1"/>
  <c r="R159" i="1"/>
  <c r="P152" i="1"/>
  <c r="R152" i="1" s="1"/>
  <c r="P151" i="1"/>
  <c r="R151" i="1" s="1"/>
  <c r="R198" i="1"/>
  <c r="R197" i="1"/>
  <c r="R196" i="1"/>
  <c r="R184" i="1"/>
  <c r="R183" i="1"/>
  <c r="R127" i="1"/>
  <c r="P157" i="1"/>
  <c r="R157" i="1" s="1"/>
  <c r="P150" i="1"/>
  <c r="R150" i="1" s="1"/>
  <c r="R149" i="1"/>
  <c r="J144" i="1" l="1"/>
  <c r="P144" i="1" s="1"/>
  <c r="R144" i="1" s="1"/>
  <c r="J143" i="1"/>
  <c r="J142" i="1"/>
  <c r="J141" i="1"/>
  <c r="P141" i="1" s="1"/>
  <c r="R141" i="1" s="1"/>
  <c r="J140" i="1"/>
  <c r="P140" i="1" s="1"/>
  <c r="R140" i="1" s="1"/>
  <c r="J139" i="1"/>
  <c r="P139" i="1" s="1"/>
  <c r="R139" i="1" s="1"/>
  <c r="J181" i="1"/>
  <c r="J138" i="1"/>
  <c r="P138" i="1" s="1"/>
  <c r="R138" i="1" s="1"/>
  <c r="J137" i="1"/>
  <c r="P137" i="1" s="1"/>
  <c r="R137" i="1" s="1"/>
  <c r="J136" i="1"/>
  <c r="J135" i="1"/>
  <c r="J134" i="1"/>
  <c r="P134" i="1" s="1"/>
  <c r="R134" i="1" s="1"/>
  <c r="J133" i="1"/>
  <c r="P133" i="1" s="1"/>
  <c r="R133" i="1" s="1"/>
  <c r="J132" i="1"/>
  <c r="J131" i="1"/>
  <c r="J130" i="1"/>
  <c r="P130" i="1" s="1"/>
  <c r="R130" i="1" s="1"/>
  <c r="J129" i="1"/>
  <c r="P129" i="1" s="1"/>
  <c r="R129" i="1" s="1"/>
  <c r="J128" i="1"/>
  <c r="J126" i="1"/>
  <c r="P126" i="1" s="1"/>
  <c r="R126" i="1" s="1"/>
  <c r="J172" i="1"/>
  <c r="J125" i="1"/>
  <c r="P125" i="1" s="1"/>
  <c r="R125" i="1" s="1"/>
  <c r="J124" i="1"/>
  <c r="P124" i="1" s="1"/>
  <c r="R124" i="1" s="1"/>
  <c r="P143" i="1" l="1"/>
  <c r="R143" i="1" s="1"/>
  <c r="P142" i="1"/>
  <c r="R142" i="1" s="1"/>
  <c r="P172" i="1"/>
  <c r="R172" i="1" s="1"/>
  <c r="P128" i="1"/>
  <c r="R128" i="1" s="1"/>
  <c r="P132" i="1"/>
  <c r="R132" i="1" s="1"/>
  <c r="P136" i="1"/>
  <c r="R136" i="1" s="1"/>
  <c r="P131" i="1"/>
  <c r="R131" i="1" s="1"/>
  <c r="P135" i="1"/>
  <c r="R135" i="1" s="1"/>
  <c r="P181" i="1"/>
  <c r="R181" i="1" s="1"/>
  <c r="J123" i="1" l="1"/>
  <c r="J122" i="1"/>
  <c r="P122" i="1" s="1"/>
  <c r="R122" i="1" s="1"/>
  <c r="J121" i="1"/>
  <c r="P121" i="1" s="1"/>
  <c r="R121" i="1" s="1"/>
  <c r="P123" i="1" l="1"/>
  <c r="R123" i="1" s="1"/>
  <c r="J117" i="1"/>
  <c r="P117" i="1" s="1"/>
  <c r="R117" i="1" s="1"/>
  <c r="J145" i="1"/>
  <c r="P145" i="1" s="1"/>
  <c r="R145" i="1" s="1"/>
  <c r="J116" i="1" l="1"/>
  <c r="J115" i="1"/>
  <c r="P115" i="1" s="1"/>
  <c r="J114" i="1"/>
  <c r="P116" i="1" l="1"/>
  <c r="R116" i="1" s="1"/>
  <c r="R115" i="1"/>
  <c r="P114" i="1"/>
  <c r="R114" i="1" s="1"/>
  <c r="J109" i="1" l="1"/>
  <c r="P109" i="1" s="1"/>
  <c r="R109" i="1" s="1"/>
  <c r="J108" i="1"/>
  <c r="P108" i="1" l="1"/>
  <c r="R108" i="1" s="1"/>
  <c r="J107" i="1"/>
  <c r="P107" i="1" s="1"/>
  <c r="R107" i="1" s="1"/>
  <c r="J106" i="1"/>
  <c r="P106" i="1" s="1"/>
  <c r="R106" i="1" s="1"/>
  <c r="J105" i="1"/>
  <c r="J154" i="1"/>
  <c r="J104" i="1"/>
  <c r="P104" i="1" s="1"/>
  <c r="R104" i="1" s="1"/>
  <c r="J103" i="1"/>
  <c r="P105" i="1" l="1"/>
  <c r="R105" i="1" s="1"/>
  <c r="P154" i="1"/>
  <c r="R154" i="1" s="1"/>
  <c r="P103" i="1"/>
  <c r="R103" i="1" s="1"/>
  <c r="J99" i="1"/>
  <c r="P99" i="1" l="1"/>
  <c r="R99" i="1" s="1"/>
  <c r="J98" i="1"/>
  <c r="P98" i="1" l="1"/>
  <c r="R98" i="1" s="1"/>
  <c r="J148" i="1"/>
  <c r="J97" i="1"/>
  <c r="J96" i="1"/>
  <c r="J95" i="1"/>
  <c r="P95" i="1" s="1"/>
  <c r="R95" i="1" s="1"/>
  <c r="P148" i="1" l="1"/>
  <c r="R148" i="1" s="1"/>
  <c r="P97" i="1"/>
  <c r="R97" i="1" s="1"/>
  <c r="P96" i="1"/>
  <c r="R96" i="1" s="1"/>
  <c r="J147" i="1" l="1"/>
  <c r="J94" i="1"/>
  <c r="P94" i="1" s="1"/>
  <c r="J93" i="1"/>
  <c r="P147" i="1" l="1"/>
  <c r="R147" i="1" s="1"/>
  <c r="R94" i="1"/>
  <c r="P93" i="1"/>
  <c r="R93" i="1" s="1"/>
  <c r="J90" i="1" l="1"/>
  <c r="J89" i="1"/>
  <c r="P89" i="1" s="1"/>
  <c r="R89" i="1" s="1"/>
  <c r="P90" i="1" l="1"/>
  <c r="R90" i="1" s="1"/>
  <c r="J88" i="1" l="1"/>
  <c r="P88" i="1" s="1"/>
  <c r="J87" i="1"/>
  <c r="P87" i="1" s="1"/>
  <c r="R87" i="1" s="1"/>
  <c r="R88" i="1" l="1"/>
  <c r="J85" i="1"/>
  <c r="P85" i="1" s="1"/>
  <c r="R85" i="1" s="1"/>
  <c r="J120" i="1" l="1"/>
  <c r="J84" i="1"/>
  <c r="P84" i="1" s="1"/>
  <c r="J83" i="1"/>
  <c r="J82" i="1"/>
  <c r="P82" i="1" s="1"/>
  <c r="R82" i="1" s="1"/>
  <c r="J81" i="1"/>
  <c r="P81" i="1" s="1"/>
  <c r="R81" i="1" s="1"/>
  <c r="J80" i="1"/>
  <c r="P80" i="1" s="1"/>
  <c r="R80" i="1" s="1"/>
  <c r="J79" i="1"/>
  <c r="P79" i="1" s="1"/>
  <c r="R79" i="1" s="1"/>
  <c r="P120" i="1" l="1"/>
  <c r="R120" i="1" s="1"/>
  <c r="R84" i="1"/>
  <c r="P83" i="1"/>
  <c r="R83" i="1" s="1"/>
  <c r="J119" i="1" l="1"/>
  <c r="P119" i="1" s="1"/>
  <c r="R119" i="1" s="1"/>
  <c r="J118" i="1" l="1"/>
  <c r="P118" i="1" s="1"/>
  <c r="R118" i="1" s="1"/>
  <c r="J77" i="1"/>
  <c r="P77" i="1" s="1"/>
  <c r="R77" i="1" s="1"/>
  <c r="J76" i="1"/>
  <c r="P76" i="1" s="1"/>
  <c r="R76" i="1" s="1"/>
  <c r="J75" i="1"/>
  <c r="P75" i="1" s="1"/>
  <c r="R75" i="1" s="1"/>
  <c r="J74" i="1"/>
  <c r="P74" i="1" l="1"/>
  <c r="R74" i="1" s="1"/>
  <c r="J73" i="1" l="1"/>
  <c r="P73" i="1" l="1"/>
  <c r="R73" i="1" s="1"/>
  <c r="J71" i="1" l="1"/>
  <c r="J70" i="1"/>
  <c r="P70" i="1" s="1"/>
  <c r="R70" i="1" s="1"/>
  <c r="P71" i="1" l="1"/>
  <c r="R71" i="1" s="1"/>
  <c r="J69" i="1" l="1"/>
  <c r="J68" i="1"/>
  <c r="P68" i="1" s="1"/>
  <c r="R68" i="1" s="1"/>
  <c r="J67" i="1"/>
  <c r="P67" i="1" s="1"/>
  <c r="R67" i="1" s="1"/>
  <c r="J102" i="1"/>
  <c r="P102" i="1" s="1"/>
  <c r="R102" i="1" s="1"/>
  <c r="P69" i="1" l="1"/>
  <c r="R69" i="1" s="1"/>
  <c r="J101" i="1"/>
  <c r="J66" i="1"/>
  <c r="P66" i="1" s="1"/>
  <c r="R66" i="1" s="1"/>
  <c r="J63" i="1"/>
  <c r="P63" i="1" s="1"/>
  <c r="R63" i="1" s="1"/>
  <c r="J100" i="1"/>
  <c r="P100" i="1" s="1"/>
  <c r="R100" i="1" s="1"/>
  <c r="J61" i="1"/>
  <c r="P61" i="1" s="1"/>
  <c r="R61" i="1" s="1"/>
  <c r="P101" i="1" l="1"/>
  <c r="R101" i="1" s="1"/>
  <c r="J60" i="1"/>
  <c r="P60" i="1" s="1"/>
  <c r="R60" i="1" s="1"/>
  <c r="J59" i="1" l="1"/>
  <c r="J58" i="1"/>
  <c r="P58" i="1" s="1"/>
  <c r="R58" i="1" s="1"/>
  <c r="J57" i="1"/>
  <c r="P57" i="1" s="1"/>
  <c r="R57" i="1" s="1"/>
  <c r="J56" i="1"/>
  <c r="P56" i="1" s="1"/>
  <c r="R56" i="1" s="1"/>
  <c r="J92" i="1"/>
  <c r="J52" i="1"/>
  <c r="P52" i="1" s="1"/>
  <c r="R52" i="1" s="1"/>
  <c r="J51" i="1"/>
  <c r="P51" i="1" s="1"/>
  <c r="J50" i="1"/>
  <c r="P50" i="1" s="1"/>
  <c r="R50" i="1" s="1"/>
  <c r="J49" i="1"/>
  <c r="P49" i="1" s="1"/>
  <c r="R49" i="1" s="1"/>
  <c r="J146" i="1"/>
  <c r="P146" i="1" s="1"/>
  <c r="J91" i="1"/>
  <c r="J48" i="1"/>
  <c r="P48" i="1" s="1"/>
  <c r="R48" i="1" s="1"/>
  <c r="J46" i="1"/>
  <c r="P46" i="1" s="1"/>
  <c r="J45" i="1"/>
  <c r="J44" i="1"/>
  <c r="P59" i="1" l="1"/>
  <c r="R59" i="1" s="1"/>
  <c r="P92" i="1"/>
  <c r="R92" i="1" s="1"/>
  <c r="R51" i="1"/>
  <c r="R146" i="1"/>
  <c r="P91" i="1"/>
  <c r="R91" i="1" s="1"/>
  <c r="R46" i="1"/>
  <c r="P45" i="1"/>
  <c r="R45" i="1" s="1"/>
  <c r="P44" i="1"/>
  <c r="R44" i="1" s="1"/>
  <c r="J43" i="1"/>
  <c r="P43" i="1" s="1"/>
  <c r="R43" i="1" s="1"/>
  <c r="J86" i="1"/>
  <c r="J42" i="1"/>
  <c r="P42" i="1" s="1"/>
  <c r="R42" i="1" s="1"/>
  <c r="J41" i="1"/>
  <c r="P41" i="1" s="1"/>
  <c r="R41" i="1" s="1"/>
  <c r="P86" i="1" l="1"/>
  <c r="R86" i="1" s="1"/>
  <c r="J36" i="1" l="1"/>
  <c r="P36" i="1" s="1"/>
  <c r="R36" i="1" s="1"/>
  <c r="J78" i="1" l="1"/>
  <c r="P78" i="1" s="1"/>
  <c r="R78" i="1" s="1"/>
  <c r="J47" i="1"/>
  <c r="J34" i="1"/>
  <c r="P34" i="1" s="1"/>
  <c r="R34" i="1" s="1"/>
  <c r="J33" i="1"/>
  <c r="J32" i="1"/>
  <c r="P32" i="1" s="1"/>
  <c r="R32" i="1" s="1"/>
  <c r="J31" i="1"/>
  <c r="P31" i="1" s="1"/>
  <c r="R31" i="1" s="1"/>
  <c r="J30" i="1"/>
  <c r="P30" i="1" s="1"/>
  <c r="R30" i="1" s="1"/>
  <c r="P47" i="1" l="1"/>
  <c r="R47" i="1" s="1"/>
  <c r="P33" i="1"/>
  <c r="R33" i="1" s="1"/>
  <c r="J35" i="1"/>
  <c r="J29" i="1"/>
  <c r="P35" i="1" l="1"/>
  <c r="R35" i="1" s="1"/>
  <c r="P29" i="1"/>
  <c r="R29" i="1" s="1"/>
  <c r="J28" i="1" l="1"/>
  <c r="J27" i="1"/>
  <c r="J26" i="1"/>
  <c r="J24" i="1"/>
  <c r="P24" i="1" s="1"/>
  <c r="J25" i="1"/>
  <c r="P25" i="1" s="1"/>
  <c r="R24" i="1" l="1"/>
  <c r="P28" i="1"/>
  <c r="R28" i="1" s="1"/>
  <c r="P27" i="1"/>
  <c r="R27" i="1" s="1"/>
  <c r="P26" i="1"/>
  <c r="R26" i="1" s="1"/>
  <c r="R25" i="1"/>
  <c r="J22" i="1"/>
  <c r="J21" i="1"/>
  <c r="J37" i="1"/>
  <c r="J20" i="1"/>
  <c r="P20" i="1" s="1"/>
  <c r="R20" i="1" s="1"/>
  <c r="J19" i="1"/>
  <c r="J18" i="1"/>
  <c r="J65" i="1"/>
  <c r="P22" i="1" l="1"/>
  <c r="R22" i="1" s="1"/>
  <c r="P21" i="1"/>
  <c r="R21" i="1" s="1"/>
  <c r="P37" i="1"/>
  <c r="R37" i="1" s="1"/>
  <c r="P19" i="1"/>
  <c r="R19" i="1" s="1"/>
  <c r="P18" i="1"/>
  <c r="R18" i="1" s="1"/>
  <c r="P65" i="1"/>
  <c r="R65" i="1" s="1"/>
  <c r="J17" i="1" l="1"/>
  <c r="P17" i="1" s="1"/>
  <c r="R17" i="1" s="1"/>
  <c r="J16" i="1" l="1"/>
  <c r="P16" i="1" s="1"/>
  <c r="R16" i="1" l="1"/>
  <c r="J72" i="1" l="1"/>
  <c r="P72" i="1" s="1"/>
  <c r="R72" i="1" s="1"/>
  <c r="J15" i="1" l="1"/>
  <c r="P15" i="1" s="1"/>
  <c r="Z15" i="1"/>
  <c r="Z14" i="1"/>
  <c r="J14" i="1"/>
  <c r="J12" i="1"/>
  <c r="P12" i="1" s="1"/>
  <c r="R12" i="1" s="1"/>
  <c r="J11" i="1"/>
  <c r="J64" i="1"/>
  <c r="P64" i="1" s="1"/>
  <c r="R64" i="1" s="1"/>
  <c r="R15" i="1" l="1"/>
  <c r="P14" i="1"/>
  <c r="R14" i="1" s="1"/>
  <c r="P11" i="1"/>
  <c r="R11" i="1" s="1"/>
  <c r="J10" i="1"/>
  <c r="P10" i="1" s="1"/>
  <c r="R10" i="1" s="1"/>
  <c r="J9" i="1"/>
  <c r="P9" i="1" s="1"/>
  <c r="R9" i="1" s="1"/>
  <c r="J8" i="1"/>
  <c r="J55" i="1"/>
  <c r="J54" i="1"/>
  <c r="P8" i="1" l="1"/>
  <c r="R8" i="1" s="1"/>
  <c r="P55" i="1"/>
  <c r="R55" i="1" s="1"/>
  <c r="P54" i="1"/>
  <c r="R54" i="1" s="1"/>
  <c r="J53" i="1" l="1"/>
  <c r="P53" i="1" s="1"/>
  <c r="J40" i="1"/>
  <c r="J39" i="1"/>
  <c r="P39" i="1" s="1"/>
  <c r="R39" i="1" s="1"/>
  <c r="R53" i="1" l="1"/>
  <c r="P40" i="1"/>
  <c r="R40" i="1" s="1"/>
  <c r="J7" i="1" l="1"/>
  <c r="J6" i="1"/>
  <c r="P6" i="1" s="1"/>
  <c r="J5" i="1"/>
  <c r="J38" i="1"/>
  <c r="P38" i="1" s="1"/>
  <c r="R38" i="1" s="1"/>
  <c r="P7" i="1" l="1"/>
  <c r="R7" i="1" s="1"/>
  <c r="R6" i="1"/>
  <c r="P5" i="1"/>
  <c r="R5" i="1" s="1"/>
  <c r="J2" i="1"/>
  <c r="P2" i="1" s="1"/>
  <c r="R2" i="1" s="1"/>
  <c r="J23" i="1" l="1"/>
  <c r="J13" i="1"/>
  <c r="P13" i="1" s="1"/>
  <c r="R13" i="1" s="1"/>
  <c r="P23" i="1" l="1"/>
  <c r="R23" i="1" s="1"/>
  <c r="J4" i="1" l="1"/>
  <c r="P4" i="1" s="1"/>
  <c r="J3" i="1"/>
  <c r="P3" i="1" s="1"/>
  <c r="R3" i="1" s="1"/>
  <c r="R4" i="1" l="1"/>
  <c r="J62" i="1" l="1"/>
  <c r="P62" i="1" s="1"/>
  <c r="R62" i="1" l="1"/>
</calcChain>
</file>

<file path=xl/comments1.xml><?xml version="1.0" encoding="utf-8"?>
<comments xmlns="http://schemas.openxmlformats.org/spreadsheetml/2006/main">
  <authors>
    <author>CHU</author>
    <author>Chu</author>
    <author>추희진</author>
    <author>user456</author>
    <author>마이옥션</author>
  </authors>
  <commentList>
    <comment ref="I7" authorId="0" shapeId="0">
      <text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220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
2/25 110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환불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16" authorId="1" shapeId="0">
      <text>
        <r>
          <rPr>
            <b/>
            <sz val="9"/>
            <color indexed="81"/>
            <rFont val="돋움"/>
            <family val="3"/>
            <charset val="129"/>
          </rPr>
          <t>추가입금예정 22만
26-01-06~
계약금 총 55만
12월 실적임</t>
        </r>
      </text>
    </comment>
    <comment ref="I62" authorId="2" shapeId="0">
      <text>
        <r>
          <rPr>
            <b/>
            <sz val="9"/>
            <color indexed="81"/>
            <rFont val="Tahoma"/>
            <family val="2"/>
          </rPr>
          <t xml:space="preserve">9/1 </t>
        </r>
        <r>
          <rPr>
            <b/>
            <sz val="9"/>
            <color indexed="81"/>
            <rFont val="돋움"/>
            <family val="3"/>
            <charset val="129"/>
          </rPr>
          <t xml:space="preserve">선발행
</t>
        </r>
        <r>
          <rPr>
            <b/>
            <sz val="9"/>
            <color indexed="81"/>
            <rFont val="Tahoma"/>
            <family val="2"/>
          </rPr>
          <t>44,000,000</t>
        </r>
        <r>
          <rPr>
            <b/>
            <sz val="9"/>
            <color indexed="81"/>
            <rFont val="돋움"/>
            <family val="3"/>
            <charset val="129"/>
          </rPr>
          <t>원중</t>
        </r>
        <r>
          <rPr>
            <b/>
            <sz val="9"/>
            <color indexed="81"/>
            <rFont val="Tahoma"/>
            <family val="2"/>
          </rPr>
          <t xml:space="preserve"> 
9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22,000,000</t>
        </r>
        <r>
          <rPr>
            <b/>
            <sz val="9"/>
            <color indexed="81"/>
            <rFont val="돋움"/>
            <family val="3"/>
            <charset val="129"/>
          </rPr>
          <t>원입금
나머지</t>
        </r>
        <r>
          <rPr>
            <b/>
            <sz val="9"/>
            <color indexed="81"/>
            <rFont val="Tahoma"/>
            <family val="2"/>
          </rPr>
          <t xml:space="preserve"> 2200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추가입금예정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, 11</t>
        </r>
        <r>
          <rPr>
            <b/>
            <sz val="9"/>
            <color indexed="81"/>
            <rFont val="돋움"/>
            <family val="3"/>
            <charset val="129"/>
          </rPr>
          <t>월중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99" authorId="0" shapeId="0">
      <text>
        <r>
          <rPr>
            <b/>
            <sz val="9"/>
            <color indexed="81"/>
            <rFont val="Tahoma"/>
            <family val="2"/>
          </rPr>
          <t xml:space="preserve">2025-12-15 </t>
        </r>
        <r>
          <rPr>
            <b/>
            <sz val="9"/>
            <color indexed="81"/>
            <rFont val="돋움"/>
            <family val="3"/>
            <charset val="129"/>
          </rPr>
          <t>카드결제
권리분석결제</t>
        </r>
        <r>
          <rPr>
            <b/>
            <sz val="9"/>
            <color indexed="81"/>
            <rFont val="Tahoma"/>
            <family val="2"/>
          </rPr>
          <t xml:space="preserve"> 
2026-01-20 </t>
        </r>
        <r>
          <rPr>
            <b/>
            <sz val="9"/>
            <color indexed="81"/>
            <rFont val="돋움"/>
            <family val="3"/>
            <charset val="129"/>
          </rPr>
          <t xml:space="preserve">계약금
</t>
        </r>
        <r>
          <rPr>
            <b/>
            <sz val="9"/>
            <color indexed="81"/>
            <rFont val="Tahoma"/>
            <family val="2"/>
          </rPr>
          <t>33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</t>
        </r>
      </text>
    </comment>
    <comment ref="I135" authorId="3" shapeId="0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</t>
        </r>
      </text>
    </comment>
    <comment ref="I140" authorId="0" shapeId="0">
      <text>
        <r>
          <rPr>
            <b/>
            <sz val="9"/>
            <color indexed="81"/>
            <rFont val="Tahoma"/>
            <family val="2"/>
          </rPr>
          <t>1/23 120</t>
        </r>
        <r>
          <rPr>
            <b/>
            <sz val="9"/>
            <color indexed="81"/>
            <rFont val="돋움"/>
            <family val="3"/>
            <charset val="129"/>
          </rPr>
          <t>만입금
고객착오입금으로</t>
        </r>
        <r>
          <rPr>
            <b/>
            <sz val="9"/>
            <color indexed="81"/>
            <rFont val="Tahoma"/>
            <family val="2"/>
          </rPr>
          <t xml:space="preserve"> 
1/26 65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반환
계약금</t>
        </r>
        <r>
          <rPr>
            <b/>
            <sz val="9"/>
            <color indexed="81"/>
            <rFont val="Tahoma"/>
            <family val="2"/>
          </rPr>
          <t xml:space="preserve"> 55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</text>
    </comment>
    <comment ref="I143" authorId="0" shapeId="0">
      <text>
        <r>
          <rPr>
            <b/>
            <sz val="9"/>
            <color indexed="81"/>
            <rFont val="Tahoma"/>
            <family val="2"/>
          </rPr>
          <t>1/23 20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>1/26  2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입금됨
</t>
        </r>
      </text>
    </comment>
    <comment ref="I144" authorId="0" shapeId="0">
      <text>
        <r>
          <rPr>
            <b/>
            <sz val="9"/>
            <color indexed="81"/>
            <rFont val="Tahoma"/>
            <family val="2"/>
          </rPr>
          <t>1/26 50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, 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 xml:space="preserve">각각입금됨
</t>
        </r>
      </text>
    </comment>
    <comment ref="I145" authorId="0" shapeId="0">
      <text>
        <r>
          <rPr>
            <b/>
            <sz val="9"/>
            <color indexed="81"/>
            <rFont val="Tahoma"/>
            <family val="2"/>
          </rPr>
          <t xml:space="preserve">1/21 </t>
        </r>
        <r>
          <rPr>
            <b/>
            <sz val="9"/>
            <color indexed="81"/>
            <rFont val="돋움"/>
            <family val="3"/>
            <charset val="129"/>
          </rPr>
          <t>단말기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카드결제후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취소함</t>
        </r>
        <r>
          <rPr>
            <b/>
            <sz val="9"/>
            <color indexed="81"/>
            <rFont val="Tahoma"/>
            <family val="2"/>
          </rPr>
          <t xml:space="preserve"> 
1/23 kb</t>
        </r>
        <r>
          <rPr>
            <b/>
            <sz val="9"/>
            <color indexed="81"/>
            <rFont val="돋움"/>
            <family val="3"/>
            <charset val="129"/>
          </rPr>
          <t>카드결제대금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입금됨
</t>
        </r>
        <r>
          <rPr>
            <b/>
            <sz val="9"/>
            <color indexed="81"/>
            <rFont val="Tahoma"/>
            <family val="2"/>
          </rPr>
          <t xml:space="preserve">1/26 </t>
        </r>
        <r>
          <rPr>
            <b/>
            <sz val="9"/>
            <color indexed="81"/>
            <rFont val="돋움"/>
            <family val="3"/>
            <charset val="129"/>
          </rPr>
          <t>카드사통화
결제대금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반환함</t>
        </r>
        <r>
          <rPr>
            <b/>
            <sz val="9"/>
            <color indexed="81"/>
            <rFont val="Tahoma"/>
            <family val="2"/>
          </rPr>
          <t xml:space="preserve">  </t>
        </r>
      </text>
    </comment>
    <comment ref="I189" authorId="0" shapeId="0">
      <text>
        <r>
          <rPr>
            <b/>
            <sz val="9"/>
            <color indexed="81"/>
            <rFont val="돋움"/>
            <family val="3"/>
            <charset val="129"/>
          </rPr>
          <t>추가계약건임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I216" authorId="4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
2,200,000
=1,200,000원+1,000,000원
 (2026-02-04)+(2026-02-09)
====================</t>
        </r>
        <r>
          <rPr>
            <sz val="9"/>
            <color indexed="81"/>
            <rFont val="돋움"/>
            <family val="3"/>
            <charset val="129"/>
          </rPr>
          <t xml:space="preserve">
계좌번호 100-026-996624 
입금액 1,200,000원
거래일시 2026-02-04(15:03:04) 
출금액 0원
적요 CD이체 
거래점명 창신동 
내용 우리:황종화
-----------------------
계좌번호 100-026-996624 
입금액 1,000,000원
거래일시 2026-02-09(15:21:41) 
출금액 0원
적요 타행CD 
거래점명 (기업) 
내용 황종화</t>
        </r>
      </text>
    </comment>
    <comment ref="I239" authorId="4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
2,200,000
=1,200,000원+1,000,000원
 (2026-02-04)+(2026-02-09)
====================</t>
        </r>
        <r>
          <rPr>
            <sz val="9"/>
            <color indexed="81"/>
            <rFont val="돋움"/>
            <family val="3"/>
            <charset val="129"/>
          </rPr>
          <t xml:space="preserve">
계좌번호 100-026-996624 
입금액 1,200,000원
거래일시 2026-02-04(15:03:04) 
출금액 0원
적요 CD이체 
거래점명 창신동 
내용 우리:황종화
-----------------------
계좌번호 100-026-996624 
입금액 1,000,000원
거래일시 2026-02-09(15:21:41) 
출금액 0원
적요 타행CD 
거래점명 (기업) 
내용 황종화</t>
        </r>
      </text>
    </comment>
    <comment ref="I282" authorId="0" shapeId="0">
      <text>
        <r>
          <rPr>
            <b/>
            <sz val="9"/>
            <color indexed="81"/>
            <rFont val="Tahoma"/>
            <family val="2"/>
          </rPr>
          <t xml:space="preserve">2/23 </t>
        </r>
        <r>
          <rPr>
            <b/>
            <sz val="9"/>
            <color indexed="81"/>
            <rFont val="돋움"/>
            <family val="3"/>
            <charset val="129"/>
          </rPr>
          <t>입금</t>
        </r>
        <r>
          <rPr>
            <b/>
            <sz val="9"/>
            <color indexed="81"/>
            <rFont val="Tahoma"/>
            <family val="2"/>
          </rPr>
          <t xml:space="preserve"> 4,950,000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2/24 </t>
        </r>
        <r>
          <rPr>
            <b/>
            <sz val="9"/>
            <color indexed="81"/>
            <rFont val="돋움"/>
            <family val="3"/>
            <charset val="129"/>
          </rPr>
          <t>반환</t>
        </r>
        <r>
          <rPr>
            <b/>
            <sz val="9"/>
            <color indexed="81"/>
            <rFont val="Tahoma"/>
            <family val="2"/>
          </rPr>
          <t xml:space="preserve"> 412,500</t>
        </r>
        <r>
          <rPr>
            <b/>
            <sz val="9"/>
            <color indexed="81"/>
            <rFont val="돋움"/>
            <family val="3"/>
            <charset val="129"/>
          </rPr>
          <t>원
총컨선팅수수료</t>
        </r>
        <r>
          <rPr>
            <b/>
            <sz val="9"/>
            <color indexed="81"/>
            <rFont val="Tahoma"/>
            <family val="2"/>
          </rPr>
          <t xml:space="preserve"> 
4,537,500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89" authorId="0" shapeId="0">
      <text>
        <r>
          <rPr>
            <b/>
            <sz val="9"/>
            <color indexed="81"/>
            <rFont val="Tahoma"/>
            <family val="2"/>
          </rPr>
          <t xml:space="preserve">2/24
10:32 108,405 </t>
        </r>
        <r>
          <rPr>
            <b/>
            <sz val="9"/>
            <color indexed="81"/>
            <rFont val="돋움"/>
            <family val="3"/>
            <charset val="129"/>
          </rPr>
          <t xml:space="preserve">입금
</t>
        </r>
        <r>
          <rPr>
            <b/>
            <sz val="9"/>
            <color indexed="81"/>
            <rFont val="Tahoma"/>
            <family val="2"/>
          </rPr>
          <t xml:space="preserve">16:17 433,620 </t>
        </r>
        <r>
          <rPr>
            <b/>
            <sz val="9"/>
            <color indexed="81"/>
            <rFont val="돋움"/>
            <family val="3"/>
            <charset val="129"/>
          </rPr>
          <t xml:space="preserve">입금
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입금됨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I292" authorId="0" shapeId="0">
      <text>
        <r>
          <rPr>
            <b/>
            <sz val="10"/>
            <color indexed="81"/>
            <rFont val="Tahoma"/>
            <family val="2"/>
          </rPr>
          <t>2/24 12,000,000</t>
        </r>
        <r>
          <rPr>
            <b/>
            <sz val="10"/>
            <color indexed="81"/>
            <rFont val="돋움"/>
            <family val="3"/>
            <charset val="129"/>
          </rPr>
          <t>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입금
</t>
        </r>
        <r>
          <rPr>
            <b/>
            <sz val="10"/>
            <color indexed="81"/>
            <rFont val="Tahoma"/>
            <family val="2"/>
          </rPr>
          <t>2/25 4,000,000</t>
        </r>
        <r>
          <rPr>
            <b/>
            <sz val="10"/>
            <color indexed="81"/>
            <rFont val="돋움"/>
            <family val="3"/>
            <charset val="129"/>
          </rPr>
          <t>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2/26 2,700,000</t>
        </r>
        <r>
          <rPr>
            <b/>
            <sz val="10"/>
            <color indexed="81"/>
            <rFont val="돋움"/>
            <family val="3"/>
            <charset val="129"/>
          </rPr>
          <t>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입금</t>
        </r>
      </text>
    </comment>
    <comment ref="I301" authorId="0" shapeId="0">
      <text>
        <r>
          <rPr>
            <b/>
            <sz val="9"/>
            <color indexed="81"/>
            <rFont val="Tahoma"/>
            <family val="2"/>
          </rPr>
          <t>2/25 2,540,000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입금
</t>
        </r>
        <r>
          <rPr>
            <b/>
            <sz val="9"/>
            <color indexed="81"/>
            <rFont val="Tahoma"/>
            <family val="2"/>
          </rPr>
          <t>2/26 1,000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추가입금
총</t>
        </r>
        <r>
          <rPr>
            <b/>
            <sz val="9"/>
            <color indexed="81"/>
            <rFont val="Tahoma"/>
            <family val="2"/>
          </rPr>
          <t xml:space="preserve"> 2,541,000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I303" authorId="0" shapeId="0">
      <text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220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
2/25 110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환불</t>
        </r>
        <r>
          <rPr>
            <b/>
            <sz val="9"/>
            <color indexed="81"/>
            <rFont val="Tahoma"/>
            <family val="2"/>
          </rPr>
          <t xml:space="preserve"> 
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실적에서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차감해야함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pGi83+hknaBem2WQuhT0bH4UMQw=="/>
    </ext>
  </extLst>
</comments>
</file>

<file path=xl/sharedStrings.xml><?xml version="1.0" encoding="utf-8"?>
<sst xmlns="http://schemas.openxmlformats.org/spreadsheetml/2006/main" count="2695" uniqueCount="1142">
  <si>
    <t>날   짜</t>
  </si>
  <si>
    <t>구   분</t>
  </si>
  <si>
    <t>담당자</t>
  </si>
  <si>
    <t>고객명</t>
  </si>
  <si>
    <t>실적구분</t>
  </si>
  <si>
    <t>계약내용</t>
  </si>
  <si>
    <t>계약일</t>
  </si>
  <si>
    <t>실수익</t>
  </si>
  <si>
    <t>입금일</t>
  </si>
  <si>
    <t>증빙</t>
  </si>
  <si>
    <t>입금</t>
  </si>
  <si>
    <t>비율</t>
  </si>
  <si>
    <t>지급액</t>
  </si>
  <si>
    <t>보증서</t>
  </si>
  <si>
    <t>회사수익</t>
  </si>
  <si>
    <t>비고</t>
  </si>
  <si>
    <t>기장</t>
  </si>
  <si>
    <t>엘앤씨</t>
  </si>
  <si>
    <t>컨설팅계약()</t>
  </si>
  <si>
    <t>계좌이체</t>
  </si>
  <si>
    <t>본   사</t>
  </si>
  <si>
    <t>X</t>
  </si>
  <si>
    <t>카드결제</t>
  </si>
  <si>
    <t>헥토</t>
  </si>
  <si>
    <t>권리분석의뢰</t>
  </si>
  <si>
    <t>정민준</t>
  </si>
  <si>
    <t>부산지사</t>
  </si>
  <si>
    <t>진은경</t>
  </si>
  <si>
    <t>이재성</t>
  </si>
  <si>
    <t>강남지사</t>
  </si>
  <si>
    <t>이규진</t>
  </si>
  <si>
    <t>유튜브매출(GOOGLE IRELAND)</t>
  </si>
  <si>
    <t>기타</t>
  </si>
  <si>
    <t>박선호</t>
  </si>
  <si>
    <t>송인상</t>
  </si>
  <si>
    <t>임건우</t>
  </si>
  <si>
    <t>문지성</t>
    <phoneticPr fontId="4" type="noConversion"/>
  </si>
  <si>
    <t>진은경</t>
    <phoneticPr fontId="4" type="noConversion"/>
  </si>
  <si>
    <t>본   사</t>
    <phoneticPr fontId="4" type="noConversion"/>
  </si>
  <si>
    <t>신유진</t>
    <phoneticPr fontId="4" type="noConversion"/>
  </si>
  <si>
    <t>백재원</t>
    <phoneticPr fontId="4" type="noConversion"/>
  </si>
  <si>
    <t>비씨카드</t>
    <phoneticPr fontId="4" type="noConversion"/>
  </si>
  <si>
    <t>세금계산서</t>
    <phoneticPr fontId="4" type="noConversion"/>
  </si>
  <si>
    <t>현금영수증</t>
    <phoneticPr fontId="4" type="noConversion"/>
  </si>
  <si>
    <t>최재명</t>
    <phoneticPr fontId="4" type="noConversion"/>
  </si>
  <si>
    <t>국민카드</t>
    <phoneticPr fontId="4" type="noConversion"/>
  </si>
  <si>
    <t>현금영수증</t>
    <phoneticPr fontId="4" type="noConversion"/>
  </si>
  <si>
    <t>본   사</t>
    <phoneticPr fontId="4" type="noConversion"/>
  </si>
  <si>
    <t>환불</t>
    <phoneticPr fontId="4" type="noConversion"/>
  </si>
  <si>
    <t>부산지사</t>
    <phoneticPr fontId="4" type="noConversion"/>
  </si>
  <si>
    <t>강남지사</t>
    <phoneticPr fontId="4" type="noConversion"/>
  </si>
  <si>
    <t>노연숙</t>
    <phoneticPr fontId="4" type="noConversion"/>
  </si>
  <si>
    <t>대전지사</t>
    <phoneticPr fontId="4" type="noConversion"/>
  </si>
  <si>
    <t>강남지사</t>
    <phoneticPr fontId="4" type="noConversion"/>
  </si>
  <si>
    <t>진성헌</t>
    <phoneticPr fontId="4" type="noConversion"/>
  </si>
  <si>
    <t>지경현</t>
    <phoneticPr fontId="4" type="noConversion"/>
  </si>
  <si>
    <t>서정수</t>
    <phoneticPr fontId="4" type="noConversion"/>
  </si>
  <si>
    <t>조육형</t>
    <phoneticPr fontId="4" type="noConversion"/>
  </si>
  <si>
    <t>정민준</t>
    <phoneticPr fontId="4" type="noConversion"/>
  </si>
  <si>
    <t>엘앤씨</t>
    <phoneticPr fontId="4" type="noConversion"/>
  </si>
  <si>
    <t>현금영수증</t>
    <phoneticPr fontId="4" type="noConversion"/>
  </si>
  <si>
    <t>박혜연</t>
    <phoneticPr fontId="4" type="noConversion"/>
  </si>
  <si>
    <t>세금계산서</t>
    <phoneticPr fontId="4" type="noConversion"/>
  </si>
  <si>
    <t>주효상</t>
    <phoneticPr fontId="4" type="noConversion"/>
  </si>
  <si>
    <t>최진웅</t>
    <phoneticPr fontId="4" type="noConversion"/>
  </si>
  <si>
    <t>윤현석</t>
    <phoneticPr fontId="4" type="noConversion"/>
  </si>
  <si>
    <t>윤미진</t>
    <phoneticPr fontId="4" type="noConversion"/>
  </si>
  <si>
    <t>박정규</t>
    <phoneticPr fontId="4" type="noConversion"/>
  </si>
  <si>
    <t>이재성</t>
    <phoneticPr fontId="4" type="noConversion"/>
  </si>
  <si>
    <t>박정윤</t>
    <phoneticPr fontId="4" type="noConversion"/>
  </si>
  <si>
    <t>진성헌</t>
    <phoneticPr fontId="4" type="noConversion"/>
  </si>
  <si>
    <t>중개수수료</t>
    <phoneticPr fontId="4" type="noConversion"/>
  </si>
  <si>
    <t>안중현</t>
    <phoneticPr fontId="4" type="noConversion"/>
  </si>
  <si>
    <t>임태율</t>
    <phoneticPr fontId="4" type="noConversion"/>
  </si>
  <si>
    <t>박선호</t>
    <phoneticPr fontId="4" type="noConversion"/>
  </si>
  <si>
    <t>대전지사</t>
    <phoneticPr fontId="4" type="noConversion"/>
  </si>
  <si>
    <t>부산지사</t>
    <phoneticPr fontId="4" type="noConversion"/>
  </si>
  <si>
    <t>낙찰수수료</t>
    <phoneticPr fontId="4" type="noConversion"/>
  </si>
  <si>
    <t>최병철</t>
    <phoneticPr fontId="4" type="noConversion"/>
  </si>
  <si>
    <t>박비송</t>
    <phoneticPr fontId="4" type="noConversion"/>
  </si>
  <si>
    <t>카드취소</t>
    <phoneticPr fontId="4" type="noConversion"/>
  </si>
  <si>
    <t>1/14발행</t>
    <phoneticPr fontId="4" type="noConversion"/>
  </si>
  <si>
    <t>신은호</t>
    <phoneticPr fontId="4" type="noConversion"/>
  </si>
  <si>
    <t>권리분석완료</t>
    <phoneticPr fontId="4" type="noConversion"/>
  </si>
  <si>
    <t>우진솔</t>
    <phoneticPr fontId="4" type="noConversion"/>
  </si>
  <si>
    <t>1/15발행</t>
    <phoneticPr fontId="4" type="noConversion"/>
  </si>
  <si>
    <t>매수신청대리</t>
    <phoneticPr fontId="4" type="noConversion"/>
  </si>
  <si>
    <t>노연숙</t>
    <phoneticPr fontId="4" type="noConversion"/>
  </si>
  <si>
    <t>이규진</t>
    <phoneticPr fontId="4" type="noConversion"/>
  </si>
  <si>
    <t>컨설팅계약()</t>
    <phoneticPr fontId="4" type="noConversion"/>
  </si>
  <si>
    <t>1/16발행</t>
    <phoneticPr fontId="4" type="noConversion"/>
  </si>
  <si>
    <t>1/20발행</t>
    <phoneticPr fontId="4" type="noConversion"/>
  </si>
  <si>
    <t>자진발급</t>
    <phoneticPr fontId="4" type="noConversion"/>
  </si>
  <si>
    <t>이규진</t>
    <phoneticPr fontId="4" type="noConversion"/>
  </si>
  <si>
    <t>1/23발행</t>
    <phoneticPr fontId="4" type="noConversion"/>
  </si>
  <si>
    <t>자진발급</t>
    <phoneticPr fontId="4" type="noConversion"/>
  </si>
  <si>
    <t>이동휘</t>
    <phoneticPr fontId="4" type="noConversion"/>
  </si>
  <si>
    <t>계좌이체</t>
    <phoneticPr fontId="4" type="noConversion"/>
  </si>
  <si>
    <t>권리분석의뢰</t>
    <phoneticPr fontId="4" type="noConversion"/>
  </si>
  <si>
    <t>계좌이체</t>
    <phoneticPr fontId="4" type="noConversion"/>
  </si>
  <si>
    <t>카드결제</t>
    <phoneticPr fontId="4" type="noConversion"/>
  </si>
  <si>
    <t>X</t>
    <phoneticPr fontId="4" type="noConversion"/>
  </si>
  <si>
    <t>최병철</t>
    <phoneticPr fontId="4" type="noConversion"/>
  </si>
  <si>
    <t>민주연</t>
    <phoneticPr fontId="4" type="noConversion"/>
  </si>
  <si>
    <t>계좌이체</t>
    <phoneticPr fontId="4" type="noConversion"/>
  </si>
  <si>
    <t>강민석</t>
    <phoneticPr fontId="4" type="noConversion"/>
  </si>
  <si>
    <t>현대카드</t>
    <phoneticPr fontId="4" type="noConversion"/>
  </si>
  <si>
    <t>환불</t>
    <phoneticPr fontId="4" type="noConversion"/>
  </si>
  <si>
    <t>2/5발행</t>
    <phoneticPr fontId="4" type="noConversion"/>
  </si>
  <si>
    <t>조육형</t>
    <phoneticPr fontId="4" type="noConversion"/>
  </si>
  <si>
    <t>2/6발행</t>
    <phoneticPr fontId="4" type="noConversion"/>
  </si>
  <si>
    <t>이태욱</t>
    <phoneticPr fontId="4" type="noConversion"/>
  </si>
  <si>
    <t>헥토</t>
    <phoneticPr fontId="4" type="noConversion"/>
  </si>
  <si>
    <t>2/10발행</t>
    <phoneticPr fontId="4" type="noConversion"/>
  </si>
  <si>
    <t>2/11발행</t>
    <phoneticPr fontId="4" type="noConversion"/>
  </si>
  <si>
    <t>2/12발행</t>
    <phoneticPr fontId="4" type="noConversion"/>
  </si>
  <si>
    <t>이태욱</t>
    <phoneticPr fontId="4" type="noConversion"/>
  </si>
  <si>
    <t>2/13발행</t>
    <phoneticPr fontId="4" type="noConversion"/>
  </si>
  <si>
    <t>카드결제</t>
    <phoneticPr fontId="4" type="noConversion"/>
  </si>
  <si>
    <t>2/24발행</t>
    <phoneticPr fontId="4" type="noConversion"/>
  </si>
  <si>
    <t>2/25발행</t>
    <phoneticPr fontId="4" type="noConversion"/>
  </si>
  <si>
    <t>2/20발행</t>
    <phoneticPr fontId="4" type="noConversion"/>
  </si>
  <si>
    <t>2/27발행</t>
    <phoneticPr fontId="4" type="noConversion"/>
  </si>
  <si>
    <t>이윤태</t>
    <phoneticPr fontId="4" type="noConversion"/>
  </si>
  <si>
    <t>박영주</t>
    <phoneticPr fontId="4" type="noConversion"/>
  </si>
  <si>
    <t>매수신청대리</t>
    <phoneticPr fontId="4" type="noConversion"/>
  </si>
  <si>
    <t>이동휘</t>
    <phoneticPr fontId="4" type="noConversion"/>
  </si>
  <si>
    <t>정유진</t>
    <phoneticPr fontId="4" type="noConversion"/>
  </si>
  <si>
    <t xml:space="preserve"> </t>
    <phoneticPr fontId="4" type="noConversion"/>
  </si>
  <si>
    <t>부산지사</t>
    <phoneticPr fontId="4" type="noConversion"/>
  </si>
  <si>
    <t>김희</t>
    <phoneticPr fontId="4" type="noConversion"/>
  </si>
  <si>
    <t>010-5335-5261</t>
    <phoneticPr fontId="4" type="noConversion"/>
  </si>
  <si>
    <t>지출증빙</t>
    <phoneticPr fontId="4" type="noConversion"/>
  </si>
  <si>
    <t>전순희, 방성호(주식회사 신명로드)</t>
    <phoneticPr fontId="4" type="noConversion"/>
  </si>
  <si>
    <t>안선영</t>
    <phoneticPr fontId="4" type="noConversion"/>
  </si>
  <si>
    <t>남미혜</t>
    <phoneticPr fontId="4" type="noConversion"/>
  </si>
  <si>
    <t>김광일(광일판금)</t>
    <phoneticPr fontId="4" type="noConversion"/>
  </si>
  <si>
    <t>한해숙</t>
    <phoneticPr fontId="4" type="noConversion"/>
  </si>
  <si>
    <t>(디엠디)</t>
    <phoneticPr fontId="4" type="noConversion"/>
  </si>
  <si>
    <t>도정운</t>
    <phoneticPr fontId="4" type="noConversion"/>
  </si>
  <si>
    <t>매매사업자예정</t>
    <phoneticPr fontId="4" type="noConversion"/>
  </si>
  <si>
    <t>유툽수익</t>
    <phoneticPr fontId="4" type="noConversion"/>
  </si>
  <si>
    <t>김진우</t>
    <phoneticPr fontId="4" type="noConversion"/>
  </si>
  <si>
    <t>윤태강</t>
    <phoneticPr fontId="4" type="noConversion"/>
  </si>
  <si>
    <t>박종수</t>
    <phoneticPr fontId="4" type="noConversion"/>
  </si>
  <si>
    <t>정수환</t>
    <phoneticPr fontId="4" type="noConversion"/>
  </si>
  <si>
    <t>안지후</t>
    <phoneticPr fontId="4" type="noConversion"/>
  </si>
  <si>
    <t>양용대(나인부동산)</t>
    <phoneticPr fontId="4" type="noConversion"/>
  </si>
  <si>
    <t>정주형</t>
    <phoneticPr fontId="4" type="noConversion"/>
  </si>
  <si>
    <t>천춘일, MU YAN</t>
    <phoneticPr fontId="4" type="noConversion"/>
  </si>
  <si>
    <t>김진우</t>
    <phoneticPr fontId="4" type="noConversion"/>
  </si>
  <si>
    <t>정춘호</t>
  </si>
  <si>
    <t>컨설팅계약(추가)</t>
    <phoneticPr fontId="4" type="noConversion"/>
  </si>
  <si>
    <t>이석형</t>
    <phoneticPr fontId="4" type="noConversion"/>
  </si>
  <si>
    <t>조성재</t>
    <phoneticPr fontId="4" type="noConversion"/>
  </si>
  <si>
    <t>(바로건축)</t>
    <phoneticPr fontId="4" type="noConversion"/>
  </si>
  <si>
    <t>최시연</t>
    <phoneticPr fontId="4" type="noConversion"/>
  </si>
  <si>
    <t>결제일</t>
    <phoneticPr fontId="4" type="noConversion"/>
  </si>
  <si>
    <t>김성환</t>
    <phoneticPr fontId="4" type="noConversion"/>
  </si>
  <si>
    <t>박우숙</t>
    <phoneticPr fontId="4" type="noConversion"/>
  </si>
  <si>
    <t>김은숙</t>
    <phoneticPr fontId="4" type="noConversion"/>
  </si>
  <si>
    <t>김승완(세종오토)</t>
    <phoneticPr fontId="4" type="noConversion"/>
  </si>
  <si>
    <t>양치영</t>
    <phoneticPr fontId="4" type="noConversion"/>
  </si>
  <si>
    <t>안중현</t>
    <phoneticPr fontId="4" type="noConversion"/>
  </si>
  <si>
    <t>이영주</t>
    <phoneticPr fontId="4" type="noConversion"/>
  </si>
  <si>
    <t>이규진</t>
    <phoneticPr fontId="4" type="noConversion"/>
  </si>
  <si>
    <t>김혜균</t>
    <phoneticPr fontId="4" type="noConversion"/>
  </si>
  <si>
    <t>황종화</t>
    <phoneticPr fontId="4" type="noConversion"/>
  </si>
  <si>
    <t>주효상</t>
    <phoneticPr fontId="4" type="noConversion"/>
  </si>
  <si>
    <t>황주은</t>
    <phoneticPr fontId="4" type="noConversion"/>
  </si>
  <si>
    <t>본   사</t>
    <phoneticPr fontId="4" type="noConversion"/>
  </si>
  <si>
    <t>정민준</t>
    <phoneticPr fontId="4" type="noConversion"/>
  </si>
  <si>
    <t>이규원</t>
    <phoneticPr fontId="4" type="noConversion"/>
  </si>
  <si>
    <t>010-3432-6166</t>
    <phoneticPr fontId="4" type="noConversion"/>
  </si>
  <si>
    <t>윤현석</t>
    <phoneticPr fontId="4" type="noConversion"/>
  </si>
  <si>
    <t>박정수</t>
    <phoneticPr fontId="4" type="noConversion"/>
  </si>
  <si>
    <t>카드취소</t>
    <phoneticPr fontId="4" type="noConversion"/>
  </si>
  <si>
    <t>대전지사</t>
    <phoneticPr fontId="4" type="noConversion"/>
  </si>
  <si>
    <t>010-7942-2893</t>
    <phoneticPr fontId="4" type="noConversion"/>
  </si>
  <si>
    <t>허태희</t>
    <phoneticPr fontId="4" type="noConversion"/>
  </si>
  <si>
    <t>변해용</t>
    <phoneticPr fontId="4" type="noConversion"/>
  </si>
  <si>
    <t>본   사</t>
    <phoneticPr fontId="4" type="noConversion"/>
  </si>
  <si>
    <t>정수환</t>
    <phoneticPr fontId="4" type="noConversion"/>
  </si>
  <si>
    <t>궁석희</t>
    <phoneticPr fontId="4" type="noConversion"/>
  </si>
  <si>
    <t>010-8236-1300</t>
    <phoneticPr fontId="4" type="noConversion"/>
  </si>
  <si>
    <t>1/2발행(010-8236-1300)</t>
    <phoneticPr fontId="4" type="noConversion"/>
  </si>
  <si>
    <t>우진솔</t>
    <phoneticPr fontId="4" type="noConversion"/>
  </si>
  <si>
    <t>김홍진</t>
    <phoneticPr fontId="4" type="noConversion"/>
  </si>
  <si>
    <t>본   사</t>
    <phoneticPr fontId="4" type="noConversion"/>
  </si>
  <si>
    <t>나은숙</t>
    <phoneticPr fontId="4" type="noConversion"/>
  </si>
  <si>
    <t>010-3469-2423</t>
    <phoneticPr fontId="4" type="noConversion"/>
  </si>
  <si>
    <t>1/2발행(010-2699-2423)</t>
    <phoneticPr fontId="4" type="noConversion"/>
  </si>
  <si>
    <t>이선희, 윤동주</t>
    <phoneticPr fontId="4" type="noConversion"/>
  </si>
  <si>
    <t>1/2발행(891127-1026112)</t>
    <phoneticPr fontId="4" type="noConversion"/>
  </si>
  <si>
    <t>010-8272-5185</t>
    <phoneticPr fontId="4" type="noConversion"/>
  </si>
  <si>
    <t>김진우</t>
    <phoneticPr fontId="4" type="noConversion"/>
  </si>
  <si>
    <t>최성권</t>
    <phoneticPr fontId="4" type="noConversion"/>
  </si>
  <si>
    <t>1/2발행(010-6203-0309)</t>
    <phoneticPr fontId="4" type="noConversion"/>
  </si>
  <si>
    <t>010-6203-0309</t>
    <phoneticPr fontId="4" type="noConversion"/>
  </si>
  <si>
    <t>본   사</t>
    <phoneticPr fontId="4" type="noConversion"/>
  </si>
  <si>
    <t>본   사</t>
    <phoneticPr fontId="4" type="noConversion"/>
  </si>
  <si>
    <t>박비송</t>
    <phoneticPr fontId="4" type="noConversion"/>
  </si>
  <si>
    <t>최재명</t>
    <phoneticPr fontId="4" type="noConversion"/>
  </si>
  <si>
    <t>백재원</t>
    <phoneticPr fontId="4" type="noConversion"/>
  </si>
  <si>
    <t>서예은</t>
    <phoneticPr fontId="4" type="noConversion"/>
  </si>
  <si>
    <t>신영종</t>
    <phoneticPr fontId="4" type="noConversion"/>
  </si>
  <si>
    <t>정범창</t>
    <phoneticPr fontId="4" type="noConversion"/>
  </si>
  <si>
    <t>010-5337-3021</t>
    <phoneticPr fontId="4" type="noConversion"/>
  </si>
  <si>
    <t>신은호</t>
    <phoneticPr fontId="4" type="noConversion"/>
  </si>
  <si>
    <t>김향난</t>
    <phoneticPr fontId="4" type="noConversion"/>
  </si>
  <si>
    <t>대전지사</t>
    <phoneticPr fontId="4" type="noConversion"/>
  </si>
  <si>
    <t>윤현석</t>
    <phoneticPr fontId="4" type="noConversion"/>
  </si>
  <si>
    <t>정혜진</t>
    <phoneticPr fontId="4" type="noConversion"/>
  </si>
  <si>
    <t>김태호</t>
    <phoneticPr fontId="4" type="noConversion"/>
  </si>
  <si>
    <t>세금계산서</t>
    <phoneticPr fontId="4" type="noConversion"/>
  </si>
  <si>
    <t>1/5발행(010-3181-7238)</t>
    <phoneticPr fontId="4" type="noConversion"/>
  </si>
  <si>
    <t>010-6338-1010</t>
    <phoneticPr fontId="4" type="noConversion"/>
  </si>
  <si>
    <t>김미송</t>
    <phoneticPr fontId="4" type="noConversion"/>
  </si>
  <si>
    <t>신유진</t>
    <phoneticPr fontId="4" type="noConversion"/>
  </si>
  <si>
    <t>진종현</t>
    <phoneticPr fontId="4" type="noConversion"/>
  </si>
  <si>
    <t>조영준(준이네 과일,야채)</t>
    <phoneticPr fontId="4" type="noConversion"/>
  </si>
  <si>
    <t>1/6발행</t>
    <phoneticPr fontId="4" type="noConversion"/>
  </si>
  <si>
    <t>1/6발행(010-3739-0964)</t>
    <phoneticPr fontId="4" type="noConversion"/>
  </si>
  <si>
    <t>조현제(주식회사현이)</t>
    <phoneticPr fontId="4" type="noConversion"/>
  </si>
  <si>
    <t>도정운</t>
    <phoneticPr fontId="4" type="noConversion"/>
  </si>
  <si>
    <t>010-5608-0376</t>
    <phoneticPr fontId="4" type="noConversion"/>
  </si>
  <si>
    <t>현금영수증</t>
    <phoneticPr fontId="4" type="noConversion"/>
  </si>
  <si>
    <t>카드취소</t>
    <phoneticPr fontId="4" type="noConversion"/>
  </si>
  <si>
    <t>허주일</t>
    <phoneticPr fontId="4" type="noConversion"/>
  </si>
  <si>
    <t>010-9938-0179</t>
    <phoneticPr fontId="4" type="noConversion"/>
  </si>
  <si>
    <t>강남지사</t>
    <phoneticPr fontId="4" type="noConversion"/>
  </si>
  <si>
    <t>조민준</t>
    <phoneticPr fontId="4" type="noConversion"/>
  </si>
  <si>
    <t>1/7발행</t>
    <phoneticPr fontId="4" type="noConversion"/>
  </si>
  <si>
    <t>1/6발행(010-5658-4055)</t>
    <phoneticPr fontId="4" type="noConversion"/>
  </si>
  <si>
    <t>1/7발행</t>
    <phoneticPr fontId="4" type="noConversion"/>
  </si>
  <si>
    <t>문지성</t>
    <phoneticPr fontId="4" type="noConversion"/>
  </si>
  <si>
    <t>문성훈</t>
    <phoneticPr fontId="4" type="noConversion"/>
  </si>
  <si>
    <t>010-9939-4349</t>
    <phoneticPr fontId="4" type="noConversion"/>
  </si>
  <si>
    <t>세금계산서</t>
    <phoneticPr fontId="4" type="noConversion"/>
  </si>
  <si>
    <t>1/7발행</t>
    <phoneticPr fontId="4" type="noConversion"/>
  </si>
  <si>
    <t>김종만</t>
    <phoneticPr fontId="4" type="noConversion"/>
  </si>
  <si>
    <t>부산지사</t>
    <phoneticPr fontId="4" type="noConversion"/>
  </si>
  <si>
    <t>박선호</t>
    <phoneticPr fontId="4" type="noConversion"/>
  </si>
  <si>
    <t>조육형</t>
    <phoneticPr fontId="4" type="noConversion"/>
  </si>
  <si>
    <t>장재영</t>
    <phoneticPr fontId="4" type="noConversion"/>
  </si>
  <si>
    <t>1/7발행(010-5164-3631)</t>
    <phoneticPr fontId="4" type="noConversion"/>
  </si>
  <si>
    <t>최은성</t>
    <phoneticPr fontId="4" type="noConversion"/>
  </si>
  <si>
    <t>주효상</t>
    <phoneticPr fontId="4" type="noConversion"/>
  </si>
  <si>
    <t>박성숙</t>
    <phoneticPr fontId="4" type="noConversion"/>
  </si>
  <si>
    <t>부산지사</t>
    <phoneticPr fontId="4" type="noConversion"/>
  </si>
  <si>
    <t>전건우, 전공심</t>
    <phoneticPr fontId="4" type="noConversion"/>
  </si>
  <si>
    <t>본   사</t>
    <phoneticPr fontId="4" type="noConversion"/>
  </si>
  <si>
    <t>1/7발행(010-8454-4041)</t>
    <phoneticPr fontId="4" type="noConversion"/>
  </si>
  <si>
    <t>본   사</t>
    <phoneticPr fontId="4" type="noConversion"/>
  </si>
  <si>
    <t>고성재(성욱)</t>
    <phoneticPr fontId="4" type="noConversion"/>
  </si>
  <si>
    <t>박승자</t>
    <phoneticPr fontId="4" type="noConversion"/>
  </si>
  <si>
    <t>국민카드</t>
    <phoneticPr fontId="4" type="noConversion"/>
  </si>
  <si>
    <t>1/7발행(631-11-01115)</t>
    <phoneticPr fontId="4" type="noConversion"/>
  </si>
  <si>
    <t>박종연</t>
    <phoneticPr fontId="4" type="noConversion"/>
  </si>
  <si>
    <t>박비송</t>
    <phoneticPr fontId="4" type="noConversion"/>
  </si>
  <si>
    <t>강남지사</t>
    <phoneticPr fontId="4" type="noConversion"/>
  </si>
  <si>
    <t>박정윤</t>
    <phoneticPr fontId="4" type="noConversion"/>
  </si>
  <si>
    <t>(이앤피)</t>
    <phoneticPr fontId="4" type="noConversion"/>
  </si>
  <si>
    <t>이주혁(전국태양광)</t>
    <phoneticPr fontId="4" type="noConversion"/>
  </si>
  <si>
    <t>세금계산서</t>
    <phoneticPr fontId="4" type="noConversion"/>
  </si>
  <si>
    <t>1/8발행</t>
    <phoneticPr fontId="4" type="noConversion"/>
  </si>
  <si>
    <t>박성운</t>
    <phoneticPr fontId="4" type="noConversion"/>
  </si>
  <si>
    <t>대전지사</t>
    <phoneticPr fontId="4" type="noConversion"/>
  </si>
  <si>
    <t>도정운</t>
    <phoneticPr fontId="4" type="noConversion"/>
  </si>
  <si>
    <t>김미송</t>
    <phoneticPr fontId="4" type="noConversion"/>
  </si>
  <si>
    <t>010-3712-5613</t>
    <phoneticPr fontId="4" type="noConversion"/>
  </si>
  <si>
    <t>010-9446-2302</t>
    <phoneticPr fontId="4" type="noConversion"/>
  </si>
  <si>
    <t>박비송</t>
    <phoneticPr fontId="4" type="noConversion"/>
  </si>
  <si>
    <t>진은경</t>
    <phoneticPr fontId="4" type="noConversion"/>
  </si>
  <si>
    <t>강남지사</t>
    <phoneticPr fontId="4" type="noConversion"/>
  </si>
  <si>
    <t>진성헌</t>
    <phoneticPr fontId="4" type="noConversion"/>
  </si>
  <si>
    <t>송준화</t>
    <phoneticPr fontId="4" type="noConversion"/>
  </si>
  <si>
    <t>진성헌</t>
    <phoneticPr fontId="4" type="noConversion"/>
  </si>
  <si>
    <t>(유에스아이제삼)</t>
    <phoneticPr fontId="4" type="noConversion"/>
  </si>
  <si>
    <t>중개수수료</t>
    <phoneticPr fontId="4" type="noConversion"/>
  </si>
  <si>
    <t>박비송</t>
    <phoneticPr fontId="4" type="noConversion"/>
  </si>
  <si>
    <t>김진우</t>
    <phoneticPr fontId="4" type="noConversion"/>
  </si>
  <si>
    <t>이형국</t>
    <phoneticPr fontId="4" type="noConversion"/>
  </si>
  <si>
    <t>이서윤</t>
    <phoneticPr fontId="4" type="noConversion"/>
  </si>
  <si>
    <t>권리분석완료</t>
    <phoneticPr fontId="4" type="noConversion"/>
  </si>
  <si>
    <t>대전지사</t>
    <phoneticPr fontId="4" type="noConversion"/>
  </si>
  <si>
    <t>우진솔</t>
    <phoneticPr fontId="4" type="noConversion"/>
  </si>
  <si>
    <t>강행원</t>
    <phoneticPr fontId="4" type="noConversion"/>
  </si>
  <si>
    <t>정수환</t>
    <phoneticPr fontId="4" type="noConversion"/>
  </si>
  <si>
    <t>김남헌</t>
    <phoneticPr fontId="4" type="noConversion"/>
  </si>
  <si>
    <t>1/12발행(010-9166-8317)</t>
    <phoneticPr fontId="4" type="noConversion"/>
  </si>
  <si>
    <t>김미옥</t>
    <phoneticPr fontId="4" type="noConversion"/>
  </si>
  <si>
    <t>김성환</t>
    <phoneticPr fontId="4" type="noConversion"/>
  </si>
  <si>
    <t>본   사</t>
    <phoneticPr fontId="4" type="noConversion"/>
  </si>
  <si>
    <t>조육형</t>
    <phoneticPr fontId="4" type="noConversion"/>
  </si>
  <si>
    <t>010-9166-8317</t>
    <phoneticPr fontId="4" type="noConversion"/>
  </si>
  <si>
    <t>010-2191-5001</t>
    <phoneticPr fontId="4" type="noConversion"/>
  </si>
  <si>
    <t>1/12발행</t>
    <phoneticPr fontId="4" type="noConversion"/>
  </si>
  <si>
    <t>부산지사</t>
    <phoneticPr fontId="4" type="noConversion"/>
  </si>
  <si>
    <t>박선호</t>
    <phoneticPr fontId="4" type="noConversion"/>
  </si>
  <si>
    <t>강남지사</t>
    <phoneticPr fontId="4" type="noConversion"/>
  </si>
  <si>
    <t>이수빈</t>
    <phoneticPr fontId="4" type="noConversion"/>
  </si>
  <si>
    <t>김광일(스틸라)</t>
    <phoneticPr fontId="4" type="noConversion"/>
  </si>
  <si>
    <t>강남지사</t>
    <phoneticPr fontId="4" type="noConversion"/>
  </si>
  <si>
    <t>주효상</t>
    <phoneticPr fontId="4" type="noConversion"/>
  </si>
  <si>
    <t>정수환</t>
    <phoneticPr fontId="4" type="noConversion"/>
  </si>
  <si>
    <t>김윤정</t>
    <phoneticPr fontId="4" type="noConversion"/>
  </si>
  <si>
    <t>1/12발행(010-5850-2039)</t>
    <phoneticPr fontId="4" type="noConversion"/>
  </si>
  <si>
    <t>010-5850-2039</t>
    <phoneticPr fontId="4" type="noConversion"/>
  </si>
  <si>
    <t>010-8436-0482</t>
    <phoneticPr fontId="4" type="noConversion"/>
  </si>
  <si>
    <t>현금영수증</t>
    <phoneticPr fontId="4" type="noConversion"/>
  </si>
  <si>
    <t>1/12발행(010-2850-1578)</t>
    <phoneticPr fontId="4" type="noConversion"/>
  </si>
  <si>
    <t>신유진</t>
    <phoneticPr fontId="4" type="noConversion"/>
  </si>
  <si>
    <t>1/13발행(010-3096-1933)</t>
    <phoneticPr fontId="4" type="noConversion"/>
  </si>
  <si>
    <t>도성욱(이지컨설팅)</t>
    <phoneticPr fontId="4" type="noConversion"/>
  </si>
  <si>
    <t>1/12발행</t>
    <phoneticPr fontId="4" type="noConversion"/>
  </si>
  <si>
    <t>박정윤</t>
    <phoneticPr fontId="4" type="noConversion"/>
  </si>
  <si>
    <t>강희숙</t>
    <phoneticPr fontId="4" type="noConversion"/>
  </si>
  <si>
    <t>2025/9/1선발행</t>
    <phoneticPr fontId="4" type="noConversion"/>
  </si>
  <si>
    <t>임태율</t>
    <phoneticPr fontId="4" type="noConversion"/>
  </si>
  <si>
    <t>손대겸</t>
    <phoneticPr fontId="4" type="noConversion"/>
  </si>
  <si>
    <t>본   사</t>
    <phoneticPr fontId="4" type="noConversion"/>
  </si>
  <si>
    <t>조윤희</t>
    <phoneticPr fontId="4" type="noConversion"/>
  </si>
  <si>
    <t>정성애</t>
    <phoneticPr fontId="4" type="noConversion"/>
  </si>
  <si>
    <t>진은경</t>
    <phoneticPr fontId="4" type="noConversion"/>
  </si>
  <si>
    <t>강남지사</t>
    <phoneticPr fontId="4" type="noConversion"/>
  </si>
  <si>
    <t>최병철</t>
    <phoneticPr fontId="4" type="noConversion"/>
  </si>
  <si>
    <t>010-2777-7776</t>
    <phoneticPr fontId="4" type="noConversion"/>
  </si>
  <si>
    <t>노연숙</t>
    <phoneticPr fontId="4" type="noConversion"/>
  </si>
  <si>
    <t>김현래</t>
    <phoneticPr fontId="4" type="noConversion"/>
  </si>
  <si>
    <t>김승완(세종오토)</t>
    <phoneticPr fontId="4" type="noConversion"/>
  </si>
  <si>
    <t>본   사</t>
    <phoneticPr fontId="4" type="noConversion"/>
  </si>
  <si>
    <t>1/13발행</t>
    <phoneticPr fontId="4" type="noConversion"/>
  </si>
  <si>
    <t>컨설팅계약(추가)</t>
    <phoneticPr fontId="4" type="noConversion"/>
  </si>
  <si>
    <t>서병일(원우이엔지)</t>
    <phoneticPr fontId="4" type="noConversion"/>
  </si>
  <si>
    <t>권경주(주식회사 유무)</t>
    <phoneticPr fontId="4" type="noConversion"/>
  </si>
  <si>
    <t>김정혜</t>
    <phoneticPr fontId="4" type="noConversion"/>
  </si>
  <si>
    <t>이태욱</t>
    <phoneticPr fontId="4" type="noConversion"/>
  </si>
  <si>
    <t>010-2947-7014</t>
    <phoneticPr fontId="4" type="noConversion"/>
  </si>
  <si>
    <t>010-3181-7238</t>
    <phoneticPr fontId="4" type="noConversion"/>
  </si>
  <si>
    <t>허성락(세인자동화)</t>
    <phoneticPr fontId="4" type="noConversion"/>
  </si>
  <si>
    <t>부산지사</t>
    <phoneticPr fontId="4" type="noConversion"/>
  </si>
  <si>
    <t>박선호</t>
    <phoneticPr fontId="4" type="noConversion"/>
  </si>
  <si>
    <t>한서영</t>
    <phoneticPr fontId="4" type="noConversion"/>
  </si>
  <si>
    <t>임태율</t>
    <phoneticPr fontId="4" type="noConversion"/>
  </si>
  <si>
    <t>강남지사</t>
    <phoneticPr fontId="4" type="noConversion"/>
  </si>
  <si>
    <t>본   사</t>
    <phoneticPr fontId="4" type="noConversion"/>
  </si>
  <si>
    <t>노연숙</t>
    <phoneticPr fontId="4" type="noConversion"/>
  </si>
  <si>
    <t>김재영</t>
    <phoneticPr fontId="4" type="noConversion"/>
  </si>
  <si>
    <t>대전지사</t>
    <phoneticPr fontId="4" type="noConversion"/>
  </si>
  <si>
    <t>박상준</t>
    <phoneticPr fontId="4" type="noConversion"/>
  </si>
  <si>
    <t>부산지사</t>
    <phoneticPr fontId="4" type="noConversion"/>
  </si>
  <si>
    <t>강남지사</t>
    <phoneticPr fontId="4" type="noConversion"/>
  </si>
  <si>
    <t>이규진</t>
    <phoneticPr fontId="4" type="noConversion"/>
  </si>
  <si>
    <t>강남지사</t>
    <phoneticPr fontId="4" type="noConversion"/>
  </si>
  <si>
    <t>최진웅</t>
    <phoneticPr fontId="4" type="noConversion"/>
  </si>
  <si>
    <t>최재경</t>
    <phoneticPr fontId="4" type="noConversion"/>
  </si>
  <si>
    <t>박인경</t>
    <phoneticPr fontId="4" type="noConversion"/>
  </si>
  <si>
    <t>옥혜경</t>
    <phoneticPr fontId="4" type="noConversion"/>
  </si>
  <si>
    <t>본   사</t>
    <phoneticPr fontId="4" type="noConversion"/>
  </si>
  <si>
    <t>대전지사</t>
    <phoneticPr fontId="4" type="noConversion"/>
  </si>
  <si>
    <t>강민석</t>
    <phoneticPr fontId="4" type="noConversion"/>
  </si>
  <si>
    <t>정민준</t>
    <phoneticPr fontId="4" type="noConversion"/>
  </si>
  <si>
    <t>본   사</t>
    <phoneticPr fontId="4" type="noConversion"/>
  </si>
  <si>
    <t>정민준</t>
    <phoneticPr fontId="4" type="noConversion"/>
  </si>
  <si>
    <t>양용문</t>
    <phoneticPr fontId="4" type="noConversion"/>
  </si>
  <si>
    <t>권리분석완료</t>
    <phoneticPr fontId="4" type="noConversion"/>
  </si>
  <si>
    <t>1/15발행(010-3108-1370)</t>
    <phoneticPr fontId="4" type="noConversion"/>
  </si>
  <si>
    <t>이근학(주식회사베가테크)</t>
    <phoneticPr fontId="4" type="noConversion"/>
  </si>
  <si>
    <t>세금계산서</t>
    <phoneticPr fontId="4" type="noConversion"/>
  </si>
  <si>
    <t>1/15발행</t>
    <phoneticPr fontId="4" type="noConversion"/>
  </si>
  <si>
    <t>현금영수증</t>
    <phoneticPr fontId="4" type="noConversion"/>
  </si>
  <si>
    <t>대전지사</t>
    <phoneticPr fontId="4" type="noConversion"/>
  </si>
  <si>
    <t>박지혜(호반노래타운)</t>
    <phoneticPr fontId="4" type="noConversion"/>
  </si>
  <si>
    <t>김인식(주식회사수연)</t>
    <phoneticPr fontId="4" type="noConversion"/>
  </si>
  <si>
    <t>이규진</t>
    <phoneticPr fontId="4" type="noConversion"/>
  </si>
  <si>
    <t>남희성</t>
    <phoneticPr fontId="4" type="noConversion"/>
  </si>
  <si>
    <t>정수환</t>
    <phoneticPr fontId="4" type="noConversion"/>
  </si>
  <si>
    <t>한상원(마리아내과의원)</t>
    <phoneticPr fontId="4" type="noConversion"/>
  </si>
  <si>
    <t>1/19발행</t>
    <phoneticPr fontId="4" type="noConversion"/>
  </si>
  <si>
    <t>010-9916-1002</t>
    <phoneticPr fontId="4" type="noConversion"/>
  </si>
  <si>
    <t>010-5257-5370</t>
    <phoneticPr fontId="4" type="noConversion"/>
  </si>
  <si>
    <t>010-4326-3535</t>
    <phoneticPr fontId="4" type="noConversion"/>
  </si>
  <si>
    <t>010-3108-1370</t>
    <phoneticPr fontId="4" type="noConversion"/>
  </si>
  <si>
    <t>010-9571-3100</t>
    <phoneticPr fontId="4" type="noConversion"/>
  </si>
  <si>
    <t>박상용</t>
    <phoneticPr fontId="4" type="noConversion"/>
  </si>
  <si>
    <t>현금영수증</t>
    <phoneticPr fontId="4" type="noConversion"/>
  </si>
  <si>
    <t>1/19발행(010-9894-8100)</t>
    <phoneticPr fontId="4" type="noConversion"/>
  </si>
  <si>
    <t>조성재</t>
    <phoneticPr fontId="4" type="noConversion"/>
  </si>
  <si>
    <t>지원희</t>
    <phoneticPr fontId="4" type="noConversion"/>
  </si>
  <si>
    <t>백재원</t>
    <phoneticPr fontId="4" type="noConversion"/>
  </si>
  <si>
    <t>석용원</t>
    <phoneticPr fontId="4" type="noConversion"/>
  </si>
  <si>
    <t>강남지사</t>
    <phoneticPr fontId="4" type="noConversion"/>
  </si>
  <si>
    <t>박정윤</t>
    <phoneticPr fontId="4" type="noConversion"/>
  </si>
  <si>
    <t>김태헌</t>
    <phoneticPr fontId="4" type="noConversion"/>
  </si>
  <si>
    <t>본   사</t>
    <phoneticPr fontId="4" type="noConversion"/>
  </si>
  <si>
    <t>조육형</t>
    <phoneticPr fontId="4" type="noConversion"/>
  </si>
  <si>
    <t>조필례</t>
    <phoneticPr fontId="4" type="noConversion"/>
  </si>
  <si>
    <t>1/19발행(010-3639-2975)</t>
    <phoneticPr fontId="4" type="noConversion"/>
  </si>
  <si>
    <t>김진우</t>
    <phoneticPr fontId="4" type="noConversion"/>
  </si>
  <si>
    <t>황영진</t>
    <phoneticPr fontId="4" type="noConversion"/>
  </si>
  <si>
    <t>1/19발행(010-2534-9316)</t>
    <phoneticPr fontId="4" type="noConversion"/>
  </si>
  <si>
    <t>강남지사</t>
    <phoneticPr fontId="4" type="noConversion"/>
  </si>
  <si>
    <t>박정윤</t>
    <phoneticPr fontId="4" type="noConversion"/>
  </si>
  <si>
    <t>김보경</t>
    <phoneticPr fontId="4" type="noConversion"/>
  </si>
  <si>
    <t>010-3639-2975</t>
    <phoneticPr fontId="4" type="noConversion"/>
  </si>
  <si>
    <t>010-9894-8100</t>
    <phoneticPr fontId="4" type="noConversion"/>
  </si>
  <si>
    <t>윤태강</t>
    <phoneticPr fontId="4" type="noConversion"/>
  </si>
  <si>
    <t>강민구</t>
    <phoneticPr fontId="4" type="noConversion"/>
  </si>
  <si>
    <t>010-8971-7693</t>
    <phoneticPr fontId="4" type="noConversion"/>
  </si>
  <si>
    <t>010-2278-2558</t>
    <phoneticPr fontId="4" type="noConversion"/>
  </si>
  <si>
    <t>1/20발행(010-9673-3388)</t>
    <phoneticPr fontId="4" type="noConversion"/>
  </si>
  <si>
    <t>최윤선</t>
    <phoneticPr fontId="4" type="noConversion"/>
  </si>
  <si>
    <t>부산지사</t>
    <phoneticPr fontId="4" type="noConversion"/>
  </si>
  <si>
    <t>김일환</t>
    <phoneticPr fontId="4" type="noConversion"/>
  </si>
  <si>
    <t>강남지사</t>
    <phoneticPr fontId="4" type="noConversion"/>
  </si>
  <si>
    <t>김윤탁</t>
    <phoneticPr fontId="4" type="noConversion"/>
  </si>
  <si>
    <t>박종연</t>
    <phoneticPr fontId="4" type="noConversion"/>
  </si>
  <si>
    <t>백두관</t>
    <phoneticPr fontId="4" type="noConversion"/>
  </si>
  <si>
    <t>본   사</t>
    <phoneticPr fontId="4" type="noConversion"/>
  </si>
  <si>
    <t>010-7788-0200</t>
    <phoneticPr fontId="4" type="noConversion"/>
  </si>
  <si>
    <t>박선호</t>
    <phoneticPr fontId="4" type="noConversion"/>
  </si>
  <si>
    <t>연락처</t>
    <phoneticPr fontId="4" type="noConversion"/>
  </si>
  <si>
    <t>한택신</t>
    <phoneticPr fontId="4" type="noConversion"/>
  </si>
  <si>
    <t>심재호</t>
    <phoneticPr fontId="4" type="noConversion"/>
  </si>
  <si>
    <t>강남지사</t>
    <phoneticPr fontId="4" type="noConversion"/>
  </si>
  <si>
    <t>김지안</t>
  </si>
  <si>
    <t>정수환</t>
  </si>
  <si>
    <t>황학성</t>
  </si>
  <si>
    <t>신은호</t>
  </si>
  <si>
    <t>양승호</t>
  </si>
  <si>
    <t>김효진</t>
  </si>
  <si>
    <t>낙찰수수료</t>
    <phoneticPr fontId="4" type="noConversion"/>
  </si>
  <si>
    <t>컨설팅계약()</t>
    <phoneticPr fontId="4" type="noConversion"/>
  </si>
  <si>
    <t>컨설팅계약()</t>
    <phoneticPr fontId="4" type="noConversion"/>
  </si>
  <si>
    <t>권리분석의뢰</t>
    <phoneticPr fontId="4" type="noConversion"/>
  </si>
  <si>
    <t>현금영수증</t>
    <phoneticPr fontId="4" type="noConversion"/>
  </si>
  <si>
    <t>1/21발행(001213-3042111)</t>
    <phoneticPr fontId="4" type="noConversion"/>
  </si>
  <si>
    <t>세금계산서</t>
    <phoneticPr fontId="4" type="noConversion"/>
  </si>
  <si>
    <t>1/21발행</t>
    <phoneticPr fontId="4" type="noConversion"/>
  </si>
  <si>
    <t>양진기(제이케이디스포저)</t>
    <phoneticPr fontId="4" type="noConversion"/>
  </si>
  <si>
    <t>1/20발행</t>
    <phoneticPr fontId="4" type="noConversion"/>
  </si>
  <si>
    <t>정성환</t>
    <phoneticPr fontId="4" type="noConversion"/>
  </si>
  <si>
    <t>대전지사</t>
    <phoneticPr fontId="4" type="noConversion"/>
  </si>
  <si>
    <t>도정운</t>
    <phoneticPr fontId="4" type="noConversion"/>
  </si>
  <si>
    <t>선양규(모간산업)</t>
    <phoneticPr fontId="4" type="noConversion"/>
  </si>
  <si>
    <t>세금계산서</t>
    <phoneticPr fontId="4" type="noConversion"/>
  </si>
  <si>
    <t>1/21발행</t>
    <phoneticPr fontId="4" type="noConversion"/>
  </si>
  <si>
    <t>강남지사</t>
    <phoneticPr fontId="4" type="noConversion"/>
  </si>
  <si>
    <t>최병철</t>
    <phoneticPr fontId="4" type="noConversion"/>
  </si>
  <si>
    <t>양태호</t>
    <phoneticPr fontId="4" type="noConversion"/>
  </si>
  <si>
    <t>010-5472-7068</t>
    <phoneticPr fontId="4" type="noConversion"/>
  </si>
  <si>
    <t>이규진</t>
    <phoneticPr fontId="4" type="noConversion"/>
  </si>
  <si>
    <t>노연숙</t>
    <phoneticPr fontId="4" type="noConversion"/>
  </si>
  <si>
    <t>박천운</t>
    <phoneticPr fontId="4" type="noConversion"/>
  </si>
  <si>
    <t>김재권</t>
    <phoneticPr fontId="4" type="noConversion"/>
  </si>
  <si>
    <t>한동숙</t>
    <phoneticPr fontId="4" type="noConversion"/>
  </si>
  <si>
    <t>1/22발행(010-9138-4678)</t>
    <phoneticPr fontId="4" type="noConversion"/>
  </si>
  <si>
    <t>황민규</t>
    <phoneticPr fontId="4" type="noConversion"/>
  </si>
  <si>
    <t>현금영수증</t>
    <phoneticPr fontId="4" type="noConversion"/>
  </si>
  <si>
    <t>세금계산서</t>
    <phoneticPr fontId="4" type="noConversion"/>
  </si>
  <si>
    <t>현금영수증</t>
    <phoneticPr fontId="4" type="noConversion"/>
  </si>
  <si>
    <t>1/7발행(010-7272-7969)</t>
    <phoneticPr fontId="4" type="noConversion"/>
  </si>
  <si>
    <t>현금영수증</t>
    <phoneticPr fontId="4" type="noConversion"/>
  </si>
  <si>
    <t>1/7발행(010-5052-1611)</t>
    <phoneticPr fontId="4" type="noConversion"/>
  </si>
  <si>
    <t>1/7발행(010-3588-3575)</t>
    <phoneticPr fontId="4" type="noConversion"/>
  </si>
  <si>
    <t>현금영수증</t>
    <phoneticPr fontId="4" type="noConversion"/>
  </si>
  <si>
    <t>1/7발행(010-7122-5678)</t>
    <phoneticPr fontId="4" type="noConversion"/>
  </si>
  <si>
    <t>1/8발행(267-28-01983)</t>
    <phoneticPr fontId="4" type="noConversion"/>
  </si>
  <si>
    <t>홍현우(청담현)</t>
    <phoneticPr fontId="4" type="noConversion"/>
  </si>
  <si>
    <t>1/8발행(010-3026-9971)</t>
    <phoneticPr fontId="4" type="noConversion"/>
  </si>
  <si>
    <t>1/9발행(891-50-00755)</t>
    <phoneticPr fontId="4" type="noConversion"/>
  </si>
  <si>
    <t>세금계산서</t>
    <phoneticPr fontId="4" type="noConversion"/>
  </si>
  <si>
    <t>정현민(애드리치)</t>
    <phoneticPr fontId="4" type="noConversion"/>
  </si>
  <si>
    <t>1/9발행(105-08-54807)</t>
    <phoneticPr fontId="4" type="noConversion"/>
  </si>
  <si>
    <t>세금계산서</t>
    <phoneticPr fontId="4" type="noConversion"/>
  </si>
  <si>
    <t>이관호(엔액스아이)</t>
    <phoneticPr fontId="4" type="noConversion"/>
  </si>
  <si>
    <t>1/10발행(723-65-00039)</t>
    <phoneticPr fontId="4" type="noConversion"/>
  </si>
  <si>
    <t>이수민(우리종합주방)</t>
    <phoneticPr fontId="4" type="noConversion"/>
  </si>
  <si>
    <t>세금계산서</t>
    <phoneticPr fontId="4" type="noConversion"/>
  </si>
  <si>
    <t>윤준수(성전산업)</t>
    <phoneticPr fontId="4" type="noConversion"/>
  </si>
  <si>
    <t>1/12발행(608-81-33342)</t>
    <phoneticPr fontId="4" type="noConversion"/>
  </si>
  <si>
    <t>1/13발행(850-01-03262)</t>
    <phoneticPr fontId="4" type="noConversion"/>
  </si>
  <si>
    <t>1/14발행(844-25-01488)</t>
    <phoneticPr fontId="4" type="noConversion"/>
  </si>
  <si>
    <t>1/14발행(723-65-00039)</t>
    <phoneticPr fontId="4" type="noConversion"/>
  </si>
  <si>
    <t>세금계산서</t>
    <phoneticPr fontId="4" type="noConversion"/>
  </si>
  <si>
    <t>이수민, 김점순(우리종합주방)</t>
    <phoneticPr fontId="4" type="noConversion"/>
  </si>
  <si>
    <t>1/20발행(010-8530-8060)</t>
    <phoneticPr fontId="4" type="noConversion"/>
  </si>
  <si>
    <t>현금영수증</t>
    <phoneticPr fontId="4" type="noConversion"/>
  </si>
  <si>
    <t>1/20발행(724-32-01130)</t>
    <phoneticPr fontId="4" type="noConversion"/>
  </si>
  <si>
    <t>세금계산서</t>
    <phoneticPr fontId="4" type="noConversion"/>
  </si>
  <si>
    <t>방승신,진행중앙로타리(티에스씨)</t>
    <phoneticPr fontId="4" type="noConversion"/>
  </si>
  <si>
    <t>1/20발행(010-2212-3621)</t>
    <phoneticPr fontId="4" type="noConversion"/>
  </si>
  <si>
    <t>1/21발행(010-9699-1556)</t>
    <phoneticPr fontId="4" type="noConversion"/>
  </si>
  <si>
    <t>현금영수증</t>
    <phoneticPr fontId="4" type="noConversion"/>
  </si>
  <si>
    <t>1/22발행(010-8665-8759)</t>
    <phoneticPr fontId="4" type="noConversion"/>
  </si>
  <si>
    <t>김재용</t>
    <phoneticPr fontId="4" type="noConversion"/>
  </si>
  <si>
    <t>지석환</t>
    <phoneticPr fontId="4" type="noConversion"/>
  </si>
  <si>
    <t>김미선</t>
    <phoneticPr fontId="4" type="noConversion"/>
  </si>
  <si>
    <t>이소연</t>
    <phoneticPr fontId="4" type="noConversion"/>
  </si>
  <si>
    <t>본   사</t>
    <phoneticPr fontId="4" type="noConversion"/>
  </si>
  <si>
    <t>신유진</t>
    <phoneticPr fontId="4" type="noConversion"/>
  </si>
  <si>
    <t>엘앤씨</t>
    <phoneticPr fontId="4" type="noConversion"/>
  </si>
  <si>
    <t>X</t>
    <phoneticPr fontId="4" type="noConversion"/>
  </si>
  <si>
    <t>강남지사</t>
    <phoneticPr fontId="4" type="noConversion"/>
  </si>
  <si>
    <t>엘앤씨</t>
    <phoneticPr fontId="4" type="noConversion"/>
  </si>
  <si>
    <t>김영진</t>
    <phoneticPr fontId="4" type="noConversion"/>
  </si>
  <si>
    <t>이서윤</t>
    <phoneticPr fontId="4" type="noConversion"/>
  </si>
  <si>
    <t>010-2322-4834</t>
    <phoneticPr fontId="4" type="noConversion"/>
  </si>
  <si>
    <t>윤태강</t>
    <phoneticPr fontId="4" type="noConversion"/>
  </si>
  <si>
    <t>강민구</t>
    <phoneticPr fontId="4" type="noConversion"/>
  </si>
  <si>
    <t>강장미</t>
    <phoneticPr fontId="4" type="noConversion"/>
  </si>
  <si>
    <t>계좌이체</t>
    <phoneticPr fontId="4" type="noConversion"/>
  </si>
  <si>
    <t>박정규</t>
    <phoneticPr fontId="4" type="noConversion"/>
  </si>
  <si>
    <t>(에이치에프에스사삼유동화전문 )</t>
    <phoneticPr fontId="4" type="noConversion"/>
  </si>
  <si>
    <t>김학모</t>
    <phoneticPr fontId="4" type="noConversion"/>
  </si>
  <si>
    <t>강남지사</t>
    <phoneticPr fontId="4" type="noConversion"/>
  </si>
  <si>
    <t>노연숙</t>
    <phoneticPr fontId="4" type="noConversion"/>
  </si>
  <si>
    <t>주정남</t>
    <phoneticPr fontId="4" type="noConversion"/>
  </si>
  <si>
    <t>현금영수증</t>
    <phoneticPr fontId="4" type="noConversion"/>
  </si>
  <si>
    <t>양혜수</t>
    <phoneticPr fontId="4" type="noConversion"/>
  </si>
  <si>
    <t>김순경</t>
    <phoneticPr fontId="4" type="noConversion"/>
  </si>
  <si>
    <t>남현자</t>
    <phoneticPr fontId="4" type="noConversion"/>
  </si>
  <si>
    <t>본   사</t>
    <phoneticPr fontId="4" type="noConversion"/>
  </si>
  <si>
    <t>윤태강</t>
    <phoneticPr fontId="4" type="noConversion"/>
  </si>
  <si>
    <t>1/23발행(010-4312-6769)</t>
    <phoneticPr fontId="4" type="noConversion"/>
  </si>
  <si>
    <t>박준태</t>
    <phoneticPr fontId="4" type="noConversion"/>
  </si>
  <si>
    <t>본   사</t>
    <phoneticPr fontId="4" type="noConversion"/>
  </si>
  <si>
    <t>(주식회사가온엔피엘대부)</t>
    <phoneticPr fontId="4" type="noConversion"/>
  </si>
  <si>
    <t>1/26발행</t>
    <phoneticPr fontId="4" type="noConversion"/>
  </si>
  <si>
    <t>본   사</t>
    <phoneticPr fontId="4" type="noConversion"/>
  </si>
  <si>
    <t>부산지사</t>
    <phoneticPr fontId="4" type="noConversion"/>
  </si>
  <si>
    <t>진은경</t>
    <phoneticPr fontId="4" type="noConversion"/>
  </si>
  <si>
    <t>유인수</t>
    <phoneticPr fontId="4" type="noConversion"/>
  </si>
  <si>
    <t>진은경</t>
    <phoneticPr fontId="4" type="noConversion"/>
  </si>
  <si>
    <t>박비송</t>
    <phoneticPr fontId="4" type="noConversion"/>
  </si>
  <si>
    <t>권리분석의뢰</t>
    <phoneticPr fontId="4" type="noConversion"/>
  </si>
  <si>
    <t>컨설팅계약()</t>
    <phoneticPr fontId="4" type="noConversion"/>
  </si>
  <si>
    <t>1/23선발행</t>
    <phoneticPr fontId="4" type="noConversion"/>
  </si>
  <si>
    <t>김병석</t>
    <phoneticPr fontId="4" type="noConversion"/>
  </si>
  <si>
    <t>박비송</t>
    <phoneticPr fontId="4" type="noConversion"/>
  </si>
  <si>
    <t>손동혁</t>
    <phoneticPr fontId="4" type="noConversion"/>
  </si>
  <si>
    <t>전현주</t>
    <phoneticPr fontId="4" type="noConversion"/>
  </si>
  <si>
    <t>대전지사</t>
    <phoneticPr fontId="4" type="noConversion"/>
  </si>
  <si>
    <t>최주리</t>
    <phoneticPr fontId="4" type="noConversion"/>
  </si>
  <si>
    <t>강남지사</t>
    <phoneticPr fontId="4" type="noConversion"/>
  </si>
  <si>
    <t>주효상</t>
    <phoneticPr fontId="4" type="noConversion"/>
  </si>
  <si>
    <t>박민영</t>
    <phoneticPr fontId="4" type="noConversion"/>
  </si>
  <si>
    <t>박정규</t>
    <phoneticPr fontId="4" type="noConversion"/>
  </si>
  <si>
    <t>강인경</t>
    <phoneticPr fontId="4" type="noConversion"/>
  </si>
  <si>
    <t>현금영수증</t>
    <phoneticPr fontId="4" type="noConversion"/>
  </si>
  <si>
    <t>1/26발행(010-2733-0142)</t>
    <phoneticPr fontId="4" type="noConversion"/>
  </si>
  <si>
    <t>김성환</t>
    <phoneticPr fontId="4" type="noConversion"/>
  </si>
  <si>
    <t>김상이</t>
    <phoneticPr fontId="4" type="noConversion"/>
  </si>
  <si>
    <t>010-7162-4414</t>
    <phoneticPr fontId="4" type="noConversion"/>
  </si>
  <si>
    <t>010-7101-9956</t>
    <phoneticPr fontId="4" type="noConversion"/>
  </si>
  <si>
    <t>010-7353-0317</t>
    <phoneticPr fontId="4" type="noConversion"/>
  </si>
  <si>
    <t>010-4312-6769</t>
    <phoneticPr fontId="4" type="noConversion"/>
  </si>
  <si>
    <t>010-9916-9356</t>
    <phoneticPr fontId="4" type="noConversion"/>
  </si>
  <si>
    <t>우진솔</t>
    <phoneticPr fontId="4" type="noConversion"/>
  </si>
  <si>
    <t>윤정현</t>
    <phoneticPr fontId="4" type="noConversion"/>
  </si>
  <si>
    <t>세금계산서</t>
    <phoneticPr fontId="4" type="noConversion"/>
  </si>
  <si>
    <t>1/26발행</t>
    <phoneticPr fontId="4" type="noConversion"/>
  </si>
  <si>
    <t>현금영수증</t>
    <phoneticPr fontId="4" type="noConversion"/>
  </si>
  <si>
    <t>1/26발행(010-4456-8424)</t>
    <phoneticPr fontId="4" type="noConversion"/>
  </si>
  <si>
    <t>010-4456-8424</t>
    <phoneticPr fontId="4" type="noConversion"/>
  </si>
  <si>
    <t>1/6발행, 1/27세금계산서발행취소</t>
    <phoneticPr fontId="4" type="noConversion"/>
  </si>
  <si>
    <t>강남지사</t>
    <phoneticPr fontId="4" type="noConversion"/>
  </si>
  <si>
    <t>임태율</t>
    <phoneticPr fontId="4" type="noConversion"/>
  </si>
  <si>
    <t>박재민</t>
    <phoneticPr fontId="4" type="noConversion"/>
  </si>
  <si>
    <t>김종순(무등토건자재백화점)</t>
    <phoneticPr fontId="4" type="noConversion"/>
  </si>
  <si>
    <t>염대종(다성이앤아)</t>
    <phoneticPr fontId="4" type="noConversion"/>
  </si>
  <si>
    <t>세금계산서</t>
    <phoneticPr fontId="4" type="noConversion"/>
  </si>
  <si>
    <t>1/27발행</t>
    <phoneticPr fontId="4" type="noConversion"/>
  </si>
  <si>
    <t>강남지사</t>
    <phoneticPr fontId="4" type="noConversion"/>
  </si>
  <si>
    <t>이승은</t>
    <phoneticPr fontId="4" type="noConversion"/>
  </si>
  <si>
    <t>본   사</t>
    <phoneticPr fontId="4" type="noConversion"/>
  </si>
  <si>
    <t>1/27발행(010-3336-9470)</t>
    <phoneticPr fontId="4" type="noConversion"/>
  </si>
  <si>
    <t>010-3336-9470</t>
    <phoneticPr fontId="4" type="noConversion"/>
  </si>
  <si>
    <t>1/26발행(010-5345-2260)</t>
    <phoneticPr fontId="4" type="noConversion"/>
  </si>
  <si>
    <t>김충환</t>
    <phoneticPr fontId="4" type="noConversion"/>
  </si>
  <si>
    <t>현금영수증</t>
    <phoneticPr fontId="4" type="noConversion"/>
  </si>
  <si>
    <t>진성헌</t>
    <phoneticPr fontId="4" type="noConversion"/>
  </si>
  <si>
    <t>이기택</t>
    <phoneticPr fontId="4" type="noConversion"/>
  </si>
  <si>
    <t>정수환</t>
    <phoneticPr fontId="4" type="noConversion"/>
  </si>
  <si>
    <t>1/28발행(010-5850-2039)</t>
    <phoneticPr fontId="4" type="noConversion"/>
  </si>
  <si>
    <t>현금영수증</t>
    <phoneticPr fontId="4" type="noConversion"/>
  </si>
  <si>
    <t>1/28발행(010-9916-9356)</t>
    <phoneticPr fontId="4" type="noConversion"/>
  </si>
  <si>
    <t>대전지사</t>
    <phoneticPr fontId="4" type="noConversion"/>
  </si>
  <si>
    <t>우진솔</t>
    <phoneticPr fontId="4" type="noConversion"/>
  </si>
  <si>
    <t>박지혜</t>
    <phoneticPr fontId="4" type="noConversion"/>
  </si>
  <si>
    <t>현금영수증</t>
    <phoneticPr fontId="4" type="noConversion"/>
  </si>
  <si>
    <t>1/15발행</t>
    <phoneticPr fontId="4" type="noConversion"/>
  </si>
  <si>
    <t>1/20선발행</t>
    <phoneticPr fontId="4" type="noConversion"/>
  </si>
  <si>
    <t>지불영수증</t>
    <phoneticPr fontId="4" type="noConversion"/>
  </si>
  <si>
    <t>1/28발행</t>
    <phoneticPr fontId="4" type="noConversion"/>
  </si>
  <si>
    <t>정진형(정우빌딩)</t>
    <phoneticPr fontId="4" type="noConversion"/>
  </si>
  <si>
    <t>정민성(주시회사그린힐)</t>
    <phoneticPr fontId="4" type="noConversion"/>
  </si>
  <si>
    <t>세금계산서</t>
    <phoneticPr fontId="4" type="noConversion"/>
  </si>
  <si>
    <t>1/28발행</t>
    <phoneticPr fontId="4" type="noConversion"/>
  </si>
  <si>
    <t>1/28발행(001213-3042111)</t>
    <phoneticPr fontId="4" type="noConversion"/>
  </si>
  <si>
    <t>1/28발행(010-2191-5001)</t>
    <phoneticPr fontId="4" type="noConversion"/>
  </si>
  <si>
    <t>이상호</t>
    <phoneticPr fontId="4" type="noConversion"/>
  </si>
  <si>
    <t>우진솔</t>
    <phoneticPr fontId="4" type="noConversion"/>
  </si>
  <si>
    <t>박상용</t>
    <phoneticPr fontId="4" type="noConversion"/>
  </si>
  <si>
    <t>차주목</t>
    <phoneticPr fontId="4" type="noConversion"/>
  </si>
  <si>
    <t>진성헌</t>
    <phoneticPr fontId="4" type="noConversion"/>
  </si>
  <si>
    <t>부산지사</t>
    <phoneticPr fontId="4" type="noConversion"/>
  </si>
  <si>
    <t>윤미진</t>
    <phoneticPr fontId="4" type="noConversion"/>
  </si>
  <si>
    <t>010-4126-3005</t>
    <phoneticPr fontId="4" type="noConversion"/>
  </si>
  <si>
    <t>이종선</t>
    <phoneticPr fontId="4" type="noConversion"/>
  </si>
  <si>
    <t>정수환</t>
    <phoneticPr fontId="4" type="noConversion"/>
  </si>
  <si>
    <t>이승연</t>
    <phoneticPr fontId="4" type="noConversion"/>
  </si>
  <si>
    <t>김수현</t>
    <phoneticPr fontId="4" type="noConversion"/>
  </si>
  <si>
    <t>이규진</t>
    <phoneticPr fontId="4" type="noConversion"/>
  </si>
  <si>
    <t>010-2710-3898</t>
    <phoneticPr fontId="4" type="noConversion"/>
  </si>
  <si>
    <t>최재명</t>
    <phoneticPr fontId="4" type="noConversion"/>
  </si>
  <si>
    <t>이상춘</t>
    <phoneticPr fontId="4" type="noConversion"/>
  </si>
  <si>
    <t>010-2467-2190</t>
    <phoneticPr fontId="4" type="noConversion"/>
  </si>
  <si>
    <t>010-6267-0365</t>
    <phoneticPr fontId="4" type="noConversion"/>
  </si>
  <si>
    <t>강남지사</t>
    <phoneticPr fontId="4" type="noConversion"/>
  </si>
  <si>
    <t>김진도(땡큐홈크린)</t>
    <phoneticPr fontId="4" type="noConversion"/>
  </si>
  <si>
    <t>세금계산서</t>
    <phoneticPr fontId="4" type="noConversion"/>
  </si>
  <si>
    <t>최병철</t>
    <phoneticPr fontId="4" type="noConversion"/>
  </si>
  <si>
    <t>이덕순</t>
    <phoneticPr fontId="4" type="noConversion"/>
  </si>
  <si>
    <t>현금영수증</t>
    <phoneticPr fontId="4" type="noConversion"/>
  </si>
  <si>
    <t>1/29발행(010-7712-1714)</t>
    <phoneticPr fontId="4" type="noConversion"/>
  </si>
  <si>
    <t>박정규</t>
    <phoneticPr fontId="4" type="noConversion"/>
  </si>
  <si>
    <t>강남지사</t>
    <phoneticPr fontId="4" type="noConversion"/>
  </si>
  <si>
    <t>손용욱</t>
    <phoneticPr fontId="4" type="noConversion"/>
  </si>
  <si>
    <t>김혜영</t>
    <phoneticPr fontId="4" type="noConversion"/>
  </si>
  <si>
    <t>정호성</t>
    <phoneticPr fontId="4" type="noConversion"/>
  </si>
  <si>
    <t>윤미진</t>
    <phoneticPr fontId="4" type="noConversion"/>
  </si>
  <si>
    <t>김진우</t>
    <phoneticPr fontId="4" type="noConversion"/>
  </si>
  <si>
    <t>윤도현</t>
    <phoneticPr fontId="4" type="noConversion"/>
  </si>
  <si>
    <t>본   사</t>
    <phoneticPr fontId="4" type="noConversion"/>
  </si>
  <si>
    <t>신유진</t>
    <phoneticPr fontId="4" type="noConversion"/>
  </si>
  <si>
    <t>임연실</t>
    <phoneticPr fontId="4" type="noConversion"/>
  </si>
  <si>
    <t>최진웅</t>
    <phoneticPr fontId="4" type="noConversion"/>
  </si>
  <si>
    <t>김성은</t>
    <phoneticPr fontId="4" type="noConversion"/>
  </si>
  <si>
    <t>자진발급</t>
    <phoneticPr fontId="4" type="noConversion"/>
  </si>
  <si>
    <t>1/30발행</t>
    <phoneticPr fontId="4" type="noConversion"/>
  </si>
  <si>
    <t>자진발급</t>
    <phoneticPr fontId="4" type="noConversion"/>
  </si>
  <si>
    <t>최병철</t>
    <phoneticPr fontId="4" type="noConversion"/>
  </si>
  <si>
    <t>최경원</t>
    <phoneticPr fontId="4" type="noConversion"/>
  </si>
  <si>
    <t>권준성</t>
    <phoneticPr fontId="4" type="noConversion"/>
  </si>
  <si>
    <t>부산지사</t>
    <phoneticPr fontId="4" type="noConversion"/>
  </si>
  <si>
    <t>권대윤</t>
    <phoneticPr fontId="4" type="noConversion"/>
  </si>
  <si>
    <t>정민호</t>
    <phoneticPr fontId="4" type="noConversion"/>
  </si>
  <si>
    <t>오미주</t>
    <phoneticPr fontId="4" type="noConversion"/>
  </si>
  <si>
    <t>박혜연</t>
    <phoneticPr fontId="4" type="noConversion"/>
  </si>
  <si>
    <t>권준성</t>
    <phoneticPr fontId="4" type="noConversion"/>
  </si>
  <si>
    <t>김영준</t>
    <phoneticPr fontId="4" type="noConversion"/>
  </si>
  <si>
    <t>낙찰수수료</t>
    <phoneticPr fontId="4" type="noConversion"/>
  </si>
  <si>
    <t>신유진</t>
    <phoneticPr fontId="4" type="noConversion"/>
  </si>
  <si>
    <t>두승린</t>
    <phoneticPr fontId="4" type="noConversion"/>
  </si>
  <si>
    <t>박시찬</t>
    <phoneticPr fontId="4" type="noConversion"/>
  </si>
  <si>
    <t>강민석</t>
    <phoneticPr fontId="4" type="noConversion"/>
  </si>
  <si>
    <t>전윤호</t>
    <phoneticPr fontId="4" type="noConversion"/>
  </si>
  <si>
    <t>강남지사</t>
    <phoneticPr fontId="4" type="noConversion"/>
  </si>
  <si>
    <t>문지성</t>
    <phoneticPr fontId="4" type="noConversion"/>
  </si>
  <si>
    <t>강남지사</t>
    <phoneticPr fontId="4" type="noConversion"/>
  </si>
  <si>
    <t>주효상</t>
    <phoneticPr fontId="4" type="noConversion"/>
  </si>
  <si>
    <t>박비송</t>
    <phoneticPr fontId="4" type="noConversion"/>
  </si>
  <si>
    <t>최진웅</t>
    <phoneticPr fontId="4" type="noConversion"/>
  </si>
  <si>
    <t>문지성</t>
    <phoneticPr fontId="4" type="noConversion"/>
  </si>
  <si>
    <t>정지현, 정병준</t>
    <phoneticPr fontId="4" type="noConversion"/>
  </si>
  <si>
    <t>임태율</t>
    <phoneticPr fontId="4" type="noConversion"/>
  </si>
  <si>
    <t>이규진</t>
    <phoneticPr fontId="4" type="noConversion"/>
  </si>
  <si>
    <t>정제연</t>
    <phoneticPr fontId="4" type="noConversion"/>
  </si>
  <si>
    <t>ZHENG HUALONG</t>
  </si>
  <si>
    <t>본   사</t>
    <phoneticPr fontId="4" type="noConversion"/>
  </si>
  <si>
    <t>010-4364-5165</t>
    <phoneticPr fontId="4" type="noConversion"/>
  </si>
  <si>
    <t>010-2807-3285</t>
    <phoneticPr fontId="4" type="noConversion"/>
  </si>
  <si>
    <t>010-7597-2903</t>
    <phoneticPr fontId="4" type="noConversion"/>
  </si>
  <si>
    <t>010-3908-2608</t>
    <phoneticPr fontId="4" type="noConversion"/>
  </si>
  <si>
    <t>류명자</t>
    <phoneticPr fontId="4" type="noConversion"/>
  </si>
  <si>
    <t>김남호</t>
    <phoneticPr fontId="4" type="noConversion"/>
  </si>
  <si>
    <t>안중현</t>
    <phoneticPr fontId="4" type="noConversion"/>
  </si>
  <si>
    <t>강남지사</t>
    <phoneticPr fontId="4" type="noConversion"/>
  </si>
  <si>
    <t>임태율</t>
    <phoneticPr fontId="4" type="noConversion"/>
  </si>
  <si>
    <t>문지성</t>
    <phoneticPr fontId="4" type="noConversion"/>
  </si>
  <si>
    <t>한다운</t>
    <phoneticPr fontId="4" type="noConversion"/>
  </si>
  <si>
    <t>박정규</t>
    <phoneticPr fontId="4" type="noConversion"/>
  </si>
  <si>
    <t>김민재(스틸아트)</t>
    <phoneticPr fontId="4" type="noConversion"/>
  </si>
  <si>
    <t>세금계산서</t>
    <phoneticPr fontId="4" type="noConversion"/>
  </si>
  <si>
    <t>2/2발행</t>
    <phoneticPr fontId="4" type="noConversion"/>
  </si>
  <si>
    <t>현금영수증</t>
    <phoneticPr fontId="4" type="noConversion"/>
  </si>
  <si>
    <t>2/2발행(010-2322-0575)</t>
    <phoneticPr fontId="4" type="noConversion"/>
  </si>
  <si>
    <t>이상수(화전민)</t>
    <phoneticPr fontId="4" type="noConversion"/>
  </si>
  <si>
    <t>강남지사</t>
    <phoneticPr fontId="4" type="noConversion"/>
  </si>
  <si>
    <t>이동휘</t>
    <phoneticPr fontId="4" type="noConversion"/>
  </si>
  <si>
    <t>(신승주식회사)</t>
    <phoneticPr fontId="4" type="noConversion"/>
  </si>
  <si>
    <t>지경현</t>
    <phoneticPr fontId="4" type="noConversion"/>
  </si>
  <si>
    <t>장은서</t>
    <phoneticPr fontId="4" type="noConversion"/>
  </si>
  <si>
    <t>김회현</t>
    <phoneticPr fontId="4" type="noConversion"/>
  </si>
  <si>
    <t>본   사</t>
    <phoneticPr fontId="4" type="noConversion"/>
  </si>
  <si>
    <t>서정수</t>
    <phoneticPr fontId="4" type="noConversion"/>
  </si>
  <si>
    <t>(주식회사가온엔피엘대부)</t>
    <phoneticPr fontId="4" type="noConversion"/>
  </si>
  <si>
    <t>현금영수증</t>
    <phoneticPr fontId="4" type="noConversion"/>
  </si>
  <si>
    <t>김호화</t>
    <phoneticPr fontId="4" type="noConversion"/>
  </si>
  <si>
    <t>본   사</t>
    <phoneticPr fontId="4" type="noConversion"/>
  </si>
  <si>
    <t>송인수</t>
    <phoneticPr fontId="4" type="noConversion"/>
  </si>
  <si>
    <t>컨설팅계약(추가)</t>
    <phoneticPr fontId="4" type="noConversion"/>
  </si>
  <si>
    <t>이규진</t>
    <phoneticPr fontId="4" type="noConversion"/>
  </si>
  <si>
    <t>윤현석</t>
    <phoneticPr fontId="4" type="noConversion"/>
  </si>
  <si>
    <t>1/16발행(010-9288-2210)</t>
    <phoneticPr fontId="4" type="noConversion"/>
  </si>
  <si>
    <t>김동률, 최명식</t>
    <phoneticPr fontId="4" type="noConversion"/>
  </si>
  <si>
    <t>박혜연</t>
    <phoneticPr fontId="4" type="noConversion"/>
  </si>
  <si>
    <t>최진선</t>
    <phoneticPr fontId="4" type="noConversion"/>
  </si>
  <si>
    <t>노연숙</t>
    <phoneticPr fontId="4" type="noConversion"/>
  </si>
  <si>
    <t>최재명</t>
    <phoneticPr fontId="4" type="noConversion"/>
  </si>
  <si>
    <t>박근갑</t>
    <phoneticPr fontId="4" type="noConversion"/>
  </si>
  <si>
    <t>5/16발행 2/5취소</t>
    <phoneticPr fontId="4" type="noConversion"/>
  </si>
  <si>
    <t>부산지사</t>
    <phoneticPr fontId="4" type="noConversion"/>
  </si>
  <si>
    <t>박비송</t>
    <phoneticPr fontId="4" type="noConversion"/>
  </si>
  <si>
    <t>매출액</t>
    <phoneticPr fontId="4" type="noConversion"/>
  </si>
  <si>
    <t>박재임</t>
    <phoneticPr fontId="4" type="noConversion"/>
  </si>
  <si>
    <t>대전지사</t>
    <phoneticPr fontId="4" type="noConversion"/>
  </si>
  <si>
    <t>윤현석</t>
    <phoneticPr fontId="4" type="noConversion"/>
  </si>
  <si>
    <r>
      <t>이상헌</t>
    </r>
    <r>
      <rPr>
        <sz val="11"/>
        <color theme="1"/>
        <rFont val="Calibri"/>
        <family val="3"/>
        <charset val="129"/>
        <scheme val="minor"/>
      </rPr>
      <t>(</t>
    </r>
    <r>
      <rPr>
        <sz val="11"/>
        <color theme="1"/>
        <rFont val="Calibri"/>
        <family val="3"/>
        <charset val="129"/>
        <scheme val="minor"/>
      </rPr>
      <t>주식회세엠엔에이치</t>
    </r>
    <r>
      <rPr>
        <sz val="11"/>
        <color theme="1"/>
        <rFont val="Calibri"/>
        <family val="3"/>
        <charset val="129"/>
        <scheme val="minor"/>
      </rPr>
      <t>)</t>
    </r>
    <phoneticPr fontId="4" type="noConversion"/>
  </si>
  <si>
    <t>최해영</t>
    <phoneticPr fontId="4" type="noConversion"/>
  </si>
  <si>
    <t>010-8598-7612</t>
    <phoneticPr fontId="4" type="noConversion"/>
  </si>
  <si>
    <t>곽현주</t>
    <phoneticPr fontId="4" type="noConversion"/>
  </si>
  <si>
    <t>신유진</t>
    <phoneticPr fontId="4" type="noConversion"/>
  </si>
  <si>
    <t>황규현(청담에이치엠)</t>
    <phoneticPr fontId="4" type="noConversion"/>
  </si>
  <si>
    <t>주종순</t>
    <phoneticPr fontId="4" type="noConversion"/>
  </si>
  <si>
    <t>2/6발행(010-4389-0933)</t>
    <phoneticPr fontId="4" type="noConversion"/>
  </si>
  <si>
    <t>정수환</t>
    <phoneticPr fontId="4" type="noConversion"/>
  </si>
  <si>
    <t>조민기</t>
    <phoneticPr fontId="4" type="noConversion"/>
  </si>
  <si>
    <r>
      <t>김지훈</t>
    </r>
    <r>
      <rPr>
        <sz val="11"/>
        <color theme="1"/>
        <rFont val="Calibri"/>
        <family val="3"/>
        <charset val="129"/>
        <scheme val="minor"/>
      </rPr>
      <t/>
    </r>
    <phoneticPr fontId="4" type="noConversion"/>
  </si>
  <si>
    <t>010-6329-5908</t>
    <phoneticPr fontId="4" type="noConversion"/>
  </si>
  <si>
    <t>(유광기계)</t>
    <phoneticPr fontId="4" type="noConversion"/>
  </si>
  <si>
    <t>이홍범</t>
    <phoneticPr fontId="4" type="noConversion"/>
  </si>
  <si>
    <t>강남지사</t>
    <phoneticPr fontId="4" type="noConversion"/>
  </si>
  <si>
    <t>주효상</t>
    <phoneticPr fontId="4" type="noConversion"/>
  </si>
  <si>
    <t>010-3675-3060</t>
    <phoneticPr fontId="4" type="noConversion"/>
  </si>
  <si>
    <t>강남지사</t>
    <phoneticPr fontId="4" type="noConversion"/>
  </si>
  <si>
    <t>임태율</t>
    <phoneticPr fontId="4" type="noConversion"/>
  </si>
  <si>
    <t>이주숙, 윤사라</t>
    <phoneticPr fontId="4" type="noConversion"/>
  </si>
  <si>
    <t>010-8994-5944</t>
    <phoneticPr fontId="4" type="noConversion"/>
  </si>
  <si>
    <t>2/9발행</t>
    <phoneticPr fontId="4" type="noConversion"/>
  </si>
  <si>
    <t>윤미진</t>
    <phoneticPr fontId="4" type="noConversion"/>
  </si>
  <si>
    <t>최재명</t>
    <phoneticPr fontId="4" type="noConversion"/>
  </si>
  <si>
    <t>윤용학</t>
    <phoneticPr fontId="4" type="noConversion"/>
  </si>
  <si>
    <t>박정윤</t>
    <phoneticPr fontId="4" type="noConversion"/>
  </si>
  <si>
    <t>(스칸디맘)</t>
    <phoneticPr fontId="4" type="noConversion"/>
  </si>
  <si>
    <t>권용천</t>
    <phoneticPr fontId="4" type="noConversion"/>
  </si>
  <si>
    <t>임태율</t>
    <phoneticPr fontId="4" type="noConversion"/>
  </si>
  <si>
    <t>부산지사</t>
    <phoneticPr fontId="4" type="noConversion"/>
  </si>
  <si>
    <t>박혜원</t>
    <phoneticPr fontId="4" type="noConversion"/>
  </si>
  <si>
    <t>서정수</t>
    <phoneticPr fontId="4" type="noConversion"/>
  </si>
  <si>
    <t>최양식</t>
    <phoneticPr fontId="4" type="noConversion"/>
  </si>
  <si>
    <t>고혜선</t>
    <phoneticPr fontId="4" type="noConversion"/>
  </si>
  <si>
    <t>낙찰수수료</t>
    <phoneticPr fontId="4" type="noConversion"/>
  </si>
  <si>
    <t>강남지사</t>
    <phoneticPr fontId="4" type="noConversion"/>
  </si>
  <si>
    <t>이규진</t>
    <phoneticPr fontId="4" type="noConversion"/>
  </si>
  <si>
    <t>최재명</t>
    <phoneticPr fontId="4" type="noConversion"/>
  </si>
  <si>
    <t>문수정(주영뷰티)</t>
    <phoneticPr fontId="4" type="noConversion"/>
  </si>
  <si>
    <t>2/10발행(010-6478-0839)</t>
    <phoneticPr fontId="4" type="noConversion"/>
  </si>
  <si>
    <t>김세종</t>
    <phoneticPr fontId="4" type="noConversion"/>
  </si>
  <si>
    <t>010-6478-0839</t>
    <phoneticPr fontId="4" type="noConversion"/>
  </si>
  <si>
    <t>010-2428-3996</t>
    <phoneticPr fontId="4" type="noConversion"/>
  </si>
  <si>
    <t>010-7152-6467</t>
    <phoneticPr fontId="4" type="noConversion"/>
  </si>
  <si>
    <t>김현성</t>
    <phoneticPr fontId="4" type="noConversion"/>
  </si>
  <si>
    <t>부산지사</t>
    <phoneticPr fontId="4" type="noConversion"/>
  </si>
  <si>
    <t>박비송</t>
    <phoneticPr fontId="4" type="noConversion"/>
  </si>
  <si>
    <t>윤성식</t>
    <phoneticPr fontId="4" type="noConversion"/>
  </si>
  <si>
    <t>강남지사</t>
    <phoneticPr fontId="4" type="noConversion"/>
  </si>
  <si>
    <t>최진웅</t>
    <phoneticPr fontId="4" type="noConversion"/>
  </si>
  <si>
    <t>부산지사</t>
    <phoneticPr fontId="4" type="noConversion"/>
  </si>
  <si>
    <t>지성광</t>
    <phoneticPr fontId="4" type="noConversion"/>
  </si>
  <si>
    <t>대전지사</t>
    <phoneticPr fontId="4" type="noConversion"/>
  </si>
  <si>
    <t>우진솔</t>
    <phoneticPr fontId="4" type="noConversion"/>
  </si>
  <si>
    <t>이현자</t>
    <phoneticPr fontId="4" type="noConversion"/>
  </si>
  <si>
    <t>낙찰수수료</t>
    <phoneticPr fontId="4" type="noConversion"/>
  </si>
  <si>
    <t>010-3604-8692</t>
    <phoneticPr fontId="4" type="noConversion"/>
  </si>
  <si>
    <t>2/12발행(010-6714-1973)</t>
    <phoneticPr fontId="4" type="noConversion"/>
  </si>
  <si>
    <t>진은경</t>
    <phoneticPr fontId="4" type="noConversion"/>
  </si>
  <si>
    <t>2/12발행(010-2429-3726)</t>
    <phoneticPr fontId="4" type="noConversion"/>
  </si>
  <si>
    <t>서정수</t>
    <phoneticPr fontId="4" type="noConversion"/>
  </si>
  <si>
    <t>(제이비커뮤니케이션)</t>
    <phoneticPr fontId="4" type="noConversion"/>
  </si>
  <si>
    <t>세금계산서</t>
    <phoneticPr fontId="4" type="noConversion"/>
  </si>
  <si>
    <t>1/19발행</t>
    <phoneticPr fontId="4" type="noConversion"/>
  </si>
  <si>
    <t>1/8 선발행</t>
    <phoneticPr fontId="4" type="noConversion"/>
  </si>
  <si>
    <t>1/9발행</t>
    <phoneticPr fontId="4" type="noConversion"/>
  </si>
  <si>
    <t>최준관(성우광고기계산업)</t>
    <phoneticPr fontId="4" type="noConversion"/>
  </si>
  <si>
    <t>1/8선발행</t>
    <phoneticPr fontId="4" type="noConversion"/>
  </si>
  <si>
    <t>1/12발행(010-9241-6417)</t>
    <phoneticPr fontId="4" type="noConversion"/>
  </si>
  <si>
    <t>김현아,양희범</t>
    <phoneticPr fontId="4" type="noConversion"/>
  </si>
  <si>
    <t>010-3369-2314, 010-9241-6417</t>
    <phoneticPr fontId="4" type="noConversion"/>
  </si>
  <si>
    <t>010-4576-7869</t>
    <phoneticPr fontId="4" type="noConversion"/>
  </si>
  <si>
    <t>1/13선발행</t>
    <phoneticPr fontId="4" type="noConversion"/>
  </si>
  <si>
    <t>현금영수증</t>
    <phoneticPr fontId="4" type="noConversion"/>
  </si>
  <si>
    <t>1/29발행(010-8529-8795)</t>
    <phoneticPr fontId="4" type="noConversion"/>
  </si>
  <si>
    <t>1/29발행(010-6690-4465)</t>
    <phoneticPr fontId="4" type="noConversion"/>
  </si>
  <si>
    <t>김영일(한양광고)</t>
    <phoneticPr fontId="4" type="noConversion"/>
  </si>
  <si>
    <t>세금계산서</t>
    <phoneticPr fontId="4" type="noConversion"/>
  </si>
  <si>
    <t>1/15발행</t>
    <phoneticPr fontId="4" type="noConversion"/>
  </si>
  <si>
    <t>010-9809-3415</t>
    <phoneticPr fontId="4" type="noConversion"/>
  </si>
  <si>
    <t>현금영수증</t>
    <phoneticPr fontId="4" type="noConversion"/>
  </si>
  <si>
    <t>1/16발행(010-9809-3415)</t>
    <phoneticPr fontId="4" type="noConversion"/>
  </si>
  <si>
    <t>현금영수증</t>
    <phoneticPr fontId="4" type="noConversion"/>
  </si>
  <si>
    <t>1/19발행(010-5656-5043)</t>
    <phoneticPr fontId="4" type="noConversion"/>
  </si>
  <si>
    <t>010-9152-6442</t>
    <phoneticPr fontId="4" type="noConversion"/>
  </si>
  <si>
    <t>김영일(한양광고)</t>
    <phoneticPr fontId="4" type="noConversion"/>
  </si>
  <si>
    <t>1/20발행</t>
    <phoneticPr fontId="4" type="noConversion"/>
  </si>
  <si>
    <t>010-3071-8626</t>
    <phoneticPr fontId="4" type="noConversion"/>
  </si>
  <si>
    <t>현금영수증</t>
    <phoneticPr fontId="4" type="noConversion"/>
  </si>
  <si>
    <t>1/21발행(010-3071-8626)</t>
    <phoneticPr fontId="4" type="noConversion"/>
  </si>
  <si>
    <t>양태호(주식회사 에스비와이글로벌)</t>
    <phoneticPr fontId="4" type="noConversion"/>
  </si>
  <si>
    <t>010-6366-55255</t>
    <phoneticPr fontId="4" type="noConversion"/>
  </si>
  <si>
    <t>세금계산서</t>
    <phoneticPr fontId="4" type="noConversion"/>
  </si>
  <si>
    <t>1/22발행</t>
    <phoneticPr fontId="4" type="noConversion"/>
  </si>
  <si>
    <t>유영선(약산갤러리)</t>
    <phoneticPr fontId="4" type="noConversion"/>
  </si>
  <si>
    <t>010-9511-1086</t>
    <phoneticPr fontId="4" type="noConversion"/>
  </si>
  <si>
    <t>1/22발행</t>
    <phoneticPr fontId="4" type="noConversion"/>
  </si>
  <si>
    <t>1/22발행(010-6310-6495)</t>
    <phoneticPr fontId="4" type="noConversion"/>
  </si>
  <si>
    <t>1/29발행(010-8529-8795)</t>
    <phoneticPr fontId="4" type="noConversion"/>
  </si>
  <si>
    <t>010-7478-4468, 010-7478-4568</t>
    <phoneticPr fontId="4" type="noConversion"/>
  </si>
  <si>
    <t>세금계산서</t>
    <phoneticPr fontId="4" type="noConversion"/>
  </si>
  <si>
    <t>1/23발행</t>
    <phoneticPr fontId="4" type="noConversion"/>
  </si>
  <si>
    <t>김도훈( )</t>
  </si>
  <si>
    <t>1/28발행(010-5745-1425)</t>
    <phoneticPr fontId="4" type="noConversion"/>
  </si>
  <si>
    <t>유영선(약산갤러리)</t>
    <phoneticPr fontId="4" type="noConversion"/>
  </si>
  <si>
    <t>자진발급</t>
    <phoneticPr fontId="4" type="noConversion"/>
  </si>
  <si>
    <t>자진발급</t>
    <phoneticPr fontId="4" type="noConversion"/>
  </si>
  <si>
    <t>010-3334-6708</t>
    <phoneticPr fontId="4" type="noConversion"/>
  </si>
  <si>
    <t>010-8882-2160</t>
    <phoneticPr fontId="4" type="noConversion"/>
  </si>
  <si>
    <t>손용욱(유림정공 주식회사)</t>
    <phoneticPr fontId="4" type="noConversion"/>
  </si>
  <si>
    <t>현금영수증</t>
    <phoneticPr fontId="4" type="noConversion"/>
  </si>
  <si>
    <t>이주창(윤성건설)</t>
    <phoneticPr fontId="4" type="noConversion"/>
  </si>
  <si>
    <t>세금계산서</t>
    <phoneticPr fontId="4" type="noConversion"/>
  </si>
  <si>
    <t>김영수(주식회사 한국종합기술홀딩스)</t>
    <phoneticPr fontId="4" type="noConversion"/>
  </si>
  <si>
    <t>세금계산서</t>
    <phoneticPr fontId="4" type="noConversion"/>
  </si>
  <si>
    <t>010-5387-1009</t>
    <phoneticPr fontId="4" type="noConversion"/>
  </si>
  <si>
    <t>010-9048-0845</t>
    <phoneticPr fontId="4" type="noConversion"/>
  </si>
  <si>
    <t>010-9199-2443</t>
    <phoneticPr fontId="4" type="noConversion"/>
  </si>
  <si>
    <t>2/2발행(010-5387-1009)</t>
    <phoneticPr fontId="4" type="noConversion"/>
  </si>
  <si>
    <t>010-6236-8647</t>
    <phoneticPr fontId="4" type="noConversion"/>
  </si>
  <si>
    <t>현금영수증</t>
    <phoneticPr fontId="4" type="noConversion"/>
  </si>
  <si>
    <t>2/4발행(010-3808-2260)</t>
    <phoneticPr fontId="4" type="noConversion"/>
  </si>
  <si>
    <t>2/9발행(010-8010-3443)</t>
    <phoneticPr fontId="4" type="noConversion"/>
  </si>
  <si>
    <t>현금영수증</t>
    <phoneticPr fontId="4" type="noConversion"/>
  </si>
  <si>
    <t>세금계산서</t>
    <phoneticPr fontId="4" type="noConversion"/>
  </si>
  <si>
    <t>정강선((주)피앤)</t>
    <phoneticPr fontId="4" type="noConversion"/>
  </si>
  <si>
    <t>(주식회사 어바웃)</t>
    <phoneticPr fontId="4" type="noConversion"/>
  </si>
  <si>
    <t>010-2896-3700</t>
    <phoneticPr fontId="4" type="noConversion"/>
  </si>
  <si>
    <t>강남지사</t>
    <phoneticPr fontId="4" type="noConversion"/>
  </si>
  <si>
    <t>(에이오티코리아)</t>
    <phoneticPr fontId="4" type="noConversion"/>
  </si>
  <si>
    <t>본   사</t>
    <phoneticPr fontId="4" type="noConversion"/>
  </si>
  <si>
    <t>정수환</t>
    <phoneticPr fontId="4" type="noConversion"/>
  </si>
  <si>
    <t>민주연</t>
    <phoneticPr fontId="4" type="noConversion"/>
  </si>
  <si>
    <t>2/13발행(010-5506-3248)</t>
    <phoneticPr fontId="4" type="noConversion"/>
  </si>
  <si>
    <t>노연숙</t>
    <phoneticPr fontId="4" type="noConversion"/>
  </si>
  <si>
    <t>조보하</t>
    <phoneticPr fontId="4" type="noConversion"/>
  </si>
  <si>
    <t>본   사</t>
    <phoneticPr fontId="4" type="noConversion"/>
  </si>
  <si>
    <t>문현숙</t>
    <phoneticPr fontId="4" type="noConversion"/>
  </si>
  <si>
    <t>백재원</t>
    <phoneticPr fontId="4" type="noConversion"/>
  </si>
  <si>
    <t>윤태강</t>
    <phoneticPr fontId="4" type="noConversion"/>
  </si>
  <si>
    <t>주효상</t>
    <phoneticPr fontId="4" type="noConversion"/>
  </si>
  <si>
    <t>백창현</t>
    <phoneticPr fontId="4" type="noConversion"/>
  </si>
  <si>
    <t>백재원</t>
    <phoneticPr fontId="4" type="noConversion"/>
  </si>
  <si>
    <t>박경원</t>
    <phoneticPr fontId="4" type="noConversion"/>
  </si>
  <si>
    <t>진성헌</t>
    <phoneticPr fontId="4" type="noConversion"/>
  </si>
  <si>
    <t>최재혁</t>
    <phoneticPr fontId="4" type="noConversion"/>
  </si>
  <si>
    <t>본   사</t>
    <phoneticPr fontId="4" type="noConversion"/>
  </si>
  <si>
    <t>이만호</t>
    <phoneticPr fontId="4" type="noConversion"/>
  </si>
  <si>
    <t>010-3455-9392</t>
    <phoneticPr fontId="4" type="noConversion"/>
  </si>
  <si>
    <t>010-6286-1639</t>
    <phoneticPr fontId="4" type="noConversion"/>
  </si>
  <si>
    <t>2/13발행(010-3439-1301)</t>
    <phoneticPr fontId="4" type="noConversion"/>
  </si>
  <si>
    <t>010-3439-1301</t>
    <phoneticPr fontId="4" type="noConversion"/>
  </si>
  <si>
    <t>김진우</t>
    <phoneticPr fontId="4" type="noConversion"/>
  </si>
  <si>
    <t>2/9발행(010-2819-2189)</t>
    <phoneticPr fontId="4" type="noConversion"/>
  </si>
  <si>
    <t>현금영수증</t>
    <phoneticPr fontId="4" type="noConversion"/>
  </si>
  <si>
    <t>매매사업자예정</t>
    <phoneticPr fontId="4" type="noConversion"/>
  </si>
  <si>
    <t>1/28발행(010-3138-2964)</t>
    <phoneticPr fontId="4" type="noConversion"/>
  </si>
  <si>
    <t>1/27발행(010-2020-2144)</t>
    <phoneticPr fontId="4" type="noConversion"/>
  </si>
  <si>
    <t>1/26발행(010-2429-3726)</t>
    <phoneticPr fontId="4" type="noConversion"/>
  </si>
  <si>
    <t>1/23발행(552-02-01353)</t>
    <phoneticPr fontId="4" type="noConversion"/>
  </si>
  <si>
    <t>세금계산서</t>
    <phoneticPr fontId="4" type="noConversion"/>
  </si>
  <si>
    <t>현금영수증</t>
    <phoneticPr fontId="4" type="noConversion"/>
  </si>
  <si>
    <t>1/29발행(352-07-03004)</t>
    <phoneticPr fontId="4" type="noConversion"/>
  </si>
  <si>
    <t>이강호(한림그린)</t>
    <phoneticPr fontId="4" type="noConversion"/>
  </si>
  <si>
    <t>이학상(이성미)</t>
    <phoneticPr fontId="4" type="noConversion"/>
  </si>
  <si>
    <t>2/10발행(010-2468-1921)</t>
    <phoneticPr fontId="4" type="noConversion"/>
  </si>
  <si>
    <t>2/10발행(010-7122-5678)</t>
    <phoneticPr fontId="4" type="noConversion"/>
  </si>
  <si>
    <t>서정수</t>
    <phoneticPr fontId="4" type="noConversion"/>
  </si>
  <si>
    <t>010-3660-4587</t>
    <phoneticPr fontId="4" type="noConversion"/>
  </si>
  <si>
    <t>부산지사</t>
    <phoneticPr fontId="4" type="noConversion"/>
  </si>
  <si>
    <t>조성재</t>
    <phoneticPr fontId="4" type="noConversion"/>
  </si>
  <si>
    <t>지원희</t>
    <phoneticPr fontId="4" type="noConversion"/>
  </si>
  <si>
    <t>강남지사</t>
    <phoneticPr fontId="4" type="noConversion"/>
  </si>
  <si>
    <t>진성헌</t>
    <phoneticPr fontId="4" type="noConversion"/>
  </si>
  <si>
    <t>류순기</t>
    <phoneticPr fontId="4" type="noConversion"/>
  </si>
  <si>
    <t>진은경</t>
    <phoneticPr fontId="4" type="noConversion"/>
  </si>
  <si>
    <t>1/12발행(010-9241-6417)</t>
    <phoneticPr fontId="4" type="noConversion"/>
  </si>
  <si>
    <t>세금계산서</t>
    <phoneticPr fontId="4" type="noConversion"/>
  </si>
  <si>
    <t>1/13발행</t>
    <phoneticPr fontId="4" type="noConversion"/>
  </si>
  <si>
    <t>현금영수증</t>
    <phoneticPr fontId="4" type="noConversion"/>
  </si>
  <si>
    <t>2/4발행(010-9164-3911)</t>
    <phoneticPr fontId="4" type="noConversion"/>
  </si>
  <si>
    <t>강금순, 이원재(경기광주스카이차)</t>
    <phoneticPr fontId="4" type="noConversion"/>
  </si>
  <si>
    <t>2/13발행(010-3054-7580)</t>
    <phoneticPr fontId="4" type="noConversion"/>
  </si>
  <si>
    <t>현금영수증</t>
    <phoneticPr fontId="4" type="noConversion"/>
  </si>
  <si>
    <t>하이즈홀딩스, 이병수</t>
    <phoneticPr fontId="4" type="noConversion"/>
  </si>
  <si>
    <t>010-6314-9233</t>
    <phoneticPr fontId="4" type="noConversion"/>
  </si>
  <si>
    <t>헥토</t>
    <phoneticPr fontId="4" type="noConversion"/>
  </si>
  <si>
    <t>계좌이체</t>
    <phoneticPr fontId="4" type="noConversion"/>
  </si>
  <si>
    <t>카드결제</t>
    <phoneticPr fontId="4" type="noConversion"/>
  </si>
  <si>
    <t>세금계산서</t>
    <phoneticPr fontId="4" type="noConversion"/>
  </si>
  <si>
    <t>김성식</t>
    <phoneticPr fontId="4" type="noConversion"/>
  </si>
  <si>
    <t>2/19발행(010-2587-8852)</t>
    <phoneticPr fontId="4" type="noConversion"/>
  </si>
  <si>
    <t>자진발급</t>
    <phoneticPr fontId="4" type="noConversion"/>
  </si>
  <si>
    <t>현금영수증</t>
    <phoneticPr fontId="4" type="noConversion"/>
  </si>
  <si>
    <t>2/19발행</t>
    <phoneticPr fontId="4" type="noConversion"/>
  </si>
  <si>
    <t>헥토</t>
    <phoneticPr fontId="4" type="noConversion"/>
  </si>
  <si>
    <t>X</t>
    <phoneticPr fontId="4" type="noConversion"/>
  </si>
  <si>
    <t>세금계산서</t>
    <phoneticPr fontId="4" type="noConversion"/>
  </si>
  <si>
    <t>계좌이체</t>
    <phoneticPr fontId="4" type="noConversion"/>
  </si>
  <si>
    <t>X</t>
    <phoneticPr fontId="4" type="noConversion"/>
  </si>
  <si>
    <t>카드결제</t>
    <phoneticPr fontId="4" type="noConversion"/>
  </si>
  <si>
    <t>현금영수증</t>
    <phoneticPr fontId="4" type="noConversion"/>
  </si>
  <si>
    <t>2/5발행(010-4927-4005)</t>
    <phoneticPr fontId="4" type="noConversion"/>
  </si>
  <si>
    <t>헥토</t>
    <phoneticPr fontId="4" type="noConversion"/>
  </si>
  <si>
    <t>2/5발행</t>
    <phoneticPr fontId="4" type="noConversion"/>
  </si>
  <si>
    <t>국민카드</t>
    <phoneticPr fontId="4" type="noConversion"/>
  </si>
  <si>
    <t>신한카드</t>
    <phoneticPr fontId="4" type="noConversion"/>
  </si>
  <si>
    <t>2/10발행</t>
    <phoneticPr fontId="4" type="noConversion"/>
  </si>
  <si>
    <t>2/12발행(010-3604-8692)</t>
    <phoneticPr fontId="4" type="noConversion"/>
  </si>
  <si>
    <t>2/10선발행</t>
    <phoneticPr fontId="4" type="noConversion"/>
  </si>
  <si>
    <t>2/2발행</t>
    <phoneticPr fontId="4" type="noConversion"/>
  </si>
  <si>
    <t>헥토</t>
    <phoneticPr fontId="4" type="noConversion"/>
  </si>
  <si>
    <t>헥토</t>
    <phoneticPr fontId="4" type="noConversion"/>
  </si>
  <si>
    <t>헥토</t>
    <phoneticPr fontId="4" type="noConversion"/>
  </si>
  <si>
    <t>2/2발행(010-7434-8623)</t>
    <phoneticPr fontId="4" type="noConversion"/>
  </si>
  <si>
    <t>2/2발행</t>
    <phoneticPr fontId="4" type="noConversion"/>
  </si>
  <si>
    <t>2/2발행(010-7434-8623)</t>
    <phoneticPr fontId="4" type="noConversion"/>
  </si>
  <si>
    <t>2/2발행</t>
    <phoneticPr fontId="4" type="noConversion"/>
  </si>
  <si>
    <t>2/9발행</t>
    <phoneticPr fontId="4" type="noConversion"/>
  </si>
  <si>
    <t>헥토</t>
    <phoneticPr fontId="4" type="noConversion"/>
  </si>
  <si>
    <t>2/9발행(010-8010-3443)</t>
    <phoneticPr fontId="4" type="noConversion"/>
  </si>
  <si>
    <t>2/4발행(010-6556-0048)</t>
    <phoneticPr fontId="4" type="noConversion"/>
  </si>
  <si>
    <t>2/4발행(010-2597-1667)</t>
    <phoneticPr fontId="4" type="noConversion"/>
  </si>
  <si>
    <t>2/5발행</t>
    <phoneticPr fontId="4" type="noConversion"/>
  </si>
  <si>
    <t>NH카드</t>
    <phoneticPr fontId="4" type="noConversion"/>
  </si>
  <si>
    <t>2/9발행(010-7170-1096)</t>
    <phoneticPr fontId="4" type="noConversion"/>
  </si>
  <si>
    <t>롯데카드</t>
    <phoneticPr fontId="4" type="noConversion"/>
  </si>
  <si>
    <t>1/28발행(010-2467-2190)</t>
    <phoneticPr fontId="4" type="noConversion"/>
  </si>
  <si>
    <t>1/28발행(010-9916-9356)</t>
    <phoneticPr fontId="4" type="noConversion"/>
  </si>
  <si>
    <t>1/28발행</t>
    <phoneticPr fontId="4" type="noConversion"/>
  </si>
  <si>
    <t>1/28발행(010-4126-3005)</t>
    <phoneticPr fontId="4" type="noConversion"/>
  </si>
  <si>
    <t>1/28발행</t>
    <phoneticPr fontId="4" type="noConversion"/>
  </si>
  <si>
    <t>1/28발행(010-9894-8100)</t>
    <phoneticPr fontId="4" type="noConversion"/>
  </si>
  <si>
    <t>1/28발행(010-6714-1973)</t>
    <phoneticPr fontId="4" type="noConversion"/>
  </si>
  <si>
    <t>1/29발행(010-4036-0675)</t>
    <phoneticPr fontId="4" type="noConversion"/>
  </si>
  <si>
    <t>1/29발행</t>
    <phoneticPr fontId="4" type="noConversion"/>
  </si>
  <si>
    <t>헥토</t>
    <phoneticPr fontId="4" type="noConversion"/>
  </si>
  <si>
    <t>1/29발행</t>
    <phoneticPr fontId="4" type="noConversion"/>
  </si>
  <si>
    <t>2/4발행(010-5029-1809)</t>
    <phoneticPr fontId="4" type="noConversion"/>
  </si>
  <si>
    <t>1/30발행(010-5215-2667)</t>
    <phoneticPr fontId="4" type="noConversion"/>
  </si>
  <si>
    <t>헥토</t>
    <phoneticPr fontId="4" type="noConversion"/>
  </si>
  <si>
    <t>1/30발행(608-81-33342)</t>
    <phoneticPr fontId="4" type="noConversion"/>
  </si>
  <si>
    <t>1/30발행</t>
    <phoneticPr fontId="4" type="noConversion"/>
  </si>
  <si>
    <t>1/30발행(010-6768-2023)</t>
    <phoneticPr fontId="4" type="noConversion"/>
  </si>
  <si>
    <t>2/2발행(010-3334-6708)</t>
    <phoneticPr fontId="4" type="noConversion"/>
  </si>
  <si>
    <t>2/2발행(010-8882-2160)</t>
    <phoneticPr fontId="4" type="noConversion"/>
  </si>
  <si>
    <t>2/2발행</t>
    <phoneticPr fontId="4" type="noConversion"/>
  </si>
  <si>
    <t>1/31발행(583-13-00015)</t>
    <phoneticPr fontId="4" type="noConversion"/>
  </si>
  <si>
    <t>2/2발행</t>
    <phoneticPr fontId="4" type="noConversion"/>
  </si>
  <si>
    <t>본   사</t>
    <phoneticPr fontId="4" type="noConversion"/>
  </si>
  <si>
    <t>신유진</t>
    <phoneticPr fontId="4" type="noConversion"/>
  </si>
  <si>
    <t>세금계산서</t>
    <phoneticPr fontId="4" type="noConversion"/>
  </si>
  <si>
    <t>정수환</t>
    <phoneticPr fontId="4" type="noConversion"/>
  </si>
  <si>
    <t>010-4290-5890</t>
    <phoneticPr fontId="4" type="noConversion"/>
  </si>
  <si>
    <t>황광원</t>
    <phoneticPr fontId="4" type="noConversion"/>
  </si>
  <si>
    <t>한형철(주식회사에이치시홀딩스)</t>
    <phoneticPr fontId="4" type="noConversion"/>
  </si>
  <si>
    <t>010-2385-0119</t>
    <phoneticPr fontId="4" type="noConversion"/>
  </si>
  <si>
    <t>강남지사</t>
    <phoneticPr fontId="4" type="noConversion"/>
  </si>
  <si>
    <t>정용구</t>
    <phoneticPr fontId="4" type="noConversion"/>
  </si>
  <si>
    <t>2/20발행(010-4290-5890)</t>
    <phoneticPr fontId="4" type="noConversion"/>
  </si>
  <si>
    <t>최재명</t>
    <phoneticPr fontId="4" type="noConversion"/>
  </si>
  <si>
    <t>봉은희</t>
    <phoneticPr fontId="4" type="noConversion"/>
  </si>
  <si>
    <t>지경현</t>
    <phoneticPr fontId="4" type="noConversion"/>
  </si>
  <si>
    <t>임철수</t>
    <phoneticPr fontId="4" type="noConversion"/>
  </si>
  <si>
    <t>삼성카드</t>
    <phoneticPr fontId="4" type="noConversion"/>
  </si>
  <si>
    <t>010-2264-7671</t>
    <phoneticPr fontId="4" type="noConversion"/>
  </si>
  <si>
    <t>조준형</t>
    <phoneticPr fontId="4" type="noConversion"/>
  </si>
  <si>
    <t>정민준</t>
    <phoneticPr fontId="4" type="noConversion"/>
  </si>
  <si>
    <t>신은호</t>
    <phoneticPr fontId="4" type="noConversion"/>
  </si>
  <si>
    <t>박정윤</t>
    <phoneticPr fontId="4" type="noConversion"/>
  </si>
  <si>
    <t>권오윤</t>
    <phoneticPr fontId="4" type="noConversion"/>
  </si>
  <si>
    <t>신유진</t>
    <phoneticPr fontId="4" type="noConversion"/>
  </si>
  <si>
    <t>컨설팅계약(추가)</t>
    <phoneticPr fontId="4" type="noConversion"/>
  </si>
  <si>
    <t>본   사</t>
    <phoneticPr fontId="4" type="noConversion"/>
  </si>
  <si>
    <t>정수환</t>
    <phoneticPr fontId="4" type="noConversion"/>
  </si>
  <si>
    <t>정은진</t>
    <phoneticPr fontId="4" type="noConversion"/>
  </si>
  <si>
    <t>정성목, 이수연(세아)</t>
    <phoneticPr fontId="4" type="noConversion"/>
  </si>
  <si>
    <t>2/23발행</t>
    <phoneticPr fontId="4" type="noConversion"/>
  </si>
  <si>
    <t>2/23발행(010-8716-6080)</t>
    <phoneticPr fontId="4" type="noConversion"/>
  </si>
  <si>
    <t>010-4237-7878</t>
    <phoneticPr fontId="4" type="noConversion"/>
  </si>
  <si>
    <t>본   사</t>
    <phoneticPr fontId="4" type="noConversion"/>
  </si>
  <si>
    <t>김창호</t>
    <phoneticPr fontId="4" type="noConversion"/>
  </si>
  <si>
    <t>010-8716-6080</t>
    <phoneticPr fontId="4" type="noConversion"/>
  </si>
  <si>
    <t>2/23발행(010-6391-7414)</t>
    <phoneticPr fontId="4" type="noConversion"/>
  </si>
  <si>
    <t>비씨카드</t>
    <phoneticPr fontId="4" type="noConversion"/>
  </si>
  <si>
    <t>010-6391-7414</t>
    <phoneticPr fontId="4" type="noConversion"/>
  </si>
  <si>
    <t>대전지사</t>
    <phoneticPr fontId="4" type="noConversion"/>
  </si>
  <si>
    <t>윤현석</t>
    <phoneticPr fontId="4" type="noConversion"/>
  </si>
  <si>
    <t>김태성, 김현주</t>
    <phoneticPr fontId="4" type="noConversion"/>
  </si>
  <si>
    <t>현금영수증</t>
    <phoneticPr fontId="4" type="noConversion"/>
  </si>
  <si>
    <t>2/23발행(010-5122-8095)</t>
    <phoneticPr fontId="4" type="noConversion"/>
  </si>
  <si>
    <t>강남지사</t>
    <phoneticPr fontId="4" type="noConversion"/>
  </si>
  <si>
    <t>김성환</t>
    <phoneticPr fontId="4" type="noConversion"/>
  </si>
  <si>
    <t>조한수</t>
    <phoneticPr fontId="4" type="noConversion"/>
  </si>
  <si>
    <t>계좌이체</t>
    <phoneticPr fontId="4" type="noConversion"/>
  </si>
  <si>
    <t>2/23발행(010-3076-3380)</t>
    <phoneticPr fontId="4" type="noConversion"/>
  </si>
  <si>
    <t>010-3076-3380</t>
    <phoneticPr fontId="4" type="noConversion"/>
  </si>
  <si>
    <t>본   사</t>
    <phoneticPr fontId="4" type="noConversion"/>
  </si>
  <si>
    <t>박정규</t>
    <phoneticPr fontId="4" type="noConversion"/>
  </si>
  <si>
    <t>허준</t>
    <phoneticPr fontId="4" type="noConversion"/>
  </si>
  <si>
    <t>강남지사</t>
    <phoneticPr fontId="4" type="noConversion"/>
  </si>
  <si>
    <t>(㈜동이)</t>
    <phoneticPr fontId="4" type="noConversion"/>
  </si>
  <si>
    <t>010-4819-8210</t>
    <phoneticPr fontId="4" type="noConversion"/>
  </si>
  <si>
    <t>이승연(우동가게)</t>
    <phoneticPr fontId="4" type="noConversion"/>
  </si>
  <si>
    <t>(가림직업재활센터)</t>
    <phoneticPr fontId="4" type="noConversion"/>
  </si>
  <si>
    <t>010-2901-9992</t>
    <phoneticPr fontId="4" type="noConversion"/>
  </si>
  <si>
    <t>본   사</t>
    <phoneticPr fontId="4" type="noConversion"/>
  </si>
  <si>
    <t>세금계산서</t>
    <phoneticPr fontId="4" type="noConversion"/>
  </si>
  <si>
    <t>2/24발행</t>
    <phoneticPr fontId="4" type="noConversion"/>
  </si>
  <si>
    <t>2/25발행(010-7178-9239)</t>
    <phoneticPr fontId="4" type="noConversion"/>
  </si>
  <si>
    <t>현금영수증</t>
    <phoneticPr fontId="4" type="noConversion"/>
  </si>
  <si>
    <t>2/25발행(010-6267-0365)</t>
    <phoneticPr fontId="4" type="noConversion"/>
  </si>
  <si>
    <t>2/25발행(010-2997-5508)</t>
    <phoneticPr fontId="4" type="noConversion"/>
  </si>
  <si>
    <t>김성환</t>
    <phoneticPr fontId="4" type="noConversion"/>
  </si>
  <si>
    <t>본   사</t>
    <phoneticPr fontId="4" type="noConversion"/>
  </si>
  <si>
    <t>정민준</t>
    <phoneticPr fontId="4" type="noConversion"/>
  </si>
  <si>
    <t xml:space="preserve">김을숙 </t>
    <phoneticPr fontId="4" type="noConversion"/>
  </si>
  <si>
    <t>2/25발행(010-2878-5395)</t>
    <phoneticPr fontId="4" type="noConversion"/>
  </si>
  <si>
    <t>강남지사</t>
    <phoneticPr fontId="4" type="noConversion"/>
  </si>
  <si>
    <t>권영주</t>
    <phoneticPr fontId="4" type="noConversion"/>
  </si>
  <si>
    <t>010-7178-9239</t>
    <phoneticPr fontId="4" type="noConversion"/>
  </si>
  <si>
    <t>세금계산서</t>
    <phoneticPr fontId="4" type="noConversion"/>
  </si>
  <si>
    <t>2/25선발행</t>
    <phoneticPr fontId="4" type="noConversion"/>
  </si>
  <si>
    <t>1/2발행(010-6203-0309) 2/25취소</t>
    <phoneticPr fontId="4" type="noConversion"/>
  </si>
  <si>
    <t>현금영수증</t>
    <phoneticPr fontId="4" type="noConversion"/>
  </si>
  <si>
    <t>2/25발행</t>
    <phoneticPr fontId="4" type="noConversion"/>
  </si>
  <si>
    <t>2/25발행(010-3956-2714)</t>
    <phoneticPr fontId="4" type="noConversion"/>
  </si>
  <si>
    <t>2/25발행(010-9182-2755)</t>
    <phoneticPr fontId="4" type="noConversion"/>
  </si>
  <si>
    <t>강남지사</t>
    <phoneticPr fontId="4" type="noConversion"/>
  </si>
  <si>
    <t>2/25발행(010-5332-1536)</t>
    <phoneticPr fontId="4" type="noConversion"/>
  </si>
  <si>
    <t>부산지사</t>
    <phoneticPr fontId="4" type="noConversion"/>
  </si>
  <si>
    <t>조성재</t>
    <phoneticPr fontId="4" type="noConversion"/>
  </si>
  <si>
    <t>김재욱</t>
    <phoneticPr fontId="4" type="noConversion"/>
  </si>
  <si>
    <t>박창희</t>
    <phoneticPr fontId="4" type="noConversion"/>
  </si>
  <si>
    <t>서정수</t>
    <phoneticPr fontId="4" type="noConversion"/>
  </si>
  <si>
    <t>최은자, 최서안</t>
    <phoneticPr fontId="4" type="noConversion"/>
  </si>
  <si>
    <t>현금영수증</t>
    <phoneticPr fontId="4" type="noConversion"/>
  </si>
  <si>
    <t>2/26발행(010-9177-9615)</t>
    <phoneticPr fontId="4" type="noConversion"/>
  </si>
  <si>
    <t>2/26발행(010-7772-0245)</t>
    <phoneticPr fontId="4" type="noConversion"/>
  </si>
  <si>
    <t>(유더블유제십오차유동화전문 유한회사)</t>
    <phoneticPr fontId="4" type="noConversion"/>
  </si>
  <si>
    <t>중개수수료</t>
    <phoneticPr fontId="4" type="noConversion"/>
  </si>
  <si>
    <t>2/24선발행</t>
    <phoneticPr fontId="4" type="noConversion"/>
  </si>
  <si>
    <t>본   사</t>
    <phoneticPr fontId="4" type="noConversion"/>
  </si>
  <si>
    <t>정수환</t>
    <phoneticPr fontId="4" type="noConversion"/>
  </si>
  <si>
    <t>오세광</t>
    <phoneticPr fontId="4" type="noConversion"/>
  </si>
  <si>
    <t>2/26발행(010-5249-1949)</t>
    <phoneticPr fontId="4" type="noConversion"/>
  </si>
  <si>
    <t>허인국, 허영희(보성상가)</t>
    <phoneticPr fontId="4" type="noConversion"/>
  </si>
  <si>
    <t>2/26발행</t>
    <phoneticPr fontId="4" type="noConversion"/>
  </si>
  <si>
    <t>010-5249-1949</t>
    <phoneticPr fontId="4" type="noConversion"/>
  </si>
  <si>
    <t>신유진</t>
    <phoneticPr fontId="4" type="noConversion"/>
  </si>
  <si>
    <t>손윤수</t>
    <phoneticPr fontId="4" type="noConversion"/>
  </si>
  <si>
    <t>자진발급</t>
    <phoneticPr fontId="4" type="noConversion"/>
  </si>
  <si>
    <t>2/26발행(010-5599-0214)</t>
    <phoneticPr fontId="4" type="noConversion"/>
  </si>
  <si>
    <t>현금영수증</t>
    <phoneticPr fontId="4" type="noConversion"/>
  </si>
  <si>
    <t>2/11발행(010-3329-5754)</t>
    <phoneticPr fontId="4" type="noConversion"/>
  </si>
  <si>
    <t>2/27발행(010-3679-3283)</t>
    <phoneticPr fontId="4" type="noConversion"/>
  </si>
  <si>
    <t>현금영수증</t>
    <phoneticPr fontId="4" type="noConversion"/>
  </si>
  <si>
    <t>2/12발행(766-74-00173)</t>
    <phoneticPr fontId="4" type="noConversion"/>
  </si>
  <si>
    <t>세금계산서</t>
    <phoneticPr fontId="4" type="noConversion"/>
  </si>
  <si>
    <t>황진이(다나두피탈모)</t>
    <phoneticPr fontId="4" type="noConversion"/>
  </si>
  <si>
    <t>2/25(757-88-00803)</t>
    <phoneticPr fontId="4" type="noConversion"/>
  </si>
  <si>
    <t>부산지사</t>
    <phoneticPr fontId="4" type="noConversion"/>
  </si>
  <si>
    <t>우정줄</t>
    <phoneticPr fontId="4" type="noConversion"/>
  </si>
  <si>
    <t>이동춘</t>
    <phoneticPr fontId="4" type="noConversion"/>
  </si>
  <si>
    <t>부산지사</t>
    <phoneticPr fontId="4" type="noConversion"/>
  </si>
  <si>
    <t>윤미진</t>
    <phoneticPr fontId="4" type="noConversion"/>
  </si>
  <si>
    <t>대전지사</t>
    <phoneticPr fontId="4" type="noConversion"/>
  </si>
  <si>
    <t>김성환</t>
    <phoneticPr fontId="4" type="noConversion"/>
  </si>
  <si>
    <t>3/3발행(010-2296-3847)</t>
    <phoneticPr fontId="4" type="noConversion"/>
  </si>
  <si>
    <t>010-9275-2114</t>
    <phoneticPr fontId="4" type="noConversion"/>
  </si>
  <si>
    <t>환불</t>
    <phoneticPr fontId="4" type="noConversion"/>
  </si>
  <si>
    <t>세금계산서</t>
    <phoneticPr fontId="4" type="noConversion"/>
  </si>
  <si>
    <t>세금계산서</t>
    <phoneticPr fontId="4" type="noConversion"/>
  </si>
  <si>
    <t>현금영수증</t>
    <phoneticPr fontId="4" type="noConversion"/>
  </si>
  <si>
    <t>민재연, 김동열(봉평막국수)</t>
    <phoneticPr fontId="4" type="noConversion"/>
  </si>
  <si>
    <t>세금계산서</t>
    <phoneticPr fontId="4" type="noConversion"/>
  </si>
  <si>
    <t>2/26발행</t>
    <phoneticPr fontId="4" type="noConversion"/>
  </si>
  <si>
    <t>이용관(우진산전)</t>
    <phoneticPr fontId="4" type="noConversion"/>
  </si>
  <si>
    <t>2/26발행</t>
    <phoneticPr fontId="4" type="noConversion"/>
  </si>
  <si>
    <t>2/26발행(010-3370-1455)</t>
    <phoneticPr fontId="4" type="noConversion"/>
  </si>
  <si>
    <t>양재석,윤경순(와이 앤 와이(y&amp;y))</t>
    <phoneticPr fontId="4" type="noConversion"/>
  </si>
  <si>
    <t>2/25발행(010-2098-4767)</t>
    <phoneticPr fontId="4" type="noConversion"/>
  </si>
  <si>
    <t>2/24발행</t>
    <phoneticPr fontId="4" type="noConversion"/>
  </si>
  <si>
    <t>이호, 김규진(주식회사 바로건축)</t>
    <phoneticPr fontId="4" type="noConversion"/>
  </si>
  <si>
    <t>세금계산서</t>
    <phoneticPr fontId="4" type="noConversion"/>
  </si>
  <si>
    <t>2/23발행</t>
    <phoneticPr fontId="4" type="noConversion"/>
  </si>
  <si>
    <t>자진발급</t>
    <phoneticPr fontId="4" type="noConversion"/>
  </si>
  <si>
    <t>2/20발행</t>
    <phoneticPr fontId="4" type="noConversion"/>
  </si>
  <si>
    <t>010-6250-7063</t>
    <phoneticPr fontId="4" type="noConversion"/>
  </si>
  <si>
    <t>김태형(러브시티)</t>
    <phoneticPr fontId="4" type="noConversion"/>
  </si>
  <si>
    <t>세금계산서</t>
    <phoneticPr fontId="4" type="noConversion"/>
  </si>
  <si>
    <t>3/25발행</t>
    <phoneticPr fontId="4" type="noConversion"/>
  </si>
  <si>
    <t>김태형(러브시티)</t>
    <phoneticPr fontId="4" type="noConversion"/>
  </si>
  <si>
    <t>3/25발행</t>
    <phoneticPr fontId="4" type="noConversion"/>
  </si>
  <si>
    <t>2/27발행(010-5581-7264)</t>
    <phoneticPr fontId="4" type="noConversion"/>
  </si>
  <si>
    <t>현금영수증</t>
    <phoneticPr fontId="4" type="noConversion"/>
  </si>
  <si>
    <t>2/27발행(010-3806-4044)</t>
    <phoneticPr fontId="4" type="noConversion"/>
  </si>
  <si>
    <t>세금계산서</t>
    <phoneticPr fontId="4" type="noConversion"/>
  </si>
  <si>
    <t>2/27발행(445-69-00189)</t>
    <phoneticPr fontId="4" type="noConversion"/>
  </si>
  <si>
    <t>이동호(하니온)</t>
    <phoneticPr fontId="4" type="noConversion"/>
  </si>
  <si>
    <t>환불</t>
    <phoneticPr fontId="4" type="noConversion"/>
  </si>
  <si>
    <t>010-3739-6029, 010-2878-5395</t>
    <phoneticPr fontId="4" type="noConversion"/>
  </si>
  <si>
    <t>010-3797-3337</t>
    <phoneticPr fontId="4" type="noConversion"/>
  </si>
  <si>
    <t>서준기(주식회사으뜸)</t>
    <phoneticPr fontId="4" type="noConversion"/>
  </si>
  <si>
    <t>010-8888-7988, 010-6444-7111</t>
    <phoneticPr fontId="4" type="noConversion"/>
  </si>
  <si>
    <t>허주일, 고은숙</t>
    <phoneticPr fontId="4" type="noConversion"/>
  </si>
  <si>
    <t>안지훈(스타오토모빌)</t>
    <phoneticPr fontId="4" type="noConversion"/>
  </si>
  <si>
    <t>010-3908-2608</t>
    <phoneticPr fontId="4" type="noConversion"/>
  </si>
  <si>
    <t>2/4발행(010-3908-2608)</t>
    <phoneticPr fontId="4" type="noConversion"/>
  </si>
  <si>
    <t>010-8521-4473</t>
    <phoneticPr fontId="4" type="noConversion"/>
  </si>
  <si>
    <t>010-3365-7927</t>
    <phoneticPr fontId="4" type="noConversion"/>
  </si>
  <si>
    <t>양혜진, 오승호</t>
    <phoneticPr fontId="4" type="noConversion"/>
  </si>
  <si>
    <t>010-7627-1332</t>
    <phoneticPr fontId="4" type="noConversion"/>
  </si>
  <si>
    <t>010-7550-5663</t>
    <phoneticPr fontId="4" type="noConversion"/>
  </si>
  <si>
    <t>010-7668-8859</t>
    <phoneticPr fontId="4" type="noConversion"/>
  </si>
  <si>
    <t>박춘홍</t>
    <phoneticPr fontId="4" type="noConversion"/>
  </si>
  <si>
    <t>위성민(주식회사로우스)</t>
    <phoneticPr fontId="4" type="noConversion"/>
  </si>
  <si>
    <t>나승은(대산엘리베이터)</t>
    <phoneticPr fontId="4" type="noConversion"/>
  </si>
  <si>
    <r>
      <t>김태현</t>
    </r>
    <r>
      <rPr>
        <sz val="11"/>
        <color theme="1"/>
        <rFont val="Calibri"/>
        <family val="3"/>
        <charset val="129"/>
        <scheme val="minor"/>
      </rPr>
      <t>(</t>
    </r>
    <r>
      <rPr>
        <sz val="11"/>
        <color theme="1"/>
        <rFont val="Calibri"/>
        <family val="3"/>
        <charset val="129"/>
        <scheme val="minor"/>
      </rPr>
      <t>주식회사케이</t>
    </r>
    <r>
      <rPr>
        <sz val="11"/>
        <color theme="1"/>
        <rFont val="Calibri"/>
        <family val="3"/>
        <charset val="129"/>
        <scheme val="minor"/>
      </rPr>
      <t>)</t>
    </r>
    <phoneticPr fontId="4" type="noConversion"/>
  </si>
  <si>
    <t>이재훈</t>
    <phoneticPr fontId="4" type="noConversion"/>
  </si>
  <si>
    <t>권혜숙, 이장현</t>
    <phoneticPr fontId="4" type="noConversion"/>
  </si>
  <si>
    <t>010-6516-8567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</si>
</sst>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_-* #,##0_-;\-* #,##0_-;_-* &quot;-&quot;_-;_-@"/>
    <numFmt numFmtId="178" formatCode="mm&quot;월&quot;\ dd&quot;일&quot;"/>
  </numFmts>
  <fonts count="19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rgb="FF0070C0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rgb="FFFF0000"/>
      <name val="Calibri"/>
      <family val="2"/>
      <scheme val="minor"/>
    </font>
    <font>
      <sz val="11"/>
      <name val="Malgun Gothic"/>
      <family val="3"/>
      <charset val="129"/>
    </font>
    <font>
      <sz val="11"/>
      <color rgb="FFFF0000"/>
      <name val="Calibri"/>
      <family val="3"/>
      <charset val="129"/>
      <scheme val="minor"/>
    </font>
    <font>
      <sz val="11"/>
      <name val="Calibri"/>
      <family val="2"/>
      <scheme val="minor"/>
    </font>
    <font>
      <sz val="11"/>
      <name val="Calibri"/>
      <family val="3"/>
      <charset val="129"/>
      <scheme val="minor"/>
    </font>
    <font>
      <sz val="11"/>
      <color rgb="FFFF0000"/>
      <name val="Calibri"/>
      <family val="2"/>
      <scheme val="min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0CECE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7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77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176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14" fontId="1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4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77" fontId="1" fillId="0" borderId="3" xfId="0" applyNumberFormat="1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9" fontId="1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14" fontId="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177" fontId="12" fillId="0" borderId="0" xfId="0" applyNumberFormat="1" applyFont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177" fontId="12" fillId="0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14" fontId="3" fillId="0" borderId="0" xfId="0" applyNumberFormat="1" applyFont="1" applyFill="1" applyAlignment="1">
      <alignment vertical="center"/>
    </xf>
    <xf numFmtId="177" fontId="3" fillId="0" borderId="0" xfId="0" applyNumberFormat="1" applyFont="1" applyFill="1" applyAlignment="1">
      <alignment vertical="center"/>
    </xf>
    <xf numFmtId="9" fontId="3" fillId="0" borderId="0" xfId="0" applyNumberFormat="1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vertical="center"/>
    </xf>
    <xf numFmtId="9" fontId="1" fillId="0" borderId="1" xfId="0" applyNumberFormat="1" applyFont="1" applyFill="1" applyBorder="1" applyAlignment="1">
      <alignment vertical="center"/>
    </xf>
    <xf numFmtId="14" fontId="3" fillId="0" borderId="1" xfId="0" applyNumberFormat="1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177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vertical="center"/>
    </xf>
    <xf numFmtId="0" fontId="0" fillId="0" borderId="0" xfId="0"/>
    <xf numFmtId="178" fontId="1" fillId="3" borderId="0" xfId="0" applyNumberFormat="1" applyFont="1" applyFill="1" applyAlignment="1">
      <alignment horizontal="left" vertical="center"/>
    </xf>
    <xf numFmtId="0" fontId="15" fillId="0" borderId="0" xfId="0" applyFont="1" applyAlignment="1">
      <alignment vertical="center"/>
    </xf>
    <xf numFmtId="177" fontId="3" fillId="3" borderId="0" xfId="0" applyNumberFormat="1" applyFont="1" applyFill="1" applyAlignment="1">
      <alignment vertical="center"/>
    </xf>
    <xf numFmtId="14" fontId="2" fillId="0" borderId="1" xfId="0" applyNumberFormat="1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14" fontId="1" fillId="0" borderId="0" xfId="0" applyNumberFormat="1" applyFont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177" fontId="1" fillId="0" borderId="0" xfId="0" applyNumberFormat="1" applyFont="1" applyBorder="1" applyAlignment="1">
      <alignment vertical="center"/>
    </xf>
    <xf numFmtId="176" fontId="3" fillId="0" borderId="0" xfId="0" applyNumberFormat="1" applyFont="1" applyFill="1" applyBorder="1" applyAlignment="1">
      <alignment vertical="center"/>
    </xf>
    <xf numFmtId="9" fontId="1" fillId="0" borderId="0" xfId="0" applyNumberFormat="1" applyFont="1" applyBorder="1" applyAlignment="1">
      <alignment vertical="center"/>
    </xf>
    <xf numFmtId="9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vertical="center"/>
    </xf>
    <xf numFmtId="9" fontId="3" fillId="0" borderId="1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77" fontId="3" fillId="0" borderId="0" xfId="0" applyNumberFormat="1" applyFont="1" applyBorder="1" applyAlignment="1">
      <alignment vertical="center"/>
    </xf>
    <xf numFmtId="177" fontId="3" fillId="0" borderId="0" xfId="0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177" fontId="12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14" fontId="12" fillId="0" borderId="0" xfId="0" applyNumberFormat="1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9" fontId="3" fillId="0" borderId="0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vertical="center"/>
    </xf>
    <xf numFmtId="9" fontId="1" fillId="0" borderId="3" xfId="0" applyNumberFormat="1" applyFont="1" applyFill="1" applyBorder="1" applyAlignment="1">
      <alignment vertical="center"/>
    </xf>
    <xf numFmtId="14" fontId="0" fillId="0" borderId="0" xfId="0" applyNumberFormat="1" applyFont="1" applyAlignment="1">
      <alignment vertical="center"/>
    </xf>
    <xf numFmtId="14" fontId="11" fillId="0" borderId="0" xfId="0" applyNumberFormat="1" applyFont="1" applyAlignment="1">
      <alignment vertical="center"/>
    </xf>
    <xf numFmtId="0" fontId="12" fillId="0" borderId="1" xfId="0" applyFont="1" applyFill="1" applyBorder="1" applyAlignment="1">
      <alignment vertical="center"/>
    </xf>
    <xf numFmtId="9" fontId="12" fillId="0" borderId="1" xfId="0" applyNumberFormat="1" applyFont="1" applyFill="1" applyBorder="1" applyAlignment="1">
      <alignment vertical="center"/>
    </xf>
    <xf numFmtId="177" fontId="12" fillId="0" borderId="1" xfId="0" applyNumberFormat="1" applyFont="1" applyFill="1" applyBorder="1" applyAlignment="1">
      <alignment vertical="center"/>
    </xf>
    <xf numFmtId="176" fontId="1" fillId="0" borderId="3" xfId="0" applyNumberFormat="1" applyFont="1" applyFill="1" applyBorder="1" applyAlignment="1">
      <alignment vertical="center"/>
    </xf>
    <xf numFmtId="14" fontId="2" fillId="0" borderId="3" xfId="0" applyNumberFormat="1" applyFont="1" applyFill="1" applyBorder="1" applyAlignment="1">
      <alignment vertical="center"/>
    </xf>
    <xf numFmtId="14" fontId="10" fillId="0" borderId="0" xfId="0" applyNumberFormat="1" applyFont="1" applyAlignment="1">
      <alignment vertical="center"/>
    </xf>
    <xf numFmtId="177" fontId="0" fillId="0" borderId="0" xfId="0" applyNumberFormat="1" applyFont="1" applyAlignment="1">
      <alignment vertical="center"/>
    </xf>
    <xf numFmtId="9" fontId="0" fillId="0" borderId="0" xfId="0" applyNumberFormat="1" applyFont="1" applyAlignment="1">
      <alignment vertical="center"/>
    </xf>
    <xf numFmtId="9" fontId="0" fillId="0" borderId="0" xfId="0" applyNumberFormat="1" applyFont="1" applyBorder="1" applyAlignment="1">
      <alignment vertical="center"/>
    </xf>
    <xf numFmtId="177" fontId="0" fillId="0" borderId="0" xfId="0" applyNumberFormat="1" applyFont="1" applyBorder="1" applyAlignment="1">
      <alignment vertical="center"/>
    </xf>
    <xf numFmtId="14" fontId="16" fillId="0" borderId="0" xfId="0" applyNumberFormat="1" applyFont="1" applyAlignment="1">
      <alignment vertical="center"/>
    </xf>
    <xf numFmtId="0" fontId="16" fillId="0" borderId="0" xfId="0" applyFont="1" applyFill="1" applyAlignment="1">
      <alignment vertical="center"/>
    </xf>
    <xf numFmtId="14" fontId="10" fillId="0" borderId="0" xfId="0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/>
    </xf>
    <xf numFmtId="14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4" fontId="10" fillId="0" borderId="3" xfId="0" applyNumberFormat="1" applyFont="1" applyFill="1" applyBorder="1" applyAlignment="1">
      <alignment vertical="center"/>
    </xf>
    <xf numFmtId="14" fontId="13" fillId="0" borderId="0" xfId="0" applyNumberFormat="1" applyFont="1" applyFill="1" applyAlignment="1">
      <alignment vertical="center"/>
    </xf>
    <xf numFmtId="14" fontId="11" fillId="0" borderId="0" xfId="0" applyNumberFormat="1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vertical="center"/>
    </xf>
  </cellXfs>
  <cellStyles count="1">
    <cellStyle name="표준" xfId="0" builtinId="0"/>
  </cellStyles>
  <dxfs count="99"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  <dxf>
      <font>
        <b val="0"/>
        <i val="0"/>
      </font>
      <fill>
        <patternFill>
          <bgColor theme="2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NULL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NUL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Z324"/>
  <sheetViews>
    <sheetView tabSelected="1" zoomScaleNormal="100" workbookViewId="0">
      <pane ySplit="1" topLeftCell="A2" activePane="bottomLeft" state="frozen"/>
      <selection pane="bottomLeft" activeCell="H16" sqref="H16"/>
    </sheetView>
  </sheetViews>
  <sheetFormatPr defaultColWidth="14.42578125" defaultRowHeight="15" customHeight="1"/>
  <cols>
    <col min="1" max="1" width="12.140625" customWidth="1"/>
    <col min="2" max="2" width="13.140625" style="36" customWidth="1"/>
    <col min="3" max="3" width="11.140625" customWidth="1"/>
    <col min="4" max="4" width="18.5703125" customWidth="1"/>
    <col min="5" max="5" width="15.28515625" customWidth="1"/>
    <col min="6" max="6" width="11.28515625" customWidth="1"/>
    <col min="7" max="7" width="19.28515625" customWidth="1"/>
    <col min="8" max="8" width="15.5703125" customWidth="1"/>
    <col min="9" max="10" width="14" customWidth="1"/>
    <col min="11" max="12" width="12" customWidth="1"/>
    <col min="13" max="13" width="11.5703125" style="36" customWidth="1"/>
    <col min="14" max="14" width="9.5703125" customWidth="1"/>
    <col min="15" max="15" width="6.7109375" customWidth="1"/>
    <col min="16" max="16" width="13.5703125" customWidth="1"/>
    <col min="17" max="17" width="10.28515625" customWidth="1"/>
    <col min="18" max="18" width="13" customWidth="1"/>
    <col min="19" max="19" width="18.42578125" customWidth="1"/>
    <col min="20" max="20" width="6.28515625" customWidth="1"/>
    <col min="21" max="21" width="10.85546875" customWidth="1"/>
    <col min="22" max="22" width="8.7109375" customWidth="1"/>
  </cols>
  <sheetData>
    <row r="1" spans="1:26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422</v>
      </c>
      <c r="F1" s="1" t="s">
        <v>4</v>
      </c>
      <c r="G1" s="1" t="s">
        <v>5</v>
      </c>
      <c r="H1" s="1" t="s">
        <v>6</v>
      </c>
      <c r="I1" s="1" t="s">
        <v>716</v>
      </c>
      <c r="J1" s="1" t="s">
        <v>7</v>
      </c>
      <c r="K1" s="2" t="s">
        <v>157</v>
      </c>
      <c r="L1" s="2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6" s="32" customFormat="1" ht="15" customHeight="1">
      <c r="A2" s="16">
        <v>46024</v>
      </c>
      <c r="B2" s="96" t="s">
        <v>181</v>
      </c>
      <c r="C2" s="4" t="s">
        <v>182</v>
      </c>
      <c r="D2" s="55" t="s">
        <v>183</v>
      </c>
      <c r="E2" s="4" t="s">
        <v>184</v>
      </c>
      <c r="F2" s="55" t="s">
        <v>17</v>
      </c>
      <c r="G2" s="18" t="s">
        <v>18</v>
      </c>
      <c r="H2" s="21">
        <v>46024</v>
      </c>
      <c r="I2" s="5">
        <v>550000</v>
      </c>
      <c r="J2" s="56">
        <f t="shared" ref="J2:J62" si="0">I2/1.1</f>
        <v>499999.99999999994</v>
      </c>
      <c r="K2" s="108"/>
      <c r="L2" s="68">
        <v>46024</v>
      </c>
      <c r="M2" s="26" t="s">
        <v>43</v>
      </c>
      <c r="N2" s="74" t="s">
        <v>19</v>
      </c>
      <c r="O2" s="80">
        <v>0.5</v>
      </c>
      <c r="P2" s="76">
        <f t="shared" ref="P2:P41" si="1">J2*O2</f>
        <v>249999.99999999997</v>
      </c>
      <c r="Q2" s="71"/>
      <c r="R2" s="76">
        <f t="shared" ref="R2:R41" si="2">J2-P2</f>
        <v>249999.99999999997</v>
      </c>
      <c r="S2" s="4" t="s">
        <v>185</v>
      </c>
    </row>
    <row r="3" spans="1:26" s="32" customFormat="1" ht="15" customHeight="1">
      <c r="A3" s="16">
        <v>46024</v>
      </c>
      <c r="B3" s="62" t="s">
        <v>50</v>
      </c>
      <c r="C3" s="4" t="s">
        <v>163</v>
      </c>
      <c r="D3" s="55" t="s">
        <v>164</v>
      </c>
      <c r="E3" s="4"/>
      <c r="F3" s="55" t="s">
        <v>17</v>
      </c>
      <c r="G3" s="18" t="s">
        <v>18</v>
      </c>
      <c r="H3" s="4"/>
      <c r="I3" s="5">
        <v>1100000</v>
      </c>
      <c r="J3" s="56">
        <f t="shared" si="0"/>
        <v>999999.99999999988</v>
      </c>
      <c r="K3" s="108">
        <v>46015</v>
      </c>
      <c r="L3" s="68">
        <v>46024</v>
      </c>
      <c r="M3" s="26" t="s">
        <v>21</v>
      </c>
      <c r="N3" s="55" t="s">
        <v>22</v>
      </c>
      <c r="O3" s="57">
        <v>0.5</v>
      </c>
      <c r="P3" s="56">
        <f t="shared" si="1"/>
        <v>499999.99999999994</v>
      </c>
      <c r="Q3" s="26"/>
      <c r="R3" s="56">
        <f t="shared" si="2"/>
        <v>499999.99999999994</v>
      </c>
      <c r="S3" s="22" t="s">
        <v>112</v>
      </c>
    </row>
    <row r="4" spans="1:26" s="32" customFormat="1" ht="15.75" customHeight="1">
      <c r="A4" s="16">
        <v>46024</v>
      </c>
      <c r="B4" s="62" t="s">
        <v>50</v>
      </c>
      <c r="C4" s="4" t="s">
        <v>165</v>
      </c>
      <c r="D4" s="55" t="s">
        <v>166</v>
      </c>
      <c r="E4" s="4"/>
      <c r="F4" s="55" t="s">
        <v>17</v>
      </c>
      <c r="G4" s="18" t="s">
        <v>18</v>
      </c>
      <c r="H4" s="4"/>
      <c r="I4" s="5">
        <v>550000</v>
      </c>
      <c r="J4" s="56">
        <f t="shared" si="0"/>
        <v>499999.99999999994</v>
      </c>
      <c r="K4" s="108">
        <v>46016</v>
      </c>
      <c r="L4" s="68">
        <v>46024</v>
      </c>
      <c r="M4" s="26" t="s">
        <v>21</v>
      </c>
      <c r="N4" s="55" t="s">
        <v>22</v>
      </c>
      <c r="O4" s="57">
        <v>0.5</v>
      </c>
      <c r="P4" s="56">
        <f t="shared" si="1"/>
        <v>249999.99999999997</v>
      </c>
      <c r="Q4" s="26"/>
      <c r="R4" s="56">
        <f t="shared" si="2"/>
        <v>249999.99999999997</v>
      </c>
      <c r="S4" s="22" t="s">
        <v>112</v>
      </c>
    </row>
    <row r="5" spans="1:26" s="32" customFormat="1" ht="15" customHeight="1">
      <c r="A5" s="16">
        <v>46024</v>
      </c>
      <c r="B5" s="96" t="s">
        <v>188</v>
      </c>
      <c r="C5" s="4" t="s">
        <v>57</v>
      </c>
      <c r="D5" s="55" t="s">
        <v>189</v>
      </c>
      <c r="E5" s="4" t="s">
        <v>190</v>
      </c>
      <c r="F5" s="55" t="s">
        <v>17</v>
      </c>
      <c r="G5" s="18" t="s">
        <v>18</v>
      </c>
      <c r="H5" s="21">
        <v>46024</v>
      </c>
      <c r="I5" s="5">
        <v>550000</v>
      </c>
      <c r="J5" s="56">
        <f t="shared" si="0"/>
        <v>499999.99999999994</v>
      </c>
      <c r="K5" s="108"/>
      <c r="L5" s="68">
        <v>46024</v>
      </c>
      <c r="M5" s="26" t="s">
        <v>43</v>
      </c>
      <c r="N5" s="74" t="s">
        <v>19</v>
      </c>
      <c r="O5" s="80">
        <v>0.5</v>
      </c>
      <c r="P5" s="76">
        <f t="shared" si="1"/>
        <v>249999.99999999997</v>
      </c>
      <c r="Q5" s="71"/>
      <c r="R5" s="76">
        <f t="shared" si="2"/>
        <v>249999.99999999997</v>
      </c>
      <c r="S5" s="4" t="s">
        <v>191</v>
      </c>
    </row>
    <row r="6" spans="1:26" s="32" customFormat="1" ht="15" customHeight="1">
      <c r="A6" s="81">
        <v>46024</v>
      </c>
      <c r="B6" s="96" t="s">
        <v>188</v>
      </c>
      <c r="C6" s="4" t="s">
        <v>57</v>
      </c>
      <c r="D6" s="55" t="s">
        <v>192</v>
      </c>
      <c r="E6" s="4"/>
      <c r="F6" s="55" t="s">
        <v>17</v>
      </c>
      <c r="G6" s="18" t="s">
        <v>77</v>
      </c>
      <c r="H6" s="21"/>
      <c r="I6" s="5">
        <v>2200000</v>
      </c>
      <c r="J6" s="56">
        <f t="shared" si="0"/>
        <v>1999999.9999999998</v>
      </c>
      <c r="K6" s="108"/>
      <c r="L6" s="68">
        <v>46024</v>
      </c>
      <c r="M6" s="26" t="s">
        <v>43</v>
      </c>
      <c r="N6" s="74" t="s">
        <v>19</v>
      </c>
      <c r="O6" s="80">
        <v>0.5</v>
      </c>
      <c r="P6" s="76">
        <f t="shared" si="1"/>
        <v>999999.99999999988</v>
      </c>
      <c r="Q6" s="71"/>
      <c r="R6" s="76">
        <f t="shared" si="2"/>
        <v>999999.99999999988</v>
      </c>
      <c r="S6" s="4" t="s">
        <v>193</v>
      </c>
    </row>
    <row r="7" spans="1:26" s="32" customFormat="1" ht="15" customHeight="1">
      <c r="A7" s="16">
        <v>46024</v>
      </c>
      <c r="B7" s="96" t="s">
        <v>188</v>
      </c>
      <c r="C7" s="4" t="s">
        <v>195</v>
      </c>
      <c r="D7" s="55" t="s">
        <v>196</v>
      </c>
      <c r="E7" s="4" t="s">
        <v>198</v>
      </c>
      <c r="F7" s="55" t="s">
        <v>17</v>
      </c>
      <c r="G7" s="18" t="s">
        <v>18</v>
      </c>
      <c r="H7" s="21">
        <v>46024</v>
      </c>
      <c r="I7" s="5">
        <v>1100000</v>
      </c>
      <c r="J7" s="56">
        <f t="shared" si="0"/>
        <v>999999.99999999988</v>
      </c>
      <c r="K7" s="108"/>
      <c r="L7" s="68">
        <v>46024</v>
      </c>
      <c r="M7" s="26" t="s">
        <v>43</v>
      </c>
      <c r="N7" s="74" t="s">
        <v>19</v>
      </c>
      <c r="O7" s="80">
        <v>0.5</v>
      </c>
      <c r="P7" s="76">
        <f t="shared" si="1"/>
        <v>499999.99999999994</v>
      </c>
      <c r="Q7" s="71"/>
      <c r="R7" s="76">
        <f t="shared" si="2"/>
        <v>499999.99999999994</v>
      </c>
      <c r="S7" s="4" t="s">
        <v>197</v>
      </c>
    </row>
    <row r="8" spans="1:26" s="32" customFormat="1" ht="15" customHeight="1">
      <c r="A8" s="16">
        <v>46027</v>
      </c>
      <c r="B8" s="14" t="s">
        <v>38</v>
      </c>
      <c r="C8" s="4" t="s">
        <v>44</v>
      </c>
      <c r="D8" s="55" t="s">
        <v>213</v>
      </c>
      <c r="E8" s="4" t="s">
        <v>339</v>
      </c>
      <c r="F8" s="55" t="s">
        <v>17</v>
      </c>
      <c r="G8" s="18" t="s">
        <v>18</v>
      </c>
      <c r="H8" s="21">
        <v>46036</v>
      </c>
      <c r="I8" s="5">
        <v>1100000</v>
      </c>
      <c r="J8" s="56">
        <f t="shared" si="0"/>
        <v>999999.99999999988</v>
      </c>
      <c r="K8" s="108"/>
      <c r="L8" s="68">
        <v>46027</v>
      </c>
      <c r="M8" s="26" t="s">
        <v>43</v>
      </c>
      <c r="N8" s="74" t="s">
        <v>19</v>
      </c>
      <c r="O8" s="80">
        <v>0.5</v>
      </c>
      <c r="P8" s="76">
        <f t="shared" si="1"/>
        <v>499999.99999999994</v>
      </c>
      <c r="Q8" s="71"/>
      <c r="R8" s="76">
        <f t="shared" si="2"/>
        <v>499999.99999999994</v>
      </c>
      <c r="S8" s="4" t="s">
        <v>215</v>
      </c>
    </row>
    <row r="9" spans="1:26" ht="15" customHeight="1">
      <c r="A9" s="81">
        <v>46027</v>
      </c>
      <c r="B9" s="26" t="s">
        <v>50</v>
      </c>
      <c r="C9" s="22" t="s">
        <v>51</v>
      </c>
      <c r="D9" s="4" t="s">
        <v>149</v>
      </c>
      <c r="E9" s="4"/>
      <c r="F9" s="22" t="s">
        <v>59</v>
      </c>
      <c r="G9" s="18" t="s">
        <v>77</v>
      </c>
      <c r="H9" s="4"/>
      <c r="I9" s="76">
        <v>2500000</v>
      </c>
      <c r="J9" s="76">
        <f t="shared" si="0"/>
        <v>2272727.2727272725</v>
      </c>
      <c r="L9" s="68">
        <v>46027</v>
      </c>
      <c r="M9" s="26" t="s">
        <v>43</v>
      </c>
      <c r="N9" s="4" t="s">
        <v>19</v>
      </c>
      <c r="O9" s="6">
        <v>0.5</v>
      </c>
      <c r="P9" s="5">
        <f t="shared" si="1"/>
        <v>1136363.6363636362</v>
      </c>
      <c r="Q9" s="14"/>
      <c r="R9" s="5">
        <f t="shared" si="2"/>
        <v>1136363.6363636362</v>
      </c>
      <c r="S9" s="4" t="s">
        <v>233</v>
      </c>
    </row>
    <row r="10" spans="1:26" s="32" customFormat="1" ht="15" customHeight="1">
      <c r="A10" s="16">
        <v>46027</v>
      </c>
      <c r="B10" s="14" t="s">
        <v>38</v>
      </c>
      <c r="C10" s="4" t="s">
        <v>39</v>
      </c>
      <c r="D10" s="55" t="s">
        <v>1112</v>
      </c>
      <c r="E10" s="4" t="s">
        <v>216</v>
      </c>
      <c r="F10" s="55" t="s">
        <v>17</v>
      </c>
      <c r="G10" s="18" t="s">
        <v>18</v>
      </c>
      <c r="H10" s="21">
        <v>46027</v>
      </c>
      <c r="I10" s="5">
        <v>2200000</v>
      </c>
      <c r="J10" s="56">
        <f t="shared" si="0"/>
        <v>1999999.9999999998</v>
      </c>
      <c r="K10" s="108"/>
      <c r="L10" s="68">
        <v>46027</v>
      </c>
      <c r="M10" s="26" t="s">
        <v>214</v>
      </c>
      <c r="N10" s="74" t="s">
        <v>19</v>
      </c>
      <c r="O10" s="80">
        <v>0.5</v>
      </c>
      <c r="P10" s="76">
        <f t="shared" si="1"/>
        <v>999999.99999999988</v>
      </c>
      <c r="Q10" s="71"/>
      <c r="R10" s="76">
        <f t="shared" si="2"/>
        <v>999999.99999999988</v>
      </c>
      <c r="S10" s="4" t="s">
        <v>1113</v>
      </c>
    </row>
    <row r="11" spans="1:26" s="32" customFormat="1" ht="15" customHeight="1">
      <c r="A11" s="16">
        <v>46028</v>
      </c>
      <c r="B11" s="96" t="s">
        <v>38</v>
      </c>
      <c r="C11" s="4" t="s">
        <v>218</v>
      </c>
      <c r="D11" s="55" t="s">
        <v>219</v>
      </c>
      <c r="E11" s="41" t="s">
        <v>229</v>
      </c>
      <c r="F11" s="55" t="s">
        <v>17</v>
      </c>
      <c r="G11" s="18" t="s">
        <v>18</v>
      </c>
      <c r="H11" s="42">
        <v>46028</v>
      </c>
      <c r="I11" s="5">
        <v>550000</v>
      </c>
      <c r="J11" s="56">
        <f t="shared" si="0"/>
        <v>499999.99999999994</v>
      </c>
      <c r="K11" s="108"/>
      <c r="L11" s="68">
        <v>46028</v>
      </c>
      <c r="M11" s="26" t="s">
        <v>226</v>
      </c>
      <c r="N11" s="74" t="s">
        <v>19</v>
      </c>
      <c r="O11" s="80">
        <v>0.5</v>
      </c>
      <c r="P11" s="76">
        <f t="shared" si="1"/>
        <v>249999.99999999997</v>
      </c>
      <c r="Q11" s="71"/>
      <c r="R11" s="76">
        <f t="shared" si="2"/>
        <v>249999.99999999997</v>
      </c>
      <c r="S11" s="4" t="s">
        <v>128</v>
      </c>
    </row>
    <row r="12" spans="1:26" ht="15" customHeight="1">
      <c r="A12" s="16">
        <v>46028</v>
      </c>
      <c r="B12" s="14" t="s">
        <v>38</v>
      </c>
      <c r="C12" s="4" t="s">
        <v>143</v>
      </c>
      <c r="D12" s="18" t="s">
        <v>220</v>
      </c>
      <c r="E12" s="4" t="s">
        <v>225</v>
      </c>
      <c r="F12" s="4" t="s">
        <v>17</v>
      </c>
      <c r="G12" s="18" t="s">
        <v>18</v>
      </c>
      <c r="H12" s="21">
        <v>46028</v>
      </c>
      <c r="I12" s="5">
        <v>440000</v>
      </c>
      <c r="J12" s="5">
        <f t="shared" si="0"/>
        <v>399999.99999999994</v>
      </c>
      <c r="L12" s="68">
        <v>46028</v>
      </c>
      <c r="M12" s="26" t="s">
        <v>42</v>
      </c>
      <c r="N12" s="74" t="s">
        <v>19</v>
      </c>
      <c r="O12" s="80">
        <v>0.5</v>
      </c>
      <c r="P12" s="76">
        <f t="shared" si="1"/>
        <v>199999.99999999997</v>
      </c>
      <c r="Q12" s="71"/>
      <c r="R12" s="76">
        <f t="shared" si="2"/>
        <v>199999.99999999997</v>
      </c>
      <c r="S12" s="18" t="s">
        <v>221</v>
      </c>
    </row>
    <row r="13" spans="1:26" s="32" customFormat="1" ht="15" customHeight="1">
      <c r="A13" s="16">
        <v>46028</v>
      </c>
      <c r="B13" s="14" t="s">
        <v>50</v>
      </c>
      <c r="C13" s="4" t="s">
        <v>168</v>
      </c>
      <c r="D13" s="55" t="s">
        <v>169</v>
      </c>
      <c r="E13" s="4"/>
      <c r="F13" s="55" t="s">
        <v>17</v>
      </c>
      <c r="G13" s="18" t="s">
        <v>18</v>
      </c>
      <c r="H13" s="21"/>
      <c r="I13" s="5">
        <v>550000</v>
      </c>
      <c r="J13" s="56">
        <f t="shared" si="0"/>
        <v>499999.99999999994</v>
      </c>
      <c r="K13" s="108">
        <v>46020</v>
      </c>
      <c r="L13" s="68">
        <v>46028</v>
      </c>
      <c r="M13" s="26" t="s">
        <v>21</v>
      </c>
      <c r="N13" s="55" t="s">
        <v>22</v>
      </c>
      <c r="O13" s="57">
        <v>0.5</v>
      </c>
      <c r="P13" s="56">
        <f t="shared" si="1"/>
        <v>249999.99999999997</v>
      </c>
      <c r="Q13" s="26"/>
      <c r="R13" s="56">
        <f t="shared" si="2"/>
        <v>249999.99999999997</v>
      </c>
      <c r="S13" s="22" t="s">
        <v>112</v>
      </c>
    </row>
    <row r="14" spans="1:26" ht="15" customHeight="1">
      <c r="A14" s="81">
        <v>46028</v>
      </c>
      <c r="B14" s="26" t="s">
        <v>52</v>
      </c>
      <c r="C14" s="18" t="s">
        <v>84</v>
      </c>
      <c r="D14" s="18" t="s">
        <v>156</v>
      </c>
      <c r="E14" s="4"/>
      <c r="F14" s="4" t="s">
        <v>17</v>
      </c>
      <c r="G14" s="18" t="s">
        <v>77</v>
      </c>
      <c r="H14" s="4"/>
      <c r="I14" s="5">
        <v>2827000</v>
      </c>
      <c r="J14" s="5">
        <f t="shared" si="0"/>
        <v>2570000</v>
      </c>
      <c r="L14" s="68">
        <v>46028</v>
      </c>
      <c r="M14" s="26" t="s">
        <v>43</v>
      </c>
      <c r="N14" s="4" t="s">
        <v>19</v>
      </c>
      <c r="O14" s="6">
        <v>0.5</v>
      </c>
      <c r="P14" s="5">
        <f t="shared" si="1"/>
        <v>1285000</v>
      </c>
      <c r="Q14" s="14"/>
      <c r="R14" s="5">
        <f t="shared" si="2"/>
        <v>1285000</v>
      </c>
      <c r="S14" s="4" t="s">
        <v>222</v>
      </c>
      <c r="T14" s="49"/>
      <c r="Z14" t="str">
        <f t="shared" ref="Z14" si="3">C14</f>
        <v>우진솔</v>
      </c>
    </row>
    <row r="15" spans="1:26" s="23" customFormat="1" ht="15" customHeight="1">
      <c r="A15" s="78">
        <v>46028</v>
      </c>
      <c r="B15" s="40" t="s">
        <v>52</v>
      </c>
      <c r="C15" s="20" t="s">
        <v>224</v>
      </c>
      <c r="D15" s="20" t="s">
        <v>223</v>
      </c>
      <c r="E15" s="9"/>
      <c r="F15" s="9" t="s">
        <v>17</v>
      </c>
      <c r="G15" s="20" t="s">
        <v>77</v>
      </c>
      <c r="H15" s="9"/>
      <c r="I15" s="10">
        <v>11024444</v>
      </c>
      <c r="J15" s="10">
        <f t="shared" si="0"/>
        <v>10022221.818181816</v>
      </c>
      <c r="L15" s="58">
        <v>46028</v>
      </c>
      <c r="M15" s="40" t="s">
        <v>48</v>
      </c>
      <c r="N15" s="9" t="s">
        <v>19</v>
      </c>
      <c r="O15" s="11">
        <v>0.5</v>
      </c>
      <c r="P15" s="10">
        <f t="shared" si="1"/>
        <v>5011110.9090909082</v>
      </c>
      <c r="Q15" s="8"/>
      <c r="R15" s="10">
        <f t="shared" si="2"/>
        <v>5011110.9090909082</v>
      </c>
      <c r="S15" s="20" t="s">
        <v>566</v>
      </c>
      <c r="Z15" s="23" t="str">
        <f t="shared" ref="Z15" si="4">C15</f>
        <v>도정운</v>
      </c>
    </row>
    <row r="16" spans="1:26" s="32" customFormat="1" ht="15" customHeight="1">
      <c r="A16" s="16">
        <v>46028</v>
      </c>
      <c r="B16" s="14" t="s">
        <v>49</v>
      </c>
      <c r="C16" s="4" t="s">
        <v>111</v>
      </c>
      <c r="D16" s="55" t="s">
        <v>180</v>
      </c>
      <c r="E16" s="4"/>
      <c r="F16" s="55" t="s">
        <v>17</v>
      </c>
      <c r="G16" s="18" t="s">
        <v>18</v>
      </c>
      <c r="H16" s="4"/>
      <c r="I16" s="5">
        <v>220000</v>
      </c>
      <c r="J16" s="56">
        <f t="shared" si="0"/>
        <v>199999.99999999997</v>
      </c>
      <c r="K16" s="108"/>
      <c r="L16" s="68">
        <v>46028</v>
      </c>
      <c r="M16" s="26" t="s">
        <v>463</v>
      </c>
      <c r="N16" s="74" t="s">
        <v>19</v>
      </c>
      <c r="O16" s="80">
        <v>0.5</v>
      </c>
      <c r="P16" s="76">
        <f t="shared" si="1"/>
        <v>99999.999999999985</v>
      </c>
      <c r="Q16" s="71"/>
      <c r="R16" s="76">
        <f t="shared" si="2"/>
        <v>99999.999999999985</v>
      </c>
      <c r="S16" s="15" t="s">
        <v>462</v>
      </c>
    </row>
    <row r="17" spans="1:19" s="32" customFormat="1" ht="15" customHeight="1">
      <c r="A17" s="16">
        <v>46028</v>
      </c>
      <c r="B17" s="96" t="s">
        <v>230</v>
      </c>
      <c r="C17" s="4" t="s">
        <v>69</v>
      </c>
      <c r="D17" s="55" t="s">
        <v>231</v>
      </c>
      <c r="E17" s="4"/>
      <c r="F17" s="55" t="s">
        <v>17</v>
      </c>
      <c r="G17" s="18" t="s">
        <v>18</v>
      </c>
      <c r="H17" s="4"/>
      <c r="I17" s="5">
        <v>550000</v>
      </c>
      <c r="J17" s="56">
        <f t="shared" si="0"/>
        <v>499999.99999999994</v>
      </c>
      <c r="K17" s="108"/>
      <c r="L17" s="68">
        <v>46028</v>
      </c>
      <c r="M17" s="26" t="s">
        <v>42</v>
      </c>
      <c r="N17" s="4" t="s">
        <v>19</v>
      </c>
      <c r="O17" s="6">
        <v>0.5</v>
      </c>
      <c r="P17" s="5">
        <f t="shared" si="1"/>
        <v>249999.99999999997</v>
      </c>
      <c r="Q17" s="14"/>
      <c r="R17" s="5">
        <f t="shared" si="2"/>
        <v>249999.99999999997</v>
      </c>
      <c r="S17" s="4" t="s">
        <v>234</v>
      </c>
    </row>
    <row r="18" spans="1:19" ht="15" customHeight="1">
      <c r="A18" s="81">
        <v>46028</v>
      </c>
      <c r="B18" s="26" t="s">
        <v>251</v>
      </c>
      <c r="C18" s="22" t="s">
        <v>44</v>
      </c>
      <c r="D18" s="4" t="s">
        <v>250</v>
      </c>
      <c r="E18" s="4"/>
      <c r="F18" s="22" t="s">
        <v>59</v>
      </c>
      <c r="G18" s="18" t="s">
        <v>77</v>
      </c>
      <c r="H18" s="4"/>
      <c r="I18" s="76">
        <v>7406300</v>
      </c>
      <c r="J18" s="76">
        <f t="shared" si="0"/>
        <v>6732999.9999999991</v>
      </c>
      <c r="L18" s="68">
        <v>46028</v>
      </c>
      <c r="M18" s="26" t="s">
        <v>132</v>
      </c>
      <c r="N18" s="4" t="s">
        <v>19</v>
      </c>
      <c r="O18" s="6">
        <v>0.5</v>
      </c>
      <c r="P18" s="5">
        <f t="shared" si="1"/>
        <v>3366499.9999999995</v>
      </c>
      <c r="Q18" s="14"/>
      <c r="R18" s="5">
        <f t="shared" si="2"/>
        <v>3366499.9999999995</v>
      </c>
      <c r="S18" s="4" t="s">
        <v>257</v>
      </c>
    </row>
    <row r="19" spans="1:19" ht="15" customHeight="1">
      <c r="A19" s="16">
        <v>46028</v>
      </c>
      <c r="B19" s="14" t="s">
        <v>49</v>
      </c>
      <c r="C19" s="4" t="s">
        <v>74</v>
      </c>
      <c r="D19" s="18" t="s">
        <v>135</v>
      </c>
      <c r="E19" s="4"/>
      <c r="F19" s="4" t="s">
        <v>17</v>
      </c>
      <c r="G19" s="18" t="s">
        <v>18</v>
      </c>
      <c r="H19" s="4"/>
      <c r="I19" s="5">
        <v>550000</v>
      </c>
      <c r="J19" s="5">
        <f t="shared" si="0"/>
        <v>499999.99999999994</v>
      </c>
      <c r="L19" s="68">
        <v>46028</v>
      </c>
      <c r="M19" s="26" t="s">
        <v>459</v>
      </c>
      <c r="N19" s="74" t="s">
        <v>19</v>
      </c>
      <c r="O19" s="80">
        <v>0.5</v>
      </c>
      <c r="P19" s="76">
        <f t="shared" si="1"/>
        <v>249999.99999999997</v>
      </c>
      <c r="Q19" s="71"/>
      <c r="R19" s="76">
        <f t="shared" si="2"/>
        <v>249999.99999999997</v>
      </c>
      <c r="S19" s="15" t="s">
        <v>464</v>
      </c>
    </row>
    <row r="20" spans="1:19" ht="15" customHeight="1">
      <c r="A20" s="16">
        <v>46029</v>
      </c>
      <c r="B20" s="14" t="s">
        <v>38</v>
      </c>
      <c r="C20" s="4" t="s">
        <v>56</v>
      </c>
      <c r="D20" s="18" t="s">
        <v>1123</v>
      </c>
      <c r="E20" s="4" t="s">
        <v>237</v>
      </c>
      <c r="F20" s="4" t="s">
        <v>17</v>
      </c>
      <c r="G20" s="18" t="s">
        <v>18</v>
      </c>
      <c r="H20" s="21">
        <v>46027</v>
      </c>
      <c r="I20" s="5">
        <v>2200000</v>
      </c>
      <c r="J20" s="5">
        <f t="shared" si="0"/>
        <v>1999999.9999999998</v>
      </c>
      <c r="L20" s="68">
        <v>46029</v>
      </c>
      <c r="M20" s="26" t="s">
        <v>238</v>
      </c>
      <c r="N20" s="74" t="s">
        <v>19</v>
      </c>
      <c r="O20" s="80">
        <v>0.5</v>
      </c>
      <c r="P20" s="76">
        <f t="shared" si="1"/>
        <v>999999.99999999988</v>
      </c>
      <c r="Q20" s="71"/>
      <c r="R20" s="76">
        <f t="shared" si="2"/>
        <v>999999.99999999988</v>
      </c>
      <c r="S20" s="4" t="s">
        <v>239</v>
      </c>
    </row>
    <row r="21" spans="1:19" ht="15" customHeight="1">
      <c r="A21" s="81">
        <v>46029</v>
      </c>
      <c r="B21" s="26" t="s">
        <v>241</v>
      </c>
      <c r="C21" s="22" t="s">
        <v>242</v>
      </c>
      <c r="D21" s="4" t="s">
        <v>240</v>
      </c>
      <c r="E21" s="4"/>
      <c r="F21" s="22" t="s">
        <v>59</v>
      </c>
      <c r="G21" s="18" t="s">
        <v>77</v>
      </c>
      <c r="H21" s="4"/>
      <c r="I21" s="76">
        <v>2882000</v>
      </c>
      <c r="J21" s="76">
        <f t="shared" si="0"/>
        <v>2620000</v>
      </c>
      <c r="L21" s="68">
        <v>46029</v>
      </c>
      <c r="M21" s="26" t="s">
        <v>466</v>
      </c>
      <c r="N21" s="4" t="s">
        <v>19</v>
      </c>
      <c r="O21" s="6">
        <v>0.5</v>
      </c>
      <c r="P21" s="5">
        <f t="shared" si="1"/>
        <v>1310000</v>
      </c>
      <c r="Q21" s="14"/>
      <c r="R21" s="5">
        <f t="shared" si="2"/>
        <v>1310000</v>
      </c>
      <c r="S21" s="15" t="s">
        <v>465</v>
      </c>
    </row>
    <row r="22" spans="1:19" ht="15" customHeight="1">
      <c r="A22" s="16">
        <v>46029</v>
      </c>
      <c r="B22" s="96" t="s">
        <v>38</v>
      </c>
      <c r="C22" s="4" t="s">
        <v>243</v>
      </c>
      <c r="D22" s="4" t="s">
        <v>244</v>
      </c>
      <c r="E22" s="4"/>
      <c r="F22" s="4" t="s">
        <v>17</v>
      </c>
      <c r="G22" s="4" t="s">
        <v>86</v>
      </c>
      <c r="H22" s="4"/>
      <c r="I22" s="5">
        <v>120000</v>
      </c>
      <c r="J22" s="5">
        <f t="shared" si="0"/>
        <v>109090.90909090909</v>
      </c>
      <c r="L22" s="68">
        <v>46029</v>
      </c>
      <c r="M22" s="26" t="s">
        <v>43</v>
      </c>
      <c r="N22" s="18" t="s">
        <v>19</v>
      </c>
      <c r="O22" s="31">
        <v>0.5</v>
      </c>
      <c r="P22" s="25">
        <f t="shared" si="1"/>
        <v>54545.454545454544</v>
      </c>
      <c r="Q22" s="17"/>
      <c r="R22" s="25">
        <f t="shared" si="2"/>
        <v>54545.454545454544</v>
      </c>
      <c r="S22" s="18" t="s">
        <v>245</v>
      </c>
    </row>
    <row r="23" spans="1:19" s="32" customFormat="1" ht="15" customHeight="1">
      <c r="A23" s="16">
        <v>46029</v>
      </c>
      <c r="B23" s="14" t="s">
        <v>170</v>
      </c>
      <c r="C23" s="4" t="s">
        <v>171</v>
      </c>
      <c r="D23" s="55" t="s">
        <v>172</v>
      </c>
      <c r="E23" s="4" t="s">
        <v>173</v>
      </c>
      <c r="F23" s="55" t="s">
        <v>17</v>
      </c>
      <c r="G23" s="18" t="s">
        <v>18</v>
      </c>
      <c r="H23" s="21">
        <v>46021</v>
      </c>
      <c r="I23" s="5">
        <v>550000</v>
      </c>
      <c r="J23" s="56">
        <f t="shared" si="0"/>
        <v>499999.99999999994</v>
      </c>
      <c r="K23" s="108">
        <v>46021</v>
      </c>
      <c r="L23" s="68">
        <v>45664</v>
      </c>
      <c r="M23" s="26" t="s">
        <v>21</v>
      </c>
      <c r="N23" s="55" t="s">
        <v>22</v>
      </c>
      <c r="O23" s="57">
        <v>0.5</v>
      </c>
      <c r="P23" s="56">
        <f t="shared" si="1"/>
        <v>249999.99999999997</v>
      </c>
      <c r="Q23" s="71"/>
      <c r="R23" s="56">
        <f t="shared" si="2"/>
        <v>249999.99999999997</v>
      </c>
      <c r="S23" s="22" t="s">
        <v>112</v>
      </c>
    </row>
    <row r="24" spans="1:19" s="23" customFormat="1" ht="15" customHeight="1">
      <c r="A24" s="19">
        <v>46029</v>
      </c>
      <c r="B24" s="70" t="s">
        <v>52</v>
      </c>
      <c r="C24" s="9" t="s">
        <v>174</v>
      </c>
      <c r="D24" s="89" t="s">
        <v>175</v>
      </c>
      <c r="E24" s="9"/>
      <c r="F24" s="83" t="s">
        <v>17</v>
      </c>
      <c r="G24" s="20" t="s">
        <v>24</v>
      </c>
      <c r="H24" s="34"/>
      <c r="I24" s="10">
        <v>110000</v>
      </c>
      <c r="J24" s="90">
        <f t="shared" si="0"/>
        <v>99999.999999999985</v>
      </c>
      <c r="K24" s="109">
        <v>46021</v>
      </c>
      <c r="L24" s="58" t="s">
        <v>176</v>
      </c>
      <c r="M24" s="40" t="s">
        <v>21</v>
      </c>
      <c r="N24" s="86" t="s">
        <v>22</v>
      </c>
      <c r="O24" s="88">
        <v>0.5</v>
      </c>
      <c r="P24" s="87">
        <f t="shared" si="1"/>
        <v>49999.999999999993</v>
      </c>
      <c r="Q24" s="71"/>
      <c r="R24" s="87">
        <f t="shared" si="2"/>
        <v>49999.999999999993</v>
      </c>
      <c r="S24" s="30" t="s">
        <v>112</v>
      </c>
    </row>
    <row r="25" spans="1:19" s="32" customFormat="1" ht="15" customHeight="1">
      <c r="A25" s="16">
        <v>46029</v>
      </c>
      <c r="B25" s="14" t="s">
        <v>177</v>
      </c>
      <c r="C25" s="4" t="s">
        <v>174</v>
      </c>
      <c r="D25" s="55" t="s">
        <v>175</v>
      </c>
      <c r="E25" s="4" t="s">
        <v>178</v>
      </c>
      <c r="F25" s="55" t="s">
        <v>17</v>
      </c>
      <c r="G25" s="18" t="s">
        <v>18</v>
      </c>
      <c r="H25" s="21">
        <v>46021</v>
      </c>
      <c r="I25" s="5">
        <v>550000</v>
      </c>
      <c r="J25" s="56">
        <f t="shared" si="0"/>
        <v>499999.99999999994</v>
      </c>
      <c r="K25" s="108">
        <v>46021</v>
      </c>
      <c r="L25" s="68">
        <v>45664</v>
      </c>
      <c r="M25" s="26" t="s">
        <v>21</v>
      </c>
      <c r="N25" s="55" t="s">
        <v>22</v>
      </c>
      <c r="O25" s="57">
        <v>0.5</v>
      </c>
      <c r="P25" s="56">
        <f t="shared" si="1"/>
        <v>249999.99999999997</v>
      </c>
      <c r="Q25" s="71"/>
      <c r="R25" s="56">
        <f t="shared" si="2"/>
        <v>249999.99999999997</v>
      </c>
      <c r="S25" s="22" t="s">
        <v>112</v>
      </c>
    </row>
    <row r="26" spans="1:19" ht="15" customHeight="1">
      <c r="A26" s="81">
        <v>46029</v>
      </c>
      <c r="B26" s="26" t="s">
        <v>50</v>
      </c>
      <c r="C26" s="22" t="s">
        <v>247</v>
      </c>
      <c r="D26" s="4" t="s">
        <v>246</v>
      </c>
      <c r="E26" s="4"/>
      <c r="F26" s="22" t="s">
        <v>59</v>
      </c>
      <c r="G26" s="18" t="s">
        <v>77</v>
      </c>
      <c r="H26" s="4"/>
      <c r="I26" s="76">
        <v>9900000</v>
      </c>
      <c r="J26" s="76">
        <f t="shared" si="0"/>
        <v>9000000</v>
      </c>
      <c r="L26" s="68">
        <v>46029</v>
      </c>
      <c r="M26" s="26" t="s">
        <v>591</v>
      </c>
      <c r="N26" s="4" t="s">
        <v>19</v>
      </c>
      <c r="O26" s="6">
        <v>0.5</v>
      </c>
      <c r="P26" s="5">
        <f t="shared" si="1"/>
        <v>4500000</v>
      </c>
      <c r="Q26" s="71"/>
      <c r="R26" s="5">
        <f t="shared" si="2"/>
        <v>4500000</v>
      </c>
      <c r="S26" s="18" t="s">
        <v>232</v>
      </c>
    </row>
    <row r="27" spans="1:19" ht="15" customHeight="1">
      <c r="A27" s="81">
        <v>46029</v>
      </c>
      <c r="B27" s="26" t="s">
        <v>38</v>
      </c>
      <c r="C27" s="18" t="s">
        <v>61</v>
      </c>
      <c r="D27" s="18" t="s">
        <v>153</v>
      </c>
      <c r="E27" s="4"/>
      <c r="F27" s="4" t="s">
        <v>17</v>
      </c>
      <c r="G27" s="18" t="s">
        <v>77</v>
      </c>
      <c r="H27" s="4"/>
      <c r="I27" s="5">
        <v>2772000</v>
      </c>
      <c r="J27" s="5">
        <f t="shared" si="0"/>
        <v>2520000</v>
      </c>
      <c r="L27" s="68">
        <v>46029</v>
      </c>
      <c r="M27" s="26" t="s">
        <v>43</v>
      </c>
      <c r="N27" s="4" t="s">
        <v>19</v>
      </c>
      <c r="O27" s="6">
        <v>0.5</v>
      </c>
      <c r="P27" s="5">
        <f t="shared" si="1"/>
        <v>1260000</v>
      </c>
      <c r="Q27" s="71"/>
      <c r="R27" s="5">
        <f t="shared" si="2"/>
        <v>1260000</v>
      </c>
      <c r="S27" s="4" t="s">
        <v>252</v>
      </c>
    </row>
    <row r="28" spans="1:19" s="32" customFormat="1" ht="15" customHeight="1">
      <c r="A28" s="16">
        <v>46029</v>
      </c>
      <c r="B28" s="96" t="s">
        <v>249</v>
      </c>
      <c r="C28" s="4" t="s">
        <v>79</v>
      </c>
      <c r="D28" s="55" t="s">
        <v>248</v>
      </c>
      <c r="E28" s="4"/>
      <c r="F28" s="55" t="s">
        <v>17</v>
      </c>
      <c r="G28" s="18" t="s">
        <v>18</v>
      </c>
      <c r="H28" s="4"/>
      <c r="I28" s="5">
        <v>550000</v>
      </c>
      <c r="J28" s="56">
        <f t="shared" si="0"/>
        <v>499999.99999999994</v>
      </c>
      <c r="K28" s="108"/>
      <c r="L28" s="68">
        <v>46029</v>
      </c>
      <c r="M28" s="26" t="s">
        <v>459</v>
      </c>
      <c r="N28" s="4" t="s">
        <v>19</v>
      </c>
      <c r="O28" s="6">
        <v>0.5</v>
      </c>
      <c r="P28" s="5">
        <f t="shared" si="1"/>
        <v>249999.99999999997</v>
      </c>
      <c r="Q28" s="71"/>
      <c r="R28" s="5">
        <f t="shared" si="2"/>
        <v>249999.99999999997</v>
      </c>
      <c r="S28" s="15" t="s">
        <v>467</v>
      </c>
    </row>
    <row r="29" spans="1:19" ht="15" customHeight="1">
      <c r="A29" s="16">
        <v>46029</v>
      </c>
      <c r="B29" s="69" t="s">
        <v>253</v>
      </c>
      <c r="C29" s="4" t="s">
        <v>145</v>
      </c>
      <c r="D29" s="18" t="s">
        <v>254</v>
      </c>
      <c r="E29" s="4"/>
      <c r="F29" s="4" t="s">
        <v>17</v>
      </c>
      <c r="G29" s="18" t="s">
        <v>24</v>
      </c>
      <c r="H29" s="21"/>
      <c r="I29" s="5">
        <v>220000</v>
      </c>
      <c r="J29" s="5">
        <f t="shared" si="0"/>
        <v>199999.99999999997</v>
      </c>
      <c r="L29" s="68">
        <v>46029</v>
      </c>
      <c r="M29" s="26" t="s">
        <v>42</v>
      </c>
      <c r="N29" s="74" t="s">
        <v>19</v>
      </c>
      <c r="O29" s="80">
        <v>0.5</v>
      </c>
      <c r="P29" s="76">
        <f t="shared" si="1"/>
        <v>99999.999999999985</v>
      </c>
      <c r="Q29" s="71"/>
      <c r="R29" s="76">
        <f t="shared" si="2"/>
        <v>99999.999999999985</v>
      </c>
      <c r="S29" s="18" t="s">
        <v>232</v>
      </c>
    </row>
    <row r="30" spans="1:19" s="32" customFormat="1" ht="15" customHeight="1">
      <c r="A30" s="81">
        <v>46029</v>
      </c>
      <c r="B30" s="14" t="s">
        <v>50</v>
      </c>
      <c r="C30" s="4" t="s">
        <v>72</v>
      </c>
      <c r="D30" s="55" t="s">
        <v>179</v>
      </c>
      <c r="E30" s="4"/>
      <c r="F30" s="55" t="s">
        <v>17</v>
      </c>
      <c r="G30" s="18" t="s">
        <v>77</v>
      </c>
      <c r="H30" s="4"/>
      <c r="I30" s="5">
        <v>2200000</v>
      </c>
      <c r="J30" s="56">
        <f t="shared" si="0"/>
        <v>1999999.9999999998</v>
      </c>
      <c r="K30" s="108"/>
      <c r="L30" s="68">
        <v>46029</v>
      </c>
      <c r="M30" s="26" t="s">
        <v>782</v>
      </c>
      <c r="N30" s="18" t="s">
        <v>19</v>
      </c>
      <c r="O30" s="31">
        <v>0.5</v>
      </c>
      <c r="P30" s="25">
        <f t="shared" si="1"/>
        <v>999999.99999999988</v>
      </c>
      <c r="Q30" s="71"/>
      <c r="R30" s="25">
        <f t="shared" si="2"/>
        <v>999999.99999999988</v>
      </c>
      <c r="S30" s="18" t="s">
        <v>783</v>
      </c>
    </row>
    <row r="31" spans="1:19" ht="15" customHeight="1">
      <c r="A31" s="16">
        <v>46030</v>
      </c>
      <c r="B31" s="96" t="s">
        <v>49</v>
      </c>
      <c r="C31" s="4" t="s">
        <v>258</v>
      </c>
      <c r="D31" s="4" t="s">
        <v>469</v>
      </c>
      <c r="E31" s="4"/>
      <c r="F31" s="4" t="s">
        <v>17</v>
      </c>
      <c r="G31" s="4" t="s">
        <v>86</v>
      </c>
      <c r="H31" s="4"/>
      <c r="I31" s="5">
        <v>120000</v>
      </c>
      <c r="J31" s="5">
        <f t="shared" si="0"/>
        <v>109090.90909090909</v>
      </c>
      <c r="L31" s="68">
        <v>46030</v>
      </c>
      <c r="M31" s="26" t="s">
        <v>460</v>
      </c>
      <c r="N31" s="18" t="s">
        <v>19</v>
      </c>
      <c r="O31" s="31">
        <v>0.5</v>
      </c>
      <c r="P31" s="25">
        <f t="shared" si="1"/>
        <v>54545.454545454544</v>
      </c>
      <c r="Q31" s="71"/>
      <c r="R31" s="25">
        <f t="shared" si="2"/>
        <v>54545.454545454544</v>
      </c>
      <c r="S31" s="33" t="s">
        <v>468</v>
      </c>
    </row>
    <row r="32" spans="1:19" ht="15" customHeight="1">
      <c r="A32" s="81">
        <v>46030</v>
      </c>
      <c r="B32" s="96" t="s">
        <v>49</v>
      </c>
      <c r="C32" s="18" t="s">
        <v>259</v>
      </c>
      <c r="D32" s="18" t="s">
        <v>160</v>
      </c>
      <c r="E32" s="4"/>
      <c r="F32" s="4" t="s">
        <v>17</v>
      </c>
      <c r="G32" s="18" t="s">
        <v>77</v>
      </c>
      <c r="H32" s="4"/>
      <c r="I32" s="5">
        <v>2574000</v>
      </c>
      <c r="J32" s="5">
        <f t="shared" si="0"/>
        <v>2340000</v>
      </c>
      <c r="L32" s="68">
        <v>46030</v>
      </c>
      <c r="M32" s="26" t="s">
        <v>43</v>
      </c>
      <c r="N32" s="4" t="s">
        <v>19</v>
      </c>
      <c r="O32" s="6">
        <v>0.5</v>
      </c>
      <c r="P32" s="5">
        <f t="shared" si="1"/>
        <v>1170000</v>
      </c>
      <c r="Q32" s="71"/>
      <c r="R32" s="5">
        <f t="shared" si="2"/>
        <v>1170000</v>
      </c>
      <c r="S32" s="15" t="s">
        <v>470</v>
      </c>
    </row>
    <row r="33" spans="1:20" s="32" customFormat="1" ht="15" customHeight="1">
      <c r="A33" s="16">
        <v>46030</v>
      </c>
      <c r="B33" s="96" t="s">
        <v>38</v>
      </c>
      <c r="C33" s="4" t="s">
        <v>39</v>
      </c>
      <c r="D33" s="55" t="s">
        <v>263</v>
      </c>
      <c r="E33" s="4" t="s">
        <v>410</v>
      </c>
      <c r="F33" s="55" t="s">
        <v>17</v>
      </c>
      <c r="G33" s="18" t="s">
        <v>18</v>
      </c>
      <c r="H33" s="21">
        <v>46041</v>
      </c>
      <c r="I33" s="5">
        <v>550000</v>
      </c>
      <c r="J33" s="56">
        <f t="shared" si="0"/>
        <v>499999.99999999994</v>
      </c>
      <c r="K33" s="108"/>
      <c r="L33" s="68">
        <v>46030</v>
      </c>
      <c r="M33" s="26" t="s">
        <v>264</v>
      </c>
      <c r="N33" s="4" t="s">
        <v>19</v>
      </c>
      <c r="O33" s="6">
        <v>0.5</v>
      </c>
      <c r="P33" s="5">
        <f t="shared" si="1"/>
        <v>249999.99999999997</v>
      </c>
      <c r="Q33" s="71"/>
      <c r="R33" s="5">
        <f t="shared" si="2"/>
        <v>249999.99999999997</v>
      </c>
      <c r="S33" s="4" t="s">
        <v>265</v>
      </c>
    </row>
    <row r="34" spans="1:20" s="32" customFormat="1" ht="15" customHeight="1">
      <c r="A34" s="16">
        <v>46030</v>
      </c>
      <c r="B34" s="96" t="s">
        <v>260</v>
      </c>
      <c r="C34" s="4" t="s">
        <v>261</v>
      </c>
      <c r="D34" s="55" t="s">
        <v>262</v>
      </c>
      <c r="E34" s="4"/>
      <c r="F34" s="55" t="s">
        <v>17</v>
      </c>
      <c r="G34" s="18" t="s">
        <v>18</v>
      </c>
      <c r="H34" s="4"/>
      <c r="I34" s="5">
        <v>2200000</v>
      </c>
      <c r="J34" s="56">
        <f t="shared" si="0"/>
        <v>1999999.9999999998</v>
      </c>
      <c r="K34" s="108"/>
      <c r="L34" s="68">
        <v>46030</v>
      </c>
      <c r="M34" s="26" t="s">
        <v>42</v>
      </c>
      <c r="N34" s="18" t="s">
        <v>19</v>
      </c>
      <c r="O34" s="31">
        <v>0.5</v>
      </c>
      <c r="P34" s="25">
        <f t="shared" si="1"/>
        <v>999999.99999999988</v>
      </c>
      <c r="Q34" s="71"/>
      <c r="R34" s="25">
        <f t="shared" si="2"/>
        <v>999999.99999999988</v>
      </c>
      <c r="S34" s="18" t="s">
        <v>784</v>
      </c>
    </row>
    <row r="35" spans="1:20" s="32" customFormat="1" ht="15" customHeight="1">
      <c r="A35" s="16">
        <v>46031</v>
      </c>
      <c r="B35" s="96" t="s">
        <v>38</v>
      </c>
      <c r="C35" s="4" t="s">
        <v>55</v>
      </c>
      <c r="D35" s="55" t="s">
        <v>255</v>
      </c>
      <c r="E35" s="4" t="s">
        <v>270</v>
      </c>
      <c r="F35" s="55" t="s">
        <v>17</v>
      </c>
      <c r="G35" s="18" t="s">
        <v>18</v>
      </c>
      <c r="H35" s="21">
        <v>46029</v>
      </c>
      <c r="I35" s="5">
        <v>550000</v>
      </c>
      <c r="J35" s="56">
        <f t="shared" si="0"/>
        <v>499999.99999999994</v>
      </c>
      <c r="K35" s="108">
        <v>46029</v>
      </c>
      <c r="L35" s="68">
        <v>46031</v>
      </c>
      <c r="M35" s="26" t="s">
        <v>21</v>
      </c>
      <c r="N35" s="55" t="s">
        <v>22</v>
      </c>
      <c r="O35" s="57">
        <v>0.5</v>
      </c>
      <c r="P35" s="56">
        <f t="shared" si="1"/>
        <v>249999.99999999997</v>
      </c>
      <c r="Q35" s="71"/>
      <c r="R35" s="56">
        <f t="shared" si="2"/>
        <v>249999.99999999997</v>
      </c>
      <c r="S35" s="22" t="s">
        <v>256</v>
      </c>
    </row>
    <row r="36" spans="1:20" s="23" customFormat="1" ht="15" customHeight="1">
      <c r="A36" s="19">
        <v>46031</v>
      </c>
      <c r="B36" s="70" t="s">
        <v>49</v>
      </c>
      <c r="C36" s="9" t="s">
        <v>272</v>
      </c>
      <c r="D36" s="9" t="s">
        <v>134</v>
      </c>
      <c r="E36" s="9"/>
      <c r="F36" s="9" t="s">
        <v>17</v>
      </c>
      <c r="G36" s="9" t="s">
        <v>86</v>
      </c>
      <c r="H36" s="9"/>
      <c r="I36" s="10">
        <v>120000</v>
      </c>
      <c r="J36" s="10">
        <f t="shared" si="0"/>
        <v>109090.90909090909</v>
      </c>
      <c r="L36" s="58">
        <v>46031</v>
      </c>
      <c r="M36" s="38" t="s">
        <v>21</v>
      </c>
      <c r="N36" s="20" t="s">
        <v>19</v>
      </c>
      <c r="O36" s="52">
        <v>0.5</v>
      </c>
      <c r="P36" s="51">
        <f t="shared" si="1"/>
        <v>54545.454545454544</v>
      </c>
      <c r="Q36" s="71"/>
      <c r="R36" s="51">
        <f t="shared" si="2"/>
        <v>54545.454545454544</v>
      </c>
      <c r="S36" s="20"/>
      <c r="T36" s="53"/>
    </row>
    <row r="37" spans="1:20" s="32" customFormat="1" ht="15" customHeight="1">
      <c r="A37" s="16">
        <v>46031</v>
      </c>
      <c r="B37" s="96" t="s">
        <v>38</v>
      </c>
      <c r="C37" s="4" t="s">
        <v>61</v>
      </c>
      <c r="D37" s="55" t="s">
        <v>1125</v>
      </c>
      <c r="E37" s="4" t="s">
        <v>1124</v>
      </c>
      <c r="F37" s="55" t="s">
        <v>17</v>
      </c>
      <c r="G37" s="18" t="s">
        <v>18</v>
      </c>
      <c r="H37" s="21">
        <v>46029</v>
      </c>
      <c r="I37" s="5">
        <v>2200000</v>
      </c>
      <c r="J37" s="56">
        <f t="shared" si="0"/>
        <v>1999999.9999999998</v>
      </c>
      <c r="K37" s="108">
        <v>46029</v>
      </c>
      <c r="L37" s="68">
        <v>46031</v>
      </c>
      <c r="M37" s="26" t="s">
        <v>21</v>
      </c>
      <c r="N37" s="55" t="s">
        <v>22</v>
      </c>
      <c r="O37" s="57">
        <v>0.5</v>
      </c>
      <c r="P37" s="56">
        <f t="shared" si="1"/>
        <v>999999.99999999988</v>
      </c>
      <c r="Q37" s="71"/>
      <c r="R37" s="56">
        <f t="shared" si="2"/>
        <v>999999.99999999988</v>
      </c>
      <c r="S37" s="22" t="s">
        <v>41</v>
      </c>
    </row>
    <row r="38" spans="1:20" s="32" customFormat="1" ht="15" customHeight="1">
      <c r="A38" s="16">
        <v>46031</v>
      </c>
      <c r="B38" s="14" t="s">
        <v>52</v>
      </c>
      <c r="C38" s="4" t="s">
        <v>186</v>
      </c>
      <c r="D38" s="55" t="s">
        <v>187</v>
      </c>
      <c r="E38" s="4" t="s">
        <v>194</v>
      </c>
      <c r="F38" s="55" t="s">
        <v>17</v>
      </c>
      <c r="G38" s="18" t="s">
        <v>18</v>
      </c>
      <c r="H38" s="21">
        <v>46024</v>
      </c>
      <c r="I38" s="5">
        <v>2200000</v>
      </c>
      <c r="J38" s="56">
        <f t="shared" si="0"/>
        <v>1999999.9999999998</v>
      </c>
      <c r="K38" s="108">
        <v>46024</v>
      </c>
      <c r="L38" s="68">
        <v>46031</v>
      </c>
      <c r="M38" s="26" t="s">
        <v>21</v>
      </c>
      <c r="N38" s="55" t="s">
        <v>22</v>
      </c>
      <c r="O38" s="57">
        <v>0.5</v>
      </c>
      <c r="P38" s="56">
        <f t="shared" si="1"/>
        <v>999999.99999999988</v>
      </c>
      <c r="Q38" s="71"/>
      <c r="R38" s="56">
        <f t="shared" si="2"/>
        <v>999999.99999999988</v>
      </c>
      <c r="S38" s="22" t="s">
        <v>112</v>
      </c>
    </row>
    <row r="39" spans="1:20" s="32" customFormat="1" ht="15" customHeight="1">
      <c r="A39" s="16">
        <v>46031</v>
      </c>
      <c r="B39" s="14" t="s">
        <v>49</v>
      </c>
      <c r="C39" s="4" t="s">
        <v>201</v>
      </c>
      <c r="D39" s="55" t="s">
        <v>204</v>
      </c>
      <c r="E39" s="4"/>
      <c r="F39" s="55" t="s">
        <v>17</v>
      </c>
      <c r="G39" s="18" t="s">
        <v>18</v>
      </c>
      <c r="H39" s="21"/>
      <c r="I39" s="5">
        <v>550000</v>
      </c>
      <c r="J39" s="56">
        <f t="shared" si="0"/>
        <v>499999.99999999994</v>
      </c>
      <c r="K39" s="108">
        <v>46026</v>
      </c>
      <c r="L39" s="68">
        <v>46031</v>
      </c>
      <c r="M39" s="26" t="s">
        <v>21</v>
      </c>
      <c r="N39" s="55" t="s">
        <v>22</v>
      </c>
      <c r="O39" s="57">
        <v>0.5</v>
      </c>
      <c r="P39" s="56">
        <f t="shared" si="1"/>
        <v>249999.99999999997</v>
      </c>
      <c r="Q39" s="71"/>
      <c r="R39" s="56">
        <f t="shared" si="2"/>
        <v>249999.99999999997</v>
      </c>
      <c r="S39" s="22" t="s">
        <v>112</v>
      </c>
    </row>
    <row r="40" spans="1:20" s="32" customFormat="1" ht="15" customHeight="1">
      <c r="A40" s="16">
        <v>46031</v>
      </c>
      <c r="B40" s="14" t="s">
        <v>199</v>
      </c>
      <c r="C40" s="4" t="s">
        <v>202</v>
      </c>
      <c r="D40" s="55" t="s">
        <v>205</v>
      </c>
      <c r="E40" s="4" t="s">
        <v>1133</v>
      </c>
      <c r="F40" s="55" t="s">
        <v>17</v>
      </c>
      <c r="G40" s="18" t="s">
        <v>18</v>
      </c>
      <c r="H40" s="21">
        <v>46027</v>
      </c>
      <c r="I40" s="5">
        <v>550000</v>
      </c>
      <c r="J40" s="56">
        <f t="shared" si="0"/>
        <v>499999.99999999994</v>
      </c>
      <c r="K40" s="108">
        <v>46026</v>
      </c>
      <c r="L40" s="68">
        <v>46031</v>
      </c>
      <c r="M40" s="26" t="s">
        <v>21</v>
      </c>
      <c r="N40" s="55" t="s">
        <v>22</v>
      </c>
      <c r="O40" s="57">
        <v>0.5</v>
      </c>
      <c r="P40" s="56">
        <f t="shared" si="1"/>
        <v>249999.99999999997</v>
      </c>
      <c r="Q40" s="71"/>
      <c r="R40" s="56">
        <f t="shared" si="2"/>
        <v>249999.99999999997</v>
      </c>
      <c r="S40" s="22" t="s">
        <v>112</v>
      </c>
    </row>
    <row r="41" spans="1:20" s="32" customFormat="1" ht="15" customHeight="1">
      <c r="A41" s="16">
        <v>46031</v>
      </c>
      <c r="B41" s="96" t="s">
        <v>76</v>
      </c>
      <c r="C41" s="4" t="s">
        <v>273</v>
      </c>
      <c r="D41" s="55" t="s">
        <v>473</v>
      </c>
      <c r="E41" s="4"/>
      <c r="F41" s="55" t="s">
        <v>17</v>
      </c>
      <c r="G41" s="18" t="s">
        <v>18</v>
      </c>
      <c r="H41" s="4"/>
      <c r="I41" s="5">
        <v>550000</v>
      </c>
      <c r="J41" s="56">
        <f t="shared" si="0"/>
        <v>499999.99999999994</v>
      </c>
      <c r="K41" s="108"/>
      <c r="L41" s="68">
        <v>46031</v>
      </c>
      <c r="M41" s="26" t="s">
        <v>472</v>
      </c>
      <c r="N41" s="4" t="s">
        <v>19</v>
      </c>
      <c r="O41" s="6">
        <v>0.5</v>
      </c>
      <c r="P41" s="5">
        <f t="shared" si="1"/>
        <v>249999.99999999997</v>
      </c>
      <c r="Q41" s="71"/>
      <c r="R41" s="5">
        <f t="shared" si="2"/>
        <v>249999.99999999997</v>
      </c>
      <c r="S41" s="15" t="s">
        <v>471</v>
      </c>
    </row>
    <row r="42" spans="1:20" ht="15" customHeight="1">
      <c r="A42" s="81">
        <v>46031</v>
      </c>
      <c r="B42" s="96" t="s">
        <v>274</v>
      </c>
      <c r="C42" s="18" t="s">
        <v>78</v>
      </c>
      <c r="D42" s="18" t="s">
        <v>786</v>
      </c>
      <c r="E42" s="4"/>
      <c r="F42" s="4" t="s">
        <v>17</v>
      </c>
      <c r="G42" s="18" t="s">
        <v>77</v>
      </c>
      <c r="H42" s="4"/>
      <c r="I42" s="5">
        <v>2524500</v>
      </c>
      <c r="J42" s="5">
        <f t="shared" si="0"/>
        <v>2295000</v>
      </c>
      <c r="L42" s="68">
        <v>46031</v>
      </c>
      <c r="M42" s="26" t="s">
        <v>42</v>
      </c>
      <c r="N42" s="18" t="s">
        <v>19</v>
      </c>
      <c r="O42" s="31">
        <v>0.5</v>
      </c>
      <c r="P42" s="25">
        <f t="shared" ref="P42:P43" si="5">J42*O42</f>
        <v>1147500</v>
      </c>
      <c r="Q42" s="71"/>
      <c r="R42" s="25">
        <f t="shared" ref="R42:R43" si="6">J42-P42</f>
        <v>1147500</v>
      </c>
      <c r="S42" s="18" t="s">
        <v>785</v>
      </c>
      <c r="T42" s="32"/>
    </row>
    <row r="43" spans="1:20" ht="16.5">
      <c r="A43" s="16">
        <v>46031</v>
      </c>
      <c r="B43" s="96" t="s">
        <v>274</v>
      </c>
      <c r="C43" s="18" t="s">
        <v>277</v>
      </c>
      <c r="D43" s="18" t="s">
        <v>278</v>
      </c>
      <c r="E43" s="4"/>
      <c r="F43" s="4" t="s">
        <v>17</v>
      </c>
      <c r="G43" s="18" t="s">
        <v>279</v>
      </c>
      <c r="H43" s="4"/>
      <c r="I43" s="5">
        <v>24750000</v>
      </c>
      <c r="J43" s="5">
        <f t="shared" si="0"/>
        <v>22500000</v>
      </c>
      <c r="L43" s="68">
        <v>46031</v>
      </c>
      <c r="M43" s="26" t="s">
        <v>42</v>
      </c>
      <c r="N43" s="18" t="s">
        <v>19</v>
      </c>
      <c r="O43" s="31">
        <v>0.5</v>
      </c>
      <c r="P43" s="25">
        <f t="shared" si="5"/>
        <v>11250000</v>
      </c>
      <c r="Q43" s="71"/>
      <c r="R43" s="25">
        <f t="shared" si="6"/>
        <v>11250000</v>
      </c>
      <c r="S43" s="18" t="s">
        <v>787</v>
      </c>
      <c r="T43" s="32"/>
    </row>
    <row r="44" spans="1:20" ht="15" customHeight="1">
      <c r="A44" s="16">
        <v>46031</v>
      </c>
      <c r="B44" s="96" t="s">
        <v>49</v>
      </c>
      <c r="C44" s="4" t="s">
        <v>280</v>
      </c>
      <c r="D44" s="18" t="s">
        <v>476</v>
      </c>
      <c r="E44" s="4"/>
      <c r="F44" s="4" t="s">
        <v>17</v>
      </c>
      <c r="G44" s="4" t="s">
        <v>86</v>
      </c>
      <c r="H44" s="4"/>
      <c r="I44" s="5">
        <v>120000</v>
      </c>
      <c r="J44" s="5">
        <f t="shared" si="0"/>
        <v>109090.90909090909</v>
      </c>
      <c r="L44" s="68">
        <v>46031</v>
      </c>
      <c r="M44" s="26" t="s">
        <v>475</v>
      </c>
      <c r="N44" s="18" t="s">
        <v>19</v>
      </c>
      <c r="O44" s="31">
        <v>0.5</v>
      </c>
      <c r="P44" s="25">
        <f t="shared" ref="P44:P95" si="7">J44*O44</f>
        <v>54545.454545454544</v>
      </c>
      <c r="Q44" s="71"/>
      <c r="R44" s="25">
        <f t="shared" ref="R44:R95" si="8">J44-P44</f>
        <v>54545.454545454544</v>
      </c>
      <c r="S44" s="33" t="s">
        <v>474</v>
      </c>
    </row>
    <row r="45" spans="1:20" s="32" customFormat="1" ht="15" customHeight="1">
      <c r="A45" s="16">
        <v>46032</v>
      </c>
      <c r="B45" s="96" t="s">
        <v>47</v>
      </c>
      <c r="C45" s="4" t="s">
        <v>288</v>
      </c>
      <c r="D45" s="55" t="s">
        <v>289</v>
      </c>
      <c r="E45" s="4" t="s">
        <v>295</v>
      </c>
      <c r="F45" s="55" t="s">
        <v>17</v>
      </c>
      <c r="G45" s="18" t="s">
        <v>18</v>
      </c>
      <c r="H45" s="21">
        <v>46032</v>
      </c>
      <c r="I45" s="5">
        <v>550000</v>
      </c>
      <c r="J45" s="56">
        <f t="shared" si="0"/>
        <v>499999.99999999994</v>
      </c>
      <c r="K45" s="108"/>
      <c r="L45" s="68">
        <v>46032</v>
      </c>
      <c r="M45" s="26" t="s">
        <v>60</v>
      </c>
      <c r="N45" s="4" t="s">
        <v>19</v>
      </c>
      <c r="O45" s="6">
        <v>0.5</v>
      </c>
      <c r="P45" s="5">
        <f t="shared" si="7"/>
        <v>249999.99999999997</v>
      </c>
      <c r="Q45" s="71"/>
      <c r="R45" s="5">
        <f t="shared" si="8"/>
        <v>249999.99999999997</v>
      </c>
      <c r="S45" s="4" t="s">
        <v>290</v>
      </c>
    </row>
    <row r="46" spans="1:20" s="32" customFormat="1" ht="15" customHeight="1">
      <c r="A46" s="16">
        <v>46032</v>
      </c>
      <c r="B46" s="96" t="s">
        <v>49</v>
      </c>
      <c r="C46" s="4" t="s">
        <v>280</v>
      </c>
      <c r="D46" s="55" t="s">
        <v>478</v>
      </c>
      <c r="E46" s="4"/>
      <c r="F46" s="55" t="s">
        <v>17</v>
      </c>
      <c r="G46" s="18" t="s">
        <v>18</v>
      </c>
      <c r="H46" s="4"/>
      <c r="I46" s="5">
        <v>550000</v>
      </c>
      <c r="J46" s="56">
        <f t="shared" si="0"/>
        <v>499999.99999999994</v>
      </c>
      <c r="K46" s="108"/>
      <c r="L46" s="68">
        <v>46032</v>
      </c>
      <c r="M46" s="26" t="s">
        <v>479</v>
      </c>
      <c r="N46" s="4" t="s">
        <v>19</v>
      </c>
      <c r="O46" s="6">
        <v>0.5</v>
      </c>
      <c r="P46" s="5">
        <f t="shared" si="7"/>
        <v>249999.99999999997</v>
      </c>
      <c r="Q46" s="14"/>
      <c r="R46" s="5">
        <f t="shared" si="8"/>
        <v>249999.99999999997</v>
      </c>
      <c r="S46" s="15" t="s">
        <v>477</v>
      </c>
    </row>
    <row r="47" spans="1:20" s="32" customFormat="1" ht="15" customHeight="1">
      <c r="A47" s="16">
        <v>46034</v>
      </c>
      <c r="B47" s="96" t="s">
        <v>38</v>
      </c>
      <c r="C47" s="4" t="s">
        <v>39</v>
      </c>
      <c r="D47" s="55" t="s">
        <v>266</v>
      </c>
      <c r="E47" s="4" t="s">
        <v>1130</v>
      </c>
      <c r="F47" s="55" t="s">
        <v>17</v>
      </c>
      <c r="G47" s="18" t="s">
        <v>18</v>
      </c>
      <c r="H47" s="21">
        <v>46029</v>
      </c>
      <c r="I47" s="5">
        <v>1100000</v>
      </c>
      <c r="J47" s="56">
        <f t="shared" si="0"/>
        <v>999999.99999999988</v>
      </c>
      <c r="K47" s="108">
        <v>46030</v>
      </c>
      <c r="L47" s="68">
        <v>46034</v>
      </c>
      <c r="M47" s="26" t="s">
        <v>21</v>
      </c>
      <c r="N47" s="55" t="s">
        <v>22</v>
      </c>
      <c r="O47" s="57">
        <v>0.5</v>
      </c>
      <c r="P47" s="56">
        <f t="shared" si="7"/>
        <v>499999.99999999994</v>
      </c>
      <c r="Q47" s="26"/>
      <c r="R47" s="56">
        <f t="shared" si="8"/>
        <v>499999.99999999994</v>
      </c>
      <c r="S47" s="22" t="s">
        <v>45</v>
      </c>
    </row>
    <row r="48" spans="1:20" ht="15" customHeight="1">
      <c r="A48" s="81">
        <v>46034</v>
      </c>
      <c r="B48" s="14" t="s">
        <v>26</v>
      </c>
      <c r="C48" s="4" t="s">
        <v>33</v>
      </c>
      <c r="D48" s="18" t="s">
        <v>35</v>
      </c>
      <c r="E48" s="4"/>
      <c r="F48" s="4" t="s">
        <v>17</v>
      </c>
      <c r="G48" s="4" t="s">
        <v>77</v>
      </c>
      <c r="I48" s="5">
        <v>4950000</v>
      </c>
      <c r="J48" s="5">
        <f t="shared" si="0"/>
        <v>4500000</v>
      </c>
      <c r="L48" s="68">
        <v>46034</v>
      </c>
      <c r="M48" s="69" t="s">
        <v>310</v>
      </c>
      <c r="N48" s="4" t="s">
        <v>19</v>
      </c>
      <c r="O48" s="6">
        <v>0.5</v>
      </c>
      <c r="P48" s="5">
        <f t="shared" si="7"/>
        <v>2250000</v>
      </c>
      <c r="Q48" s="14"/>
      <c r="R48" s="5">
        <f t="shared" si="8"/>
        <v>2250000</v>
      </c>
      <c r="S48" s="33" t="s">
        <v>311</v>
      </c>
    </row>
    <row r="49" spans="1:20" ht="15" customHeight="1">
      <c r="A49" s="16">
        <v>46034</v>
      </c>
      <c r="B49" s="96" t="s">
        <v>285</v>
      </c>
      <c r="C49" s="4" t="s">
        <v>286</v>
      </c>
      <c r="D49" s="18" t="s">
        <v>287</v>
      </c>
      <c r="E49" s="4"/>
      <c r="F49" s="4" t="s">
        <v>17</v>
      </c>
      <c r="G49" s="4" t="s">
        <v>86</v>
      </c>
      <c r="H49" s="4"/>
      <c r="I49" s="5">
        <v>120000</v>
      </c>
      <c r="J49" s="5">
        <f t="shared" si="0"/>
        <v>109090.90909090909</v>
      </c>
      <c r="L49" s="68">
        <v>46034</v>
      </c>
      <c r="M49" s="69" t="s">
        <v>60</v>
      </c>
      <c r="N49" s="18" t="s">
        <v>19</v>
      </c>
      <c r="O49" s="31">
        <v>0.5</v>
      </c>
      <c r="P49" s="25">
        <f t="shared" si="7"/>
        <v>54545.454545454544</v>
      </c>
      <c r="Q49" s="17"/>
      <c r="R49" s="25">
        <f t="shared" si="8"/>
        <v>54545.454545454544</v>
      </c>
      <c r="S49" s="4" t="s">
        <v>411</v>
      </c>
    </row>
    <row r="50" spans="1:20" s="32" customFormat="1" ht="15" customHeight="1">
      <c r="A50" s="16">
        <v>46034</v>
      </c>
      <c r="B50" s="96" t="s">
        <v>285</v>
      </c>
      <c r="C50" s="4" t="s">
        <v>292</v>
      </c>
      <c r="D50" s="55" t="s">
        <v>291</v>
      </c>
      <c r="E50" s="4" t="s">
        <v>296</v>
      </c>
      <c r="F50" s="55" t="s">
        <v>17</v>
      </c>
      <c r="G50" s="18" t="s">
        <v>18</v>
      </c>
      <c r="H50" s="21">
        <v>46034</v>
      </c>
      <c r="I50" s="5">
        <v>550000</v>
      </c>
      <c r="J50" s="56">
        <f t="shared" si="0"/>
        <v>499999.99999999994</v>
      </c>
      <c r="K50" s="108"/>
      <c r="L50" s="68">
        <v>46034</v>
      </c>
      <c r="M50" s="69" t="s">
        <v>43</v>
      </c>
      <c r="N50" s="4" t="s">
        <v>19</v>
      </c>
      <c r="O50" s="6">
        <v>0.5</v>
      </c>
      <c r="P50" s="5">
        <f t="shared" si="7"/>
        <v>249999.99999999997</v>
      </c>
      <c r="Q50" s="14"/>
      <c r="R50" s="5">
        <f t="shared" si="8"/>
        <v>249999.99999999997</v>
      </c>
      <c r="S50" s="4" t="s">
        <v>601</v>
      </c>
    </row>
    <row r="51" spans="1:20" s="32" customFormat="1" ht="15" customHeight="1">
      <c r="A51" s="16">
        <v>46034</v>
      </c>
      <c r="B51" s="96" t="s">
        <v>293</v>
      </c>
      <c r="C51" s="4" t="s">
        <v>294</v>
      </c>
      <c r="D51" s="55" t="s">
        <v>1126</v>
      </c>
      <c r="E51" s="4" t="s">
        <v>309</v>
      </c>
      <c r="F51" s="55" t="s">
        <v>17</v>
      </c>
      <c r="G51" s="18" t="s">
        <v>18</v>
      </c>
      <c r="H51" s="21">
        <v>46034</v>
      </c>
      <c r="I51" s="5">
        <v>880000</v>
      </c>
      <c r="J51" s="56">
        <f t="shared" si="0"/>
        <v>799999.99999999988</v>
      </c>
      <c r="K51" s="108"/>
      <c r="L51" s="68">
        <v>46034</v>
      </c>
      <c r="M51" s="26" t="s">
        <v>42</v>
      </c>
      <c r="N51" s="4" t="s">
        <v>19</v>
      </c>
      <c r="O51" s="6">
        <v>0.5</v>
      </c>
      <c r="P51" s="5">
        <f t="shared" si="7"/>
        <v>399999.99999999994</v>
      </c>
      <c r="Q51" s="14"/>
      <c r="R51" s="5">
        <f t="shared" si="8"/>
        <v>399999.99999999994</v>
      </c>
      <c r="S51" s="4" t="s">
        <v>297</v>
      </c>
    </row>
    <row r="52" spans="1:20" s="32" customFormat="1" ht="15" customHeight="1">
      <c r="A52" s="16">
        <v>46034</v>
      </c>
      <c r="B52" s="96" t="s">
        <v>298</v>
      </c>
      <c r="C52" s="4" t="s">
        <v>299</v>
      </c>
      <c r="D52" s="55" t="s">
        <v>480</v>
      </c>
      <c r="E52" s="4"/>
      <c r="F52" s="55" t="s">
        <v>17</v>
      </c>
      <c r="G52" s="18" t="s">
        <v>18</v>
      </c>
      <c r="H52" s="4"/>
      <c r="I52" s="5">
        <v>550000</v>
      </c>
      <c r="J52" s="56">
        <f t="shared" si="0"/>
        <v>499999.99999999994</v>
      </c>
      <c r="K52" s="108"/>
      <c r="L52" s="68">
        <v>46034</v>
      </c>
      <c r="M52" s="26" t="s">
        <v>42</v>
      </c>
      <c r="N52" s="4" t="s">
        <v>19</v>
      </c>
      <c r="O52" s="6">
        <v>0.5</v>
      </c>
      <c r="P52" s="5">
        <f t="shared" si="7"/>
        <v>249999.99999999997</v>
      </c>
      <c r="Q52" s="14"/>
      <c r="R52" s="5">
        <f t="shared" si="8"/>
        <v>249999.99999999997</v>
      </c>
      <c r="S52" s="15" t="s">
        <v>481</v>
      </c>
    </row>
    <row r="53" spans="1:20" s="32" customFormat="1" ht="15" customHeight="1">
      <c r="A53" s="16">
        <v>46034</v>
      </c>
      <c r="B53" s="14" t="s">
        <v>200</v>
      </c>
      <c r="C53" s="4" t="s">
        <v>203</v>
      </c>
      <c r="D53" s="55" t="s">
        <v>206</v>
      </c>
      <c r="E53" s="4" t="s">
        <v>207</v>
      </c>
      <c r="F53" s="55" t="s">
        <v>17</v>
      </c>
      <c r="G53" s="18" t="s">
        <v>18</v>
      </c>
      <c r="H53" s="21">
        <v>46027</v>
      </c>
      <c r="I53" s="5">
        <v>550000</v>
      </c>
      <c r="J53" s="56">
        <f t="shared" si="0"/>
        <v>499999.99999999994</v>
      </c>
      <c r="K53" s="108">
        <v>46027</v>
      </c>
      <c r="L53" s="68">
        <v>46034</v>
      </c>
      <c r="M53" s="26" t="s">
        <v>21</v>
      </c>
      <c r="N53" s="55" t="s">
        <v>22</v>
      </c>
      <c r="O53" s="57">
        <v>0.5</v>
      </c>
      <c r="P53" s="56">
        <f t="shared" si="7"/>
        <v>249999.99999999997</v>
      </c>
      <c r="Q53" s="71"/>
      <c r="R53" s="56">
        <f t="shared" si="8"/>
        <v>249999.99999999997</v>
      </c>
      <c r="S53" s="22" t="s">
        <v>112</v>
      </c>
    </row>
    <row r="54" spans="1:20" s="32" customFormat="1" ht="15" customHeight="1">
      <c r="A54" s="16">
        <v>46034</v>
      </c>
      <c r="B54" s="14" t="s">
        <v>50</v>
      </c>
      <c r="C54" s="4" t="s">
        <v>208</v>
      </c>
      <c r="D54" s="55" t="s">
        <v>209</v>
      </c>
      <c r="E54" s="4"/>
      <c r="F54" s="55" t="s">
        <v>17</v>
      </c>
      <c r="G54" s="18" t="s">
        <v>18</v>
      </c>
      <c r="H54" s="21"/>
      <c r="I54" s="5">
        <v>550000</v>
      </c>
      <c r="J54" s="56">
        <f t="shared" si="0"/>
        <v>499999.99999999994</v>
      </c>
      <c r="K54" s="108">
        <v>46027</v>
      </c>
      <c r="L54" s="68">
        <v>46034</v>
      </c>
      <c r="M54" s="26" t="s">
        <v>21</v>
      </c>
      <c r="N54" s="55" t="s">
        <v>22</v>
      </c>
      <c r="O54" s="57">
        <v>0.5</v>
      </c>
      <c r="P54" s="56">
        <f t="shared" si="7"/>
        <v>249999.99999999997</v>
      </c>
      <c r="Q54" s="71"/>
      <c r="R54" s="56">
        <f t="shared" si="8"/>
        <v>249999.99999999997</v>
      </c>
      <c r="S54" s="22" t="s">
        <v>112</v>
      </c>
    </row>
    <row r="55" spans="1:20" s="35" customFormat="1" ht="15" customHeight="1">
      <c r="A55" s="16">
        <v>46034</v>
      </c>
      <c r="B55" s="96" t="s">
        <v>210</v>
      </c>
      <c r="C55" s="41" t="s">
        <v>211</v>
      </c>
      <c r="D55" s="46" t="s">
        <v>212</v>
      </c>
      <c r="E55" s="41"/>
      <c r="F55" s="41" t="s">
        <v>17</v>
      </c>
      <c r="G55" s="46" t="s">
        <v>24</v>
      </c>
      <c r="H55" s="42"/>
      <c r="I55" s="37">
        <v>110000</v>
      </c>
      <c r="J55" s="37">
        <f t="shared" si="0"/>
        <v>99999.999999999985</v>
      </c>
      <c r="K55" s="108">
        <v>46027</v>
      </c>
      <c r="L55" s="68">
        <v>46034</v>
      </c>
      <c r="M55" s="85" t="s">
        <v>21</v>
      </c>
      <c r="N55" s="110" t="s">
        <v>22</v>
      </c>
      <c r="O55" s="111">
        <v>0.5</v>
      </c>
      <c r="P55" s="112">
        <f t="shared" si="7"/>
        <v>49999.999999999993</v>
      </c>
      <c r="Q55" s="71"/>
      <c r="R55" s="112">
        <f t="shared" si="8"/>
        <v>49999.999999999993</v>
      </c>
      <c r="S55" s="66" t="s">
        <v>112</v>
      </c>
    </row>
    <row r="56" spans="1:20" ht="15" customHeight="1">
      <c r="A56" s="16">
        <v>46034</v>
      </c>
      <c r="B56" s="17" t="s">
        <v>38</v>
      </c>
      <c r="C56" s="22" t="s">
        <v>57</v>
      </c>
      <c r="D56" s="22" t="s">
        <v>302</v>
      </c>
      <c r="E56" s="41"/>
      <c r="F56" s="18" t="s">
        <v>17</v>
      </c>
      <c r="G56" s="4" t="s">
        <v>86</v>
      </c>
      <c r="H56" s="4"/>
      <c r="I56" s="5">
        <v>120000</v>
      </c>
      <c r="J56" s="5">
        <f t="shared" si="0"/>
        <v>109090.90909090909</v>
      </c>
      <c r="L56" s="68">
        <v>46034</v>
      </c>
      <c r="M56" s="26" t="s">
        <v>43</v>
      </c>
      <c r="N56" s="18" t="s">
        <v>19</v>
      </c>
      <c r="O56" s="31">
        <v>0.5</v>
      </c>
      <c r="P56" s="25">
        <f t="shared" si="7"/>
        <v>54545.454545454544</v>
      </c>
      <c r="Q56" s="71"/>
      <c r="R56" s="25">
        <f t="shared" si="8"/>
        <v>54545.454545454544</v>
      </c>
      <c r="S56" s="33" t="s">
        <v>600</v>
      </c>
    </row>
    <row r="57" spans="1:20" s="32" customFormat="1" ht="15" customHeight="1">
      <c r="A57" s="81">
        <v>46034</v>
      </c>
      <c r="B57" s="14" t="s">
        <v>49</v>
      </c>
      <c r="C57" s="55" t="s">
        <v>111</v>
      </c>
      <c r="D57" s="55" t="s">
        <v>162</v>
      </c>
      <c r="E57" s="4"/>
      <c r="F57" s="55" t="s">
        <v>17</v>
      </c>
      <c r="G57" s="4" t="s">
        <v>77</v>
      </c>
      <c r="H57" s="21"/>
      <c r="I57" s="5">
        <v>1650000</v>
      </c>
      <c r="J57" s="56">
        <f t="shared" si="0"/>
        <v>1499999.9999999998</v>
      </c>
      <c r="K57" s="108"/>
      <c r="L57" s="68">
        <v>46034</v>
      </c>
      <c r="M57" s="26" t="s">
        <v>43</v>
      </c>
      <c r="N57" s="18" t="s">
        <v>19</v>
      </c>
      <c r="O57" s="31">
        <v>0.5</v>
      </c>
      <c r="P57" s="25">
        <f t="shared" si="7"/>
        <v>749999.99999999988</v>
      </c>
      <c r="Q57" s="71"/>
      <c r="R57" s="25">
        <f t="shared" si="8"/>
        <v>749999.99999999988</v>
      </c>
      <c r="S57" s="18" t="s">
        <v>788</v>
      </c>
      <c r="T57" s="18"/>
    </row>
    <row r="58" spans="1:20" s="32" customFormat="1" ht="15" customHeight="1">
      <c r="A58" s="16">
        <v>46034</v>
      </c>
      <c r="B58" s="14" t="s">
        <v>303</v>
      </c>
      <c r="C58" s="55" t="s">
        <v>304</v>
      </c>
      <c r="D58" s="4" t="s">
        <v>789</v>
      </c>
      <c r="E58" s="4" t="s">
        <v>790</v>
      </c>
      <c r="F58" s="55" t="s">
        <v>17</v>
      </c>
      <c r="G58" s="18" t="s">
        <v>18</v>
      </c>
      <c r="H58" s="21">
        <v>46034</v>
      </c>
      <c r="I58" s="5">
        <v>2200000</v>
      </c>
      <c r="J58" s="56">
        <f t="shared" si="0"/>
        <v>1999999.9999999998</v>
      </c>
      <c r="K58" s="108"/>
      <c r="L58" s="68">
        <v>46034</v>
      </c>
      <c r="M58" s="26" t="s">
        <v>43</v>
      </c>
      <c r="N58" s="18" t="s">
        <v>19</v>
      </c>
      <c r="O58" s="31">
        <v>0.5</v>
      </c>
      <c r="P58" s="25">
        <f t="shared" si="7"/>
        <v>999999.99999999988</v>
      </c>
      <c r="Q58" s="71"/>
      <c r="R58" s="25">
        <f t="shared" si="8"/>
        <v>999999.99999999988</v>
      </c>
      <c r="S58" s="18" t="s">
        <v>896</v>
      </c>
    </row>
    <row r="59" spans="1:20" s="32" customFormat="1" ht="15" customHeight="1">
      <c r="A59" s="16">
        <v>46034</v>
      </c>
      <c r="B59" s="96" t="s">
        <v>293</v>
      </c>
      <c r="C59" s="4" t="s">
        <v>305</v>
      </c>
      <c r="D59" s="55" t="s">
        <v>306</v>
      </c>
      <c r="E59" s="4" t="s">
        <v>308</v>
      </c>
      <c r="F59" s="55" t="s">
        <v>17</v>
      </c>
      <c r="G59" s="18" t="s">
        <v>18</v>
      </c>
      <c r="H59" s="21">
        <v>46034</v>
      </c>
      <c r="I59" s="5">
        <v>550000</v>
      </c>
      <c r="J59" s="56">
        <f t="shared" si="0"/>
        <v>499999.99999999994</v>
      </c>
      <c r="K59" s="108"/>
      <c r="L59" s="68">
        <v>46034</v>
      </c>
      <c r="M59" s="26" t="s">
        <v>60</v>
      </c>
      <c r="N59" s="4" t="s">
        <v>19</v>
      </c>
      <c r="O59" s="6">
        <v>0.5</v>
      </c>
      <c r="P59" s="5">
        <f t="shared" si="7"/>
        <v>249999.99999999997</v>
      </c>
      <c r="Q59" s="71"/>
      <c r="R59" s="5">
        <f t="shared" si="8"/>
        <v>249999.99999999997</v>
      </c>
      <c r="S59" s="4" t="s">
        <v>307</v>
      </c>
    </row>
    <row r="60" spans="1:20" s="32" customFormat="1" ht="15" customHeight="1">
      <c r="A60" s="16">
        <v>46034</v>
      </c>
      <c r="B60" s="96" t="s">
        <v>293</v>
      </c>
      <c r="C60" s="55" t="s">
        <v>312</v>
      </c>
      <c r="D60" s="55" t="s">
        <v>314</v>
      </c>
      <c r="E60" s="4" t="s">
        <v>327</v>
      </c>
      <c r="F60" s="55" t="s">
        <v>17</v>
      </c>
      <c r="G60" s="18" t="s">
        <v>18</v>
      </c>
      <c r="H60" s="21">
        <v>46035</v>
      </c>
      <c r="I60" s="5">
        <v>2200000</v>
      </c>
      <c r="J60" s="56">
        <f t="shared" si="0"/>
        <v>1999999.9999999998</v>
      </c>
      <c r="K60" s="108"/>
      <c r="L60" s="68">
        <v>46034</v>
      </c>
      <c r="M60" s="26" t="s">
        <v>42</v>
      </c>
      <c r="N60" s="74" t="s">
        <v>19</v>
      </c>
      <c r="O60" s="80">
        <v>0.5</v>
      </c>
      <c r="P60" s="76">
        <f t="shared" si="7"/>
        <v>999999.99999999988</v>
      </c>
      <c r="Q60" s="71"/>
      <c r="R60" s="76">
        <f t="shared" si="8"/>
        <v>999999.99999999988</v>
      </c>
      <c r="S60" s="18" t="s">
        <v>315</v>
      </c>
    </row>
    <row r="61" spans="1:20" ht="15" customHeight="1">
      <c r="A61" s="16">
        <v>46035</v>
      </c>
      <c r="B61" s="14" t="s">
        <v>20</v>
      </c>
      <c r="C61" s="4" t="s">
        <v>61</v>
      </c>
      <c r="D61" s="4" t="s">
        <v>151</v>
      </c>
      <c r="E61" s="4"/>
      <c r="F61" s="4" t="s">
        <v>17</v>
      </c>
      <c r="G61" s="4" t="s">
        <v>86</v>
      </c>
      <c r="H61" s="4"/>
      <c r="I61" s="5">
        <v>120000</v>
      </c>
      <c r="J61" s="5">
        <f t="shared" si="0"/>
        <v>109090.90909090909</v>
      </c>
      <c r="L61" s="68">
        <v>46035</v>
      </c>
      <c r="M61" s="26" t="s">
        <v>43</v>
      </c>
      <c r="N61" s="4" t="s">
        <v>19</v>
      </c>
      <c r="O61" s="6">
        <v>0.5</v>
      </c>
      <c r="P61" s="5">
        <f t="shared" si="7"/>
        <v>54545.454545454544</v>
      </c>
      <c r="Q61" s="71"/>
      <c r="R61" s="5">
        <f t="shared" si="8"/>
        <v>54545.454545454544</v>
      </c>
      <c r="S61" s="4" t="s">
        <v>313</v>
      </c>
    </row>
    <row r="62" spans="1:20" ht="15" customHeight="1">
      <c r="A62" s="81">
        <v>46035</v>
      </c>
      <c r="B62" s="71" t="s">
        <v>38</v>
      </c>
      <c r="C62" s="18" t="s">
        <v>44</v>
      </c>
      <c r="D62" s="18" t="s">
        <v>138</v>
      </c>
      <c r="E62" s="4"/>
      <c r="F62" s="18" t="s">
        <v>17</v>
      </c>
      <c r="G62" s="22" t="s">
        <v>77</v>
      </c>
      <c r="H62" s="4"/>
      <c r="I62" s="76">
        <v>22000000</v>
      </c>
      <c r="J62" s="77">
        <f t="shared" si="0"/>
        <v>20000000</v>
      </c>
      <c r="L62" s="68">
        <v>46035</v>
      </c>
      <c r="M62" s="100" t="s">
        <v>42</v>
      </c>
      <c r="N62" s="73" t="s">
        <v>19</v>
      </c>
      <c r="O62" s="79">
        <v>0.5</v>
      </c>
      <c r="P62" s="77">
        <f t="shared" si="7"/>
        <v>10000000</v>
      </c>
      <c r="Q62" s="71"/>
      <c r="R62" s="77">
        <f t="shared" si="8"/>
        <v>10000000</v>
      </c>
      <c r="S62" s="65" t="s">
        <v>318</v>
      </c>
    </row>
    <row r="63" spans="1:20" s="32" customFormat="1" ht="15" customHeight="1">
      <c r="A63" s="16">
        <v>46035</v>
      </c>
      <c r="B63" s="14" t="s">
        <v>325</v>
      </c>
      <c r="C63" s="55" t="s">
        <v>326</v>
      </c>
      <c r="D63" s="55" t="s">
        <v>334</v>
      </c>
      <c r="E63" s="4"/>
      <c r="F63" s="55" t="s">
        <v>17</v>
      </c>
      <c r="G63" s="18" t="s">
        <v>18</v>
      </c>
      <c r="H63" s="21"/>
      <c r="I63" s="5">
        <v>1100000</v>
      </c>
      <c r="J63" s="56">
        <f t="shared" ref="J63:J109" si="9">I63/1.1</f>
        <v>999999.99999999988</v>
      </c>
      <c r="K63" s="108"/>
      <c r="L63" s="68">
        <v>46035</v>
      </c>
      <c r="M63" s="26" t="s">
        <v>897</v>
      </c>
      <c r="N63" s="18" t="s">
        <v>19</v>
      </c>
      <c r="O63" s="31">
        <v>0.5</v>
      </c>
      <c r="P63" s="25">
        <f t="shared" si="7"/>
        <v>499999.99999999994</v>
      </c>
      <c r="Q63" s="71"/>
      <c r="R63" s="25">
        <f t="shared" si="8"/>
        <v>499999.99999999994</v>
      </c>
      <c r="S63" s="18" t="s">
        <v>898</v>
      </c>
    </row>
    <row r="64" spans="1:20" s="23" customFormat="1" ht="15" customHeight="1">
      <c r="A64" s="19">
        <v>46035</v>
      </c>
      <c r="B64" s="70" t="s">
        <v>52</v>
      </c>
      <c r="C64" s="9" t="s">
        <v>139</v>
      </c>
      <c r="D64" s="89" t="s">
        <v>217</v>
      </c>
      <c r="E64" s="9"/>
      <c r="F64" s="83" t="s">
        <v>17</v>
      </c>
      <c r="G64" s="20" t="s">
        <v>24</v>
      </c>
      <c r="H64" s="34"/>
      <c r="I64" s="10">
        <v>110000</v>
      </c>
      <c r="J64" s="90">
        <f t="shared" si="9"/>
        <v>99999.999999999985</v>
      </c>
      <c r="K64" s="109">
        <v>46028</v>
      </c>
      <c r="L64" s="58" t="s">
        <v>227</v>
      </c>
      <c r="M64" s="40" t="s">
        <v>21</v>
      </c>
      <c r="N64" s="86" t="s">
        <v>22</v>
      </c>
      <c r="O64" s="88">
        <v>0.5</v>
      </c>
      <c r="P64" s="87">
        <f t="shared" si="7"/>
        <v>49999.999999999993</v>
      </c>
      <c r="Q64" s="71"/>
      <c r="R64" s="87">
        <f t="shared" si="8"/>
        <v>49999.999999999993</v>
      </c>
      <c r="S64" s="30" t="s">
        <v>112</v>
      </c>
    </row>
    <row r="65" spans="1:23" s="32" customFormat="1" ht="15" customHeight="1">
      <c r="A65" s="16">
        <v>46035</v>
      </c>
      <c r="B65" s="96" t="s">
        <v>50</v>
      </c>
      <c r="C65" s="4" t="s">
        <v>235</v>
      </c>
      <c r="D65" s="55" t="s">
        <v>236</v>
      </c>
      <c r="E65" s="4"/>
      <c r="F65" s="55" t="s">
        <v>17</v>
      </c>
      <c r="G65" s="18" t="s">
        <v>18</v>
      </c>
      <c r="H65" s="4"/>
      <c r="I65" s="5">
        <v>550000</v>
      </c>
      <c r="J65" s="56">
        <f t="shared" si="9"/>
        <v>499999.99999999994</v>
      </c>
      <c r="K65" s="108">
        <v>46028</v>
      </c>
      <c r="L65" s="68">
        <v>46035</v>
      </c>
      <c r="M65" s="26" t="s">
        <v>21</v>
      </c>
      <c r="N65" s="55" t="s">
        <v>22</v>
      </c>
      <c r="O65" s="57">
        <v>0.5</v>
      </c>
      <c r="P65" s="56">
        <f t="shared" si="7"/>
        <v>249999.99999999997</v>
      </c>
      <c r="Q65" s="71"/>
      <c r="R65" s="56">
        <f t="shared" si="8"/>
        <v>249999.99999999997</v>
      </c>
      <c r="S65" s="22" t="s">
        <v>112</v>
      </c>
    </row>
    <row r="66" spans="1:23" s="32" customFormat="1" ht="15" customHeight="1">
      <c r="A66" s="16">
        <v>46035</v>
      </c>
      <c r="B66" s="96" t="s">
        <v>50</v>
      </c>
      <c r="C66" s="55" t="s">
        <v>319</v>
      </c>
      <c r="D66" s="55" t="s">
        <v>335</v>
      </c>
      <c r="E66" s="4" t="s">
        <v>791</v>
      </c>
      <c r="F66" s="55" t="s">
        <v>17</v>
      </c>
      <c r="G66" s="18" t="s">
        <v>18</v>
      </c>
      <c r="H66" s="21">
        <v>46035</v>
      </c>
      <c r="I66" s="5">
        <v>1100000</v>
      </c>
      <c r="J66" s="56">
        <f t="shared" si="9"/>
        <v>999999.99999999988</v>
      </c>
      <c r="K66" s="108"/>
      <c r="L66" s="68">
        <v>46035</v>
      </c>
      <c r="M66" s="26" t="s">
        <v>42</v>
      </c>
      <c r="N66" s="18" t="s">
        <v>19</v>
      </c>
      <c r="O66" s="31">
        <v>0.5</v>
      </c>
      <c r="P66" s="25">
        <f t="shared" si="7"/>
        <v>499999.99999999994</v>
      </c>
      <c r="Q66" s="71"/>
      <c r="R66" s="25">
        <f t="shared" si="8"/>
        <v>499999.99999999994</v>
      </c>
      <c r="S66" s="18" t="s">
        <v>792</v>
      </c>
    </row>
    <row r="67" spans="1:23" s="32" customFormat="1" ht="15" customHeight="1">
      <c r="A67" s="16">
        <v>46035</v>
      </c>
      <c r="B67" s="96" t="s">
        <v>49</v>
      </c>
      <c r="C67" s="55" t="s">
        <v>324</v>
      </c>
      <c r="D67" s="55" t="s">
        <v>323</v>
      </c>
      <c r="E67" s="4"/>
      <c r="F67" s="55" t="s">
        <v>17</v>
      </c>
      <c r="G67" s="18" t="s">
        <v>18</v>
      </c>
      <c r="H67" s="21"/>
      <c r="I67" s="5">
        <v>550000</v>
      </c>
      <c r="J67" s="56">
        <f t="shared" si="9"/>
        <v>499999.99999999994</v>
      </c>
      <c r="K67" s="108"/>
      <c r="L67" s="68">
        <v>46035</v>
      </c>
      <c r="M67" s="26" t="s">
        <v>42</v>
      </c>
      <c r="N67" s="74" t="s">
        <v>19</v>
      </c>
      <c r="O67" s="80">
        <v>0.5</v>
      </c>
      <c r="P67" s="76">
        <f t="shared" si="7"/>
        <v>249999.99999999997</v>
      </c>
      <c r="Q67" s="71"/>
      <c r="R67" s="76">
        <f t="shared" si="8"/>
        <v>249999.99999999997</v>
      </c>
      <c r="S67" s="15" t="s">
        <v>482</v>
      </c>
    </row>
    <row r="68" spans="1:23" s="32" customFormat="1" ht="15" customHeight="1">
      <c r="A68" s="81">
        <v>46035</v>
      </c>
      <c r="B68" s="14" t="s">
        <v>50</v>
      </c>
      <c r="C68" s="55" t="s">
        <v>328</v>
      </c>
      <c r="D68" s="55" t="s">
        <v>329</v>
      </c>
      <c r="E68" s="4"/>
      <c r="F68" s="55" t="s">
        <v>17</v>
      </c>
      <c r="G68" s="4" t="s">
        <v>77</v>
      </c>
      <c r="H68" s="21"/>
      <c r="I68" s="5">
        <v>4400000</v>
      </c>
      <c r="J68" s="56">
        <f t="shared" si="9"/>
        <v>3999999.9999999995</v>
      </c>
      <c r="K68" s="108"/>
      <c r="L68" s="68">
        <v>46035</v>
      </c>
      <c r="M68" s="26" t="s">
        <v>793</v>
      </c>
      <c r="N68" s="18" t="s">
        <v>19</v>
      </c>
      <c r="O68" s="31">
        <v>0.5</v>
      </c>
      <c r="P68" s="25">
        <f t="shared" si="7"/>
        <v>1999999.9999999998</v>
      </c>
      <c r="Q68" s="71"/>
      <c r="R68" s="25">
        <f t="shared" si="8"/>
        <v>1999999.9999999998</v>
      </c>
      <c r="S68" s="18" t="s">
        <v>794</v>
      </c>
    </row>
    <row r="69" spans="1:23" s="32" customFormat="1" ht="15" customHeight="1">
      <c r="A69" s="16">
        <v>46035</v>
      </c>
      <c r="B69" s="14" t="s">
        <v>331</v>
      </c>
      <c r="C69" s="55" t="s">
        <v>44</v>
      </c>
      <c r="D69" s="55" t="s">
        <v>330</v>
      </c>
      <c r="E69" s="4"/>
      <c r="F69" s="55" t="s">
        <v>17</v>
      </c>
      <c r="G69" s="18" t="s">
        <v>333</v>
      </c>
      <c r="H69" s="21"/>
      <c r="I69" s="5">
        <v>1650000</v>
      </c>
      <c r="J69" s="56">
        <f t="shared" si="9"/>
        <v>1499999.9999999998</v>
      </c>
      <c r="K69" s="108"/>
      <c r="L69" s="68">
        <v>46035</v>
      </c>
      <c r="M69" s="26" t="s">
        <v>42</v>
      </c>
      <c r="N69" s="74" t="s">
        <v>19</v>
      </c>
      <c r="O69" s="80">
        <v>0.5</v>
      </c>
      <c r="P69" s="76">
        <f t="shared" si="7"/>
        <v>749999.99999999988</v>
      </c>
      <c r="Q69" s="71"/>
      <c r="R69" s="76">
        <f t="shared" si="8"/>
        <v>749999.99999999988</v>
      </c>
      <c r="S69" s="18" t="s">
        <v>332</v>
      </c>
    </row>
    <row r="70" spans="1:23" s="32" customFormat="1" ht="15" customHeight="1">
      <c r="A70" s="16">
        <v>46035</v>
      </c>
      <c r="B70" s="96" t="s">
        <v>49</v>
      </c>
      <c r="C70" s="55" t="s">
        <v>337</v>
      </c>
      <c r="D70" s="55" t="s">
        <v>336</v>
      </c>
      <c r="E70" s="4"/>
      <c r="F70" s="55" t="s">
        <v>17</v>
      </c>
      <c r="G70" s="18" t="s">
        <v>18</v>
      </c>
      <c r="H70" s="21"/>
      <c r="I70" s="5">
        <v>550000</v>
      </c>
      <c r="J70" s="56">
        <f t="shared" si="9"/>
        <v>499999.99999999994</v>
      </c>
      <c r="K70" s="108"/>
      <c r="L70" s="68">
        <v>46035</v>
      </c>
      <c r="M70" s="26" t="s">
        <v>874</v>
      </c>
      <c r="N70" s="74" t="s">
        <v>19</v>
      </c>
      <c r="O70" s="80">
        <v>0.5</v>
      </c>
      <c r="P70" s="76">
        <f t="shared" si="7"/>
        <v>249999.99999999997</v>
      </c>
      <c r="Q70" s="71"/>
      <c r="R70" s="76">
        <f t="shared" si="8"/>
        <v>249999.99999999997</v>
      </c>
      <c r="S70" s="15" t="s">
        <v>873</v>
      </c>
    </row>
    <row r="71" spans="1:23" ht="16.5" customHeight="1">
      <c r="A71" s="81">
        <v>46036</v>
      </c>
      <c r="B71" s="71" t="s">
        <v>52</v>
      </c>
      <c r="C71" s="22" t="s">
        <v>105</v>
      </c>
      <c r="D71" s="22" t="s">
        <v>147</v>
      </c>
      <c r="F71" s="22" t="s">
        <v>59</v>
      </c>
      <c r="G71" s="4" t="s">
        <v>77</v>
      </c>
      <c r="I71" s="76">
        <v>7810000</v>
      </c>
      <c r="J71" s="76">
        <f t="shared" si="9"/>
        <v>7099999.9999999991</v>
      </c>
      <c r="L71" s="68">
        <v>46036</v>
      </c>
      <c r="M71" s="71" t="s">
        <v>42</v>
      </c>
      <c r="N71" s="74" t="s">
        <v>97</v>
      </c>
      <c r="O71" s="80">
        <v>0.5</v>
      </c>
      <c r="P71" s="76">
        <f t="shared" si="7"/>
        <v>3549999.9999999995</v>
      </c>
      <c r="Q71" s="71"/>
      <c r="R71" s="76">
        <f t="shared" si="8"/>
        <v>3549999.9999999995</v>
      </c>
      <c r="S71" s="4" t="s">
        <v>81</v>
      </c>
      <c r="T71" s="4"/>
      <c r="U71" s="4"/>
      <c r="V71" s="4"/>
      <c r="W71" s="4"/>
    </row>
    <row r="72" spans="1:23" s="32" customFormat="1" ht="15" customHeight="1">
      <c r="A72" s="19">
        <v>46036</v>
      </c>
      <c r="B72" s="8" t="s">
        <v>38</v>
      </c>
      <c r="C72" s="9" t="s">
        <v>61</v>
      </c>
      <c r="D72" s="86" t="s">
        <v>228</v>
      </c>
      <c r="E72" s="9"/>
      <c r="F72" s="86" t="s">
        <v>17</v>
      </c>
      <c r="G72" s="20" t="s">
        <v>18</v>
      </c>
      <c r="H72" s="34"/>
      <c r="I72" s="10">
        <v>550000</v>
      </c>
      <c r="J72" s="87">
        <f t="shared" si="9"/>
        <v>499999.99999999994</v>
      </c>
      <c r="K72" s="109">
        <v>46028</v>
      </c>
      <c r="L72" s="58" t="s">
        <v>80</v>
      </c>
      <c r="M72" s="40" t="s">
        <v>21</v>
      </c>
      <c r="N72" s="86" t="s">
        <v>22</v>
      </c>
      <c r="O72" s="88">
        <v>0.5</v>
      </c>
      <c r="P72" s="87">
        <f t="shared" si="7"/>
        <v>249999.99999999997</v>
      </c>
      <c r="Q72" s="71"/>
      <c r="R72" s="87">
        <f t="shared" si="8"/>
        <v>249999.99999999997</v>
      </c>
      <c r="S72" s="30" t="s">
        <v>112</v>
      </c>
    </row>
    <row r="73" spans="1:23" s="32" customFormat="1" ht="15" customHeight="1">
      <c r="A73" s="16">
        <v>46036</v>
      </c>
      <c r="B73" s="96" t="s">
        <v>341</v>
      </c>
      <c r="C73" s="55" t="s">
        <v>342</v>
      </c>
      <c r="D73" s="55" t="s">
        <v>340</v>
      </c>
      <c r="E73" s="4"/>
      <c r="F73" s="55" t="s">
        <v>17</v>
      </c>
      <c r="G73" s="18" t="s">
        <v>18</v>
      </c>
      <c r="H73" s="21"/>
      <c r="I73" s="5">
        <v>2200000</v>
      </c>
      <c r="J73" s="56">
        <f t="shared" si="9"/>
        <v>1999999.9999999998</v>
      </c>
      <c r="K73" s="108"/>
      <c r="L73" s="68">
        <v>46036</v>
      </c>
      <c r="M73" s="26" t="s">
        <v>42</v>
      </c>
      <c r="N73" s="74" t="s">
        <v>19</v>
      </c>
      <c r="O73" s="80">
        <v>0.5</v>
      </c>
      <c r="P73" s="76">
        <f t="shared" si="7"/>
        <v>999999.99999999988</v>
      </c>
      <c r="Q73" s="71"/>
      <c r="R73" s="76">
        <f t="shared" si="8"/>
        <v>999999.99999999988</v>
      </c>
      <c r="S73" s="15" t="s">
        <v>483</v>
      </c>
    </row>
    <row r="74" spans="1:23" s="32" customFormat="1" ht="15" customHeight="1">
      <c r="A74" s="81">
        <v>46036</v>
      </c>
      <c r="B74" s="96" t="s">
        <v>351</v>
      </c>
      <c r="C74" s="55" t="s">
        <v>79</v>
      </c>
      <c r="D74" s="55" t="s">
        <v>486</v>
      </c>
      <c r="E74" s="73"/>
      <c r="F74" s="55" t="s">
        <v>17</v>
      </c>
      <c r="G74" s="18" t="s">
        <v>77</v>
      </c>
      <c r="H74" s="75"/>
      <c r="I74" s="77">
        <v>2200000</v>
      </c>
      <c r="J74" s="56">
        <f t="shared" si="9"/>
        <v>1999999.9999999998</v>
      </c>
      <c r="K74" s="108"/>
      <c r="L74" s="68">
        <v>46036</v>
      </c>
      <c r="M74" s="26" t="s">
        <v>485</v>
      </c>
      <c r="N74" s="74" t="s">
        <v>19</v>
      </c>
      <c r="O74" s="80">
        <v>0.5</v>
      </c>
      <c r="P74" s="76">
        <f t="shared" si="7"/>
        <v>999999.99999999988</v>
      </c>
      <c r="Q74" s="71"/>
      <c r="R74" s="76">
        <f t="shared" si="8"/>
        <v>999999.99999999988</v>
      </c>
      <c r="S74" s="15" t="s">
        <v>484</v>
      </c>
    </row>
    <row r="75" spans="1:23" s="32" customFormat="1" ht="15" customHeight="1">
      <c r="A75" s="81">
        <v>46036</v>
      </c>
      <c r="B75" s="96" t="s">
        <v>352</v>
      </c>
      <c r="C75" s="55" t="s">
        <v>353</v>
      </c>
      <c r="D75" s="55" t="s">
        <v>343</v>
      </c>
      <c r="E75" s="73"/>
      <c r="F75" s="55" t="s">
        <v>17</v>
      </c>
      <c r="G75" s="18" t="s">
        <v>77</v>
      </c>
      <c r="H75" s="75"/>
      <c r="I75" s="77">
        <v>1800000</v>
      </c>
      <c r="J75" s="56">
        <f t="shared" si="9"/>
        <v>1636363.6363636362</v>
      </c>
      <c r="K75" s="108"/>
      <c r="L75" s="68">
        <v>46036</v>
      </c>
      <c r="M75" s="26" t="s">
        <v>43</v>
      </c>
      <c r="N75" s="18" t="s">
        <v>19</v>
      </c>
      <c r="O75" s="31">
        <v>0.5</v>
      </c>
      <c r="P75" s="25">
        <f t="shared" si="7"/>
        <v>818181.81818181812</v>
      </c>
      <c r="Q75" s="71"/>
      <c r="R75" s="25">
        <f t="shared" si="8"/>
        <v>818181.81818181812</v>
      </c>
      <c r="S75" s="18" t="s">
        <v>795</v>
      </c>
    </row>
    <row r="76" spans="1:23" s="32" customFormat="1" ht="15" customHeight="1">
      <c r="A76" s="81">
        <v>46036</v>
      </c>
      <c r="B76" s="96" t="s">
        <v>346</v>
      </c>
      <c r="C76" s="55" t="s">
        <v>44</v>
      </c>
      <c r="D76" s="55" t="s">
        <v>161</v>
      </c>
      <c r="E76" s="73"/>
      <c r="F76" s="55" t="s">
        <v>17</v>
      </c>
      <c r="G76" s="18" t="s">
        <v>77</v>
      </c>
      <c r="H76" s="75"/>
      <c r="I76" s="77">
        <v>6083000</v>
      </c>
      <c r="J76" s="56">
        <f t="shared" si="9"/>
        <v>5530000</v>
      </c>
      <c r="K76" s="108"/>
      <c r="L76" s="68">
        <v>46036</v>
      </c>
      <c r="M76" s="26" t="s">
        <v>42</v>
      </c>
      <c r="N76" s="74" t="s">
        <v>19</v>
      </c>
      <c r="O76" s="80">
        <v>0.5</v>
      </c>
      <c r="P76" s="76">
        <f t="shared" si="7"/>
        <v>2765000</v>
      </c>
      <c r="Q76" s="71"/>
      <c r="R76" s="76">
        <f t="shared" si="8"/>
        <v>2765000</v>
      </c>
      <c r="S76" s="74" t="s">
        <v>592</v>
      </c>
    </row>
    <row r="77" spans="1:23" s="32" customFormat="1" ht="15" customHeight="1">
      <c r="A77" s="16">
        <v>46037</v>
      </c>
      <c r="B77" s="96" t="s">
        <v>345</v>
      </c>
      <c r="C77" s="55" t="s">
        <v>344</v>
      </c>
      <c r="D77" s="18" t="s">
        <v>796</v>
      </c>
      <c r="E77" s="4"/>
      <c r="F77" s="55" t="s">
        <v>17</v>
      </c>
      <c r="G77" s="18" t="s">
        <v>18</v>
      </c>
      <c r="H77" s="21"/>
      <c r="I77" s="5">
        <v>550000</v>
      </c>
      <c r="J77" s="56">
        <f t="shared" si="9"/>
        <v>499999.99999999994</v>
      </c>
      <c r="K77" s="108"/>
      <c r="L77" s="68">
        <v>46037</v>
      </c>
      <c r="M77" s="26" t="s">
        <v>42</v>
      </c>
      <c r="N77" s="18" t="s">
        <v>19</v>
      </c>
      <c r="O77" s="31">
        <v>0.5</v>
      </c>
      <c r="P77" s="25">
        <f t="shared" si="7"/>
        <v>249999.99999999997</v>
      </c>
      <c r="Q77" s="71"/>
      <c r="R77" s="25">
        <f t="shared" si="8"/>
        <v>249999.99999999997</v>
      </c>
      <c r="S77" s="18" t="s">
        <v>85</v>
      </c>
    </row>
    <row r="78" spans="1:23" s="32" customFormat="1" ht="15" customHeight="1">
      <c r="A78" s="16">
        <v>46037</v>
      </c>
      <c r="B78" s="96" t="s">
        <v>267</v>
      </c>
      <c r="C78" s="4" t="s">
        <v>268</v>
      </c>
      <c r="D78" s="55" t="s">
        <v>269</v>
      </c>
      <c r="E78" s="4" t="s">
        <v>271</v>
      </c>
      <c r="F78" s="55" t="s">
        <v>17</v>
      </c>
      <c r="G78" s="18" t="s">
        <v>18</v>
      </c>
      <c r="H78" s="21">
        <v>46030</v>
      </c>
      <c r="I78" s="5">
        <v>550000</v>
      </c>
      <c r="J78" s="56">
        <f t="shared" si="9"/>
        <v>499999.99999999994</v>
      </c>
      <c r="K78" s="108">
        <v>46030</v>
      </c>
      <c r="L78" s="68">
        <v>46037</v>
      </c>
      <c r="M78" s="26" t="s">
        <v>21</v>
      </c>
      <c r="N78" s="55" t="s">
        <v>22</v>
      </c>
      <c r="O78" s="57">
        <v>0.5</v>
      </c>
      <c r="P78" s="56">
        <f t="shared" si="7"/>
        <v>249999.99999999997</v>
      </c>
      <c r="Q78" s="71"/>
      <c r="R78" s="56">
        <f t="shared" si="8"/>
        <v>249999.99999999997</v>
      </c>
      <c r="S78" s="22" t="s">
        <v>112</v>
      </c>
    </row>
    <row r="79" spans="1:23" ht="16.5" customHeight="1">
      <c r="A79" s="16">
        <v>46037</v>
      </c>
      <c r="B79" s="69" t="s">
        <v>20</v>
      </c>
      <c r="C79" s="4" t="s">
        <v>25</v>
      </c>
      <c r="D79" s="18" t="s">
        <v>34</v>
      </c>
      <c r="E79" s="4"/>
      <c r="F79" s="4" t="s">
        <v>17</v>
      </c>
      <c r="G79" s="18" t="s">
        <v>77</v>
      </c>
      <c r="H79" s="3"/>
      <c r="I79" s="5">
        <v>4000000</v>
      </c>
      <c r="J79" s="5">
        <f t="shared" si="9"/>
        <v>3636363.6363636362</v>
      </c>
      <c r="L79" s="68">
        <v>46037</v>
      </c>
      <c r="M79" s="26" t="s">
        <v>625</v>
      </c>
      <c r="N79" s="74" t="s">
        <v>19</v>
      </c>
      <c r="O79" s="80">
        <v>0.5</v>
      </c>
      <c r="P79" s="76">
        <f t="shared" si="7"/>
        <v>1818181.8181818181</v>
      </c>
      <c r="Q79" s="71"/>
      <c r="R79" s="76">
        <f t="shared" si="8"/>
        <v>1818181.8181818181</v>
      </c>
      <c r="S79" s="18" t="s">
        <v>626</v>
      </c>
      <c r="T79" s="4"/>
      <c r="U79" s="4"/>
      <c r="V79" s="4"/>
    </row>
    <row r="80" spans="1:23" ht="16.5" customHeight="1">
      <c r="A80" s="16">
        <v>46037</v>
      </c>
      <c r="B80" s="69" t="s">
        <v>354</v>
      </c>
      <c r="C80" s="4" t="s">
        <v>355</v>
      </c>
      <c r="D80" s="18" t="s">
        <v>356</v>
      </c>
      <c r="E80" s="4"/>
      <c r="F80" s="4" t="s">
        <v>17</v>
      </c>
      <c r="G80" s="18" t="s">
        <v>77</v>
      </c>
      <c r="H80" s="3"/>
      <c r="I80" s="5">
        <v>10258721</v>
      </c>
      <c r="J80" s="5">
        <f t="shared" si="9"/>
        <v>9326110</v>
      </c>
      <c r="L80" s="68">
        <v>46037</v>
      </c>
      <c r="M80" s="26" t="s">
        <v>797</v>
      </c>
      <c r="N80" s="18" t="s">
        <v>19</v>
      </c>
      <c r="O80" s="31">
        <v>0.5</v>
      </c>
      <c r="P80" s="25">
        <f t="shared" si="7"/>
        <v>4663055</v>
      </c>
      <c r="Q80" s="71"/>
      <c r="R80" s="25">
        <f t="shared" si="8"/>
        <v>4663055</v>
      </c>
      <c r="S80" s="18" t="s">
        <v>798</v>
      </c>
      <c r="T80" s="18"/>
      <c r="U80" s="4"/>
      <c r="V80" s="4"/>
    </row>
    <row r="81" spans="1:19" s="32" customFormat="1" ht="15" customHeight="1">
      <c r="A81" s="16">
        <v>46037</v>
      </c>
      <c r="B81" s="96" t="s">
        <v>360</v>
      </c>
      <c r="C81" s="55" t="s">
        <v>361</v>
      </c>
      <c r="D81" s="55" t="s">
        <v>596</v>
      </c>
      <c r="E81" s="4" t="s">
        <v>381</v>
      </c>
      <c r="F81" s="55" t="s">
        <v>17</v>
      </c>
      <c r="G81" s="18" t="s">
        <v>18</v>
      </c>
      <c r="H81" s="21">
        <v>46037</v>
      </c>
      <c r="I81" s="5">
        <v>1100000</v>
      </c>
      <c r="J81" s="56">
        <f t="shared" si="9"/>
        <v>999999.99999999988</v>
      </c>
      <c r="K81" s="108"/>
      <c r="L81" s="68">
        <v>46037</v>
      </c>
      <c r="M81" s="26" t="s">
        <v>42</v>
      </c>
      <c r="N81" s="74" t="s">
        <v>19</v>
      </c>
      <c r="O81" s="80">
        <v>0.5</v>
      </c>
      <c r="P81" s="76">
        <f t="shared" si="7"/>
        <v>499999.99999999994</v>
      </c>
      <c r="Q81" s="71"/>
      <c r="R81" s="76">
        <f t="shared" si="8"/>
        <v>499999.99999999994</v>
      </c>
      <c r="S81" s="18" t="s">
        <v>595</v>
      </c>
    </row>
    <row r="82" spans="1:19" s="32" customFormat="1" ht="15" customHeight="1">
      <c r="A82" s="81">
        <v>46037</v>
      </c>
      <c r="B82" s="96" t="s">
        <v>360</v>
      </c>
      <c r="C82" s="55" t="s">
        <v>65</v>
      </c>
      <c r="D82" s="55" t="s">
        <v>357</v>
      </c>
      <c r="E82" s="4"/>
      <c r="F82" s="55" t="s">
        <v>17</v>
      </c>
      <c r="G82" s="18" t="s">
        <v>77</v>
      </c>
      <c r="H82" s="21"/>
      <c r="I82" s="5">
        <v>2200000</v>
      </c>
      <c r="J82" s="56">
        <f t="shared" si="9"/>
        <v>1999999.9999999998</v>
      </c>
      <c r="K82" s="108"/>
      <c r="L82" s="68">
        <v>46037</v>
      </c>
      <c r="M82" s="26" t="s">
        <v>438</v>
      </c>
      <c r="N82" s="74" t="s">
        <v>19</v>
      </c>
      <c r="O82" s="80">
        <v>0.5</v>
      </c>
      <c r="P82" s="76">
        <f t="shared" si="7"/>
        <v>999999.99999999988</v>
      </c>
      <c r="Q82" s="71"/>
      <c r="R82" s="76">
        <f t="shared" si="8"/>
        <v>999999.99999999988</v>
      </c>
      <c r="S82" s="18" t="s">
        <v>439</v>
      </c>
    </row>
    <row r="83" spans="1:19" s="32" customFormat="1" ht="15" customHeight="1">
      <c r="A83" s="16">
        <v>46037</v>
      </c>
      <c r="B83" s="96" t="s">
        <v>359</v>
      </c>
      <c r="C83" s="55" t="s">
        <v>39</v>
      </c>
      <c r="D83" s="55" t="s">
        <v>358</v>
      </c>
      <c r="E83" s="4" t="s">
        <v>383</v>
      </c>
      <c r="F83" s="55" t="s">
        <v>17</v>
      </c>
      <c r="G83" s="18" t="s">
        <v>18</v>
      </c>
      <c r="H83" s="21">
        <v>46038</v>
      </c>
      <c r="I83" s="5">
        <v>550000</v>
      </c>
      <c r="J83" s="56">
        <f t="shared" si="9"/>
        <v>499999.99999999994</v>
      </c>
      <c r="K83" s="108"/>
      <c r="L83" s="68">
        <v>46037</v>
      </c>
      <c r="M83" s="26" t="s">
        <v>43</v>
      </c>
      <c r="N83" s="74" t="s">
        <v>19</v>
      </c>
      <c r="O83" s="80">
        <v>0.5</v>
      </c>
      <c r="P83" s="76">
        <f t="shared" si="7"/>
        <v>249999.99999999997</v>
      </c>
      <c r="Q83" s="71"/>
      <c r="R83" s="76">
        <f t="shared" si="8"/>
        <v>249999.99999999997</v>
      </c>
      <c r="S83" s="18" t="s">
        <v>367</v>
      </c>
    </row>
    <row r="84" spans="1:19" s="32" customFormat="1" ht="15" customHeight="1">
      <c r="A84" s="16">
        <v>46037</v>
      </c>
      <c r="B84" s="96" t="s">
        <v>359</v>
      </c>
      <c r="C84" s="55" t="s">
        <v>362</v>
      </c>
      <c r="D84" s="55" t="s">
        <v>368</v>
      </c>
      <c r="E84" s="4" t="s">
        <v>451</v>
      </c>
      <c r="F84" s="55" t="s">
        <v>17</v>
      </c>
      <c r="G84" s="18" t="s">
        <v>18</v>
      </c>
      <c r="H84" s="21">
        <v>46043</v>
      </c>
      <c r="I84" s="5">
        <v>2200000</v>
      </c>
      <c r="J84" s="56">
        <f t="shared" si="9"/>
        <v>1999999.9999999998</v>
      </c>
      <c r="K84" s="108"/>
      <c r="L84" s="68">
        <v>46037</v>
      </c>
      <c r="M84" s="26" t="s">
        <v>369</v>
      </c>
      <c r="N84" s="74" t="s">
        <v>19</v>
      </c>
      <c r="O84" s="80">
        <v>0.5</v>
      </c>
      <c r="P84" s="76">
        <f t="shared" si="7"/>
        <v>999999.99999999988</v>
      </c>
      <c r="Q84" s="71"/>
      <c r="R84" s="76">
        <f t="shared" si="8"/>
        <v>999999.99999999988</v>
      </c>
      <c r="S84" s="18" t="s">
        <v>370</v>
      </c>
    </row>
    <row r="85" spans="1:19" s="32" customFormat="1" ht="15" customHeight="1">
      <c r="A85" s="16">
        <v>46038</v>
      </c>
      <c r="B85" s="96" t="s">
        <v>38</v>
      </c>
      <c r="C85" s="55" t="s">
        <v>58</v>
      </c>
      <c r="D85" s="55" t="s">
        <v>707</v>
      </c>
      <c r="E85" s="4"/>
      <c r="F85" s="55" t="s">
        <v>17</v>
      </c>
      <c r="G85" s="18" t="s">
        <v>18</v>
      </c>
      <c r="H85" s="21"/>
      <c r="I85" s="5">
        <v>550000</v>
      </c>
      <c r="J85" s="56">
        <f t="shared" si="9"/>
        <v>499999.99999999994</v>
      </c>
      <c r="K85" s="108"/>
      <c r="L85" s="68">
        <v>46038</v>
      </c>
      <c r="M85" s="26" t="s">
        <v>371</v>
      </c>
      <c r="N85" s="74" t="s">
        <v>19</v>
      </c>
      <c r="O85" s="80">
        <v>0.5</v>
      </c>
      <c r="P85" s="76">
        <f t="shared" si="7"/>
        <v>249999.99999999997</v>
      </c>
      <c r="Q85" s="71"/>
      <c r="R85" s="76">
        <f t="shared" si="8"/>
        <v>249999.99999999997</v>
      </c>
      <c r="S85" s="18" t="s">
        <v>706</v>
      </c>
    </row>
    <row r="86" spans="1:19" s="35" customFormat="1" ht="15" customHeight="1">
      <c r="A86" s="16">
        <v>46038</v>
      </c>
      <c r="B86" s="96" t="s">
        <v>274</v>
      </c>
      <c r="C86" s="41" t="s">
        <v>275</v>
      </c>
      <c r="D86" s="46" t="s">
        <v>276</v>
      </c>
      <c r="E86" s="41"/>
      <c r="F86" s="41" t="s">
        <v>17</v>
      </c>
      <c r="G86" s="46" t="s">
        <v>24</v>
      </c>
      <c r="H86" s="42"/>
      <c r="I86" s="37">
        <v>110000</v>
      </c>
      <c r="J86" s="37">
        <f t="shared" si="9"/>
        <v>99999.999999999985</v>
      </c>
      <c r="K86" s="108">
        <v>46031</v>
      </c>
      <c r="L86" s="68">
        <v>46038</v>
      </c>
      <c r="M86" s="85" t="s">
        <v>21</v>
      </c>
      <c r="N86" s="110" t="s">
        <v>22</v>
      </c>
      <c r="O86" s="111">
        <v>0.5</v>
      </c>
      <c r="P86" s="112">
        <f t="shared" si="7"/>
        <v>49999.999999999993</v>
      </c>
      <c r="Q86" s="71"/>
      <c r="R86" s="112">
        <f t="shared" si="8"/>
        <v>49999.999999999993</v>
      </c>
      <c r="S86" s="66" t="s">
        <v>112</v>
      </c>
    </row>
    <row r="87" spans="1:19" s="32" customFormat="1" ht="15" customHeight="1">
      <c r="A87" s="16">
        <v>46038</v>
      </c>
      <c r="B87" s="96" t="s">
        <v>372</v>
      </c>
      <c r="C87" s="55" t="s">
        <v>65</v>
      </c>
      <c r="D87" s="55" t="s">
        <v>373</v>
      </c>
      <c r="E87" s="4" t="s">
        <v>382</v>
      </c>
      <c r="F87" s="55" t="s">
        <v>17</v>
      </c>
      <c r="G87" s="18" t="s">
        <v>18</v>
      </c>
      <c r="H87" s="21">
        <v>46038</v>
      </c>
      <c r="I87" s="37">
        <v>1100000</v>
      </c>
      <c r="J87" s="56">
        <f t="shared" si="9"/>
        <v>999999.99999999988</v>
      </c>
      <c r="K87" s="108"/>
      <c r="L87" s="68">
        <v>46038</v>
      </c>
      <c r="M87" s="26" t="s">
        <v>42</v>
      </c>
      <c r="N87" s="74" t="s">
        <v>19</v>
      </c>
      <c r="O87" s="80">
        <v>0.5</v>
      </c>
      <c r="P87" s="76">
        <f t="shared" si="7"/>
        <v>499999.99999999994</v>
      </c>
      <c r="Q87" s="71"/>
      <c r="R87" s="76">
        <f t="shared" si="8"/>
        <v>499999.99999999994</v>
      </c>
      <c r="S87" s="18" t="s">
        <v>90</v>
      </c>
    </row>
    <row r="88" spans="1:19" s="32" customFormat="1" ht="15" customHeight="1">
      <c r="A88" s="16">
        <v>46038</v>
      </c>
      <c r="B88" s="96" t="s">
        <v>38</v>
      </c>
      <c r="C88" s="55" t="s">
        <v>145</v>
      </c>
      <c r="D88" s="55" t="s">
        <v>374</v>
      </c>
      <c r="E88" s="4"/>
      <c r="F88" s="55" t="s">
        <v>17</v>
      </c>
      <c r="G88" s="18" t="s">
        <v>77</v>
      </c>
      <c r="H88" s="21"/>
      <c r="I88" s="37">
        <v>2200000</v>
      </c>
      <c r="J88" s="56">
        <f t="shared" si="9"/>
        <v>1999999.9999999998</v>
      </c>
      <c r="K88" s="108"/>
      <c r="L88" s="68">
        <v>46038</v>
      </c>
      <c r="M88" s="26" t="s">
        <v>42</v>
      </c>
      <c r="N88" s="74" t="s">
        <v>19</v>
      </c>
      <c r="O88" s="80">
        <v>0.5</v>
      </c>
      <c r="P88" s="76">
        <f t="shared" si="7"/>
        <v>999999.99999999988</v>
      </c>
      <c r="Q88" s="71"/>
      <c r="R88" s="76">
        <f t="shared" si="8"/>
        <v>999999.99999999988</v>
      </c>
      <c r="S88" s="18" t="s">
        <v>90</v>
      </c>
    </row>
    <row r="89" spans="1:19" s="32" customFormat="1" ht="15" customHeight="1">
      <c r="A89" s="16">
        <v>46038</v>
      </c>
      <c r="B89" s="96" t="s">
        <v>50</v>
      </c>
      <c r="C89" s="55" t="s">
        <v>375</v>
      </c>
      <c r="D89" s="55" t="s">
        <v>376</v>
      </c>
      <c r="E89" s="4" t="s">
        <v>799</v>
      </c>
      <c r="F89" s="55" t="s">
        <v>17</v>
      </c>
      <c r="G89" s="18" t="s">
        <v>18</v>
      </c>
      <c r="H89" s="21">
        <v>46038</v>
      </c>
      <c r="I89" s="5">
        <v>550000</v>
      </c>
      <c r="J89" s="56">
        <f t="shared" si="9"/>
        <v>499999.99999999994</v>
      </c>
      <c r="K89" s="108"/>
      <c r="L89" s="68">
        <v>46038</v>
      </c>
      <c r="M89" s="26" t="s">
        <v>800</v>
      </c>
      <c r="N89" s="18" t="s">
        <v>19</v>
      </c>
      <c r="O89" s="31">
        <v>0.5</v>
      </c>
      <c r="P89" s="25">
        <f t="shared" si="7"/>
        <v>249999.99999999997</v>
      </c>
      <c r="Q89" s="71"/>
      <c r="R89" s="25">
        <f t="shared" si="8"/>
        <v>249999.99999999997</v>
      </c>
      <c r="S89" s="18" t="s">
        <v>801</v>
      </c>
    </row>
    <row r="90" spans="1:19" s="32" customFormat="1" ht="16.5">
      <c r="A90" s="16">
        <v>46041</v>
      </c>
      <c r="B90" s="96" t="s">
        <v>38</v>
      </c>
      <c r="C90" s="55" t="s">
        <v>377</v>
      </c>
      <c r="D90" s="55" t="s">
        <v>378</v>
      </c>
      <c r="E90" s="4" t="s">
        <v>384</v>
      </c>
      <c r="F90" s="55" t="s">
        <v>17</v>
      </c>
      <c r="G90" s="18" t="s">
        <v>18</v>
      </c>
      <c r="H90" s="21">
        <v>46041</v>
      </c>
      <c r="I90" s="5">
        <v>2200000</v>
      </c>
      <c r="J90" s="56">
        <f t="shared" si="9"/>
        <v>1999999.9999999998</v>
      </c>
      <c r="K90" s="108"/>
      <c r="L90" s="68">
        <v>46041</v>
      </c>
      <c r="M90" s="26" t="s">
        <v>42</v>
      </c>
      <c r="N90" s="74" t="s">
        <v>19</v>
      </c>
      <c r="O90" s="80">
        <v>0.5</v>
      </c>
      <c r="P90" s="76">
        <f t="shared" si="7"/>
        <v>999999.99999999988</v>
      </c>
      <c r="Q90" s="71"/>
      <c r="R90" s="76">
        <f t="shared" si="8"/>
        <v>999999.99999999988</v>
      </c>
      <c r="S90" s="18" t="s">
        <v>379</v>
      </c>
    </row>
    <row r="91" spans="1:19" s="35" customFormat="1" ht="15" customHeight="1">
      <c r="A91" s="16">
        <v>46041</v>
      </c>
      <c r="B91" s="96" t="s">
        <v>38</v>
      </c>
      <c r="C91" s="93" t="s">
        <v>281</v>
      </c>
      <c r="D91" s="94" t="s">
        <v>282</v>
      </c>
      <c r="E91" s="41"/>
      <c r="F91" s="93" t="s">
        <v>17</v>
      </c>
      <c r="G91" s="46" t="s">
        <v>284</v>
      </c>
      <c r="H91" s="42"/>
      <c r="I91" s="37">
        <v>110000</v>
      </c>
      <c r="J91" s="95">
        <f t="shared" si="9"/>
        <v>99999.999999999985</v>
      </c>
      <c r="K91" s="108">
        <v>46034</v>
      </c>
      <c r="L91" s="68">
        <v>46041</v>
      </c>
      <c r="M91" s="85" t="s">
        <v>21</v>
      </c>
      <c r="N91" s="110" t="s">
        <v>22</v>
      </c>
      <c r="O91" s="111">
        <v>0.5</v>
      </c>
      <c r="P91" s="112">
        <f t="shared" si="7"/>
        <v>49999.999999999993</v>
      </c>
      <c r="Q91" s="71"/>
      <c r="R91" s="112">
        <f t="shared" si="8"/>
        <v>49999.999999999993</v>
      </c>
      <c r="S91" s="66" t="s">
        <v>112</v>
      </c>
    </row>
    <row r="92" spans="1:19" s="35" customFormat="1" ht="15" customHeight="1">
      <c r="A92" s="16">
        <v>46041</v>
      </c>
      <c r="B92" s="96" t="s">
        <v>300</v>
      </c>
      <c r="C92" s="41" t="s">
        <v>87</v>
      </c>
      <c r="D92" s="94" t="s">
        <v>301</v>
      </c>
      <c r="E92" s="41"/>
      <c r="F92" s="93" t="s">
        <v>17</v>
      </c>
      <c r="G92" s="46" t="s">
        <v>24</v>
      </c>
      <c r="H92" s="42"/>
      <c r="I92" s="37">
        <v>110000</v>
      </c>
      <c r="J92" s="95">
        <f t="shared" si="9"/>
        <v>99999.999999999985</v>
      </c>
      <c r="K92" s="108">
        <v>46034</v>
      </c>
      <c r="L92" s="68">
        <v>46041</v>
      </c>
      <c r="M92" s="85" t="s">
        <v>21</v>
      </c>
      <c r="N92" s="110" t="s">
        <v>22</v>
      </c>
      <c r="O92" s="111">
        <v>0.5</v>
      </c>
      <c r="P92" s="112">
        <f t="shared" si="7"/>
        <v>49999.999999999993</v>
      </c>
      <c r="Q92" s="71"/>
      <c r="R92" s="112">
        <f t="shared" si="8"/>
        <v>49999.999999999993</v>
      </c>
      <c r="S92" s="66" t="s">
        <v>112</v>
      </c>
    </row>
    <row r="93" spans="1:19" s="32" customFormat="1" ht="15" customHeight="1">
      <c r="A93" s="16">
        <v>46041</v>
      </c>
      <c r="B93" s="96" t="s">
        <v>52</v>
      </c>
      <c r="C93" s="55" t="s">
        <v>84</v>
      </c>
      <c r="D93" s="55" t="s">
        <v>385</v>
      </c>
      <c r="E93" s="41" t="s">
        <v>406</v>
      </c>
      <c r="F93" s="55" t="s">
        <v>17</v>
      </c>
      <c r="G93" s="18" t="s">
        <v>18</v>
      </c>
      <c r="H93" s="42">
        <v>46041</v>
      </c>
      <c r="I93" s="5">
        <v>550000</v>
      </c>
      <c r="J93" s="56">
        <f t="shared" si="9"/>
        <v>499999.99999999994</v>
      </c>
      <c r="K93" s="108"/>
      <c r="L93" s="68">
        <v>46041</v>
      </c>
      <c r="M93" s="26" t="s">
        <v>386</v>
      </c>
      <c r="N93" s="74" t="s">
        <v>19</v>
      </c>
      <c r="O93" s="80">
        <v>0.5</v>
      </c>
      <c r="P93" s="76">
        <f t="shared" si="7"/>
        <v>249999.99999999997</v>
      </c>
      <c r="Q93" s="71"/>
      <c r="R93" s="76">
        <f t="shared" si="8"/>
        <v>249999.99999999997</v>
      </c>
      <c r="S93" s="18" t="s">
        <v>387</v>
      </c>
    </row>
    <row r="94" spans="1:19" s="32" customFormat="1" ht="15" customHeight="1">
      <c r="A94" s="16">
        <v>46041</v>
      </c>
      <c r="B94" s="96" t="s">
        <v>49</v>
      </c>
      <c r="C94" s="55" t="s">
        <v>388</v>
      </c>
      <c r="D94" s="55" t="s">
        <v>389</v>
      </c>
      <c r="E94" s="41"/>
      <c r="F94" s="55" t="s">
        <v>17</v>
      </c>
      <c r="G94" s="18" t="s">
        <v>18</v>
      </c>
      <c r="H94" s="42"/>
      <c r="I94" s="5">
        <v>550000</v>
      </c>
      <c r="J94" s="56">
        <f t="shared" si="9"/>
        <v>499999.99999999994</v>
      </c>
      <c r="K94" s="108"/>
      <c r="L94" s="68">
        <v>46041</v>
      </c>
      <c r="M94" s="105" t="s">
        <v>875</v>
      </c>
      <c r="N94" s="74" t="s">
        <v>19</v>
      </c>
      <c r="O94" s="80">
        <v>0.5</v>
      </c>
      <c r="P94" s="76">
        <f t="shared" si="7"/>
        <v>249999.99999999997</v>
      </c>
      <c r="Q94" s="71"/>
      <c r="R94" s="76">
        <f t="shared" si="8"/>
        <v>249999.99999999997</v>
      </c>
      <c r="S94" s="18"/>
    </row>
    <row r="95" spans="1:19" s="32" customFormat="1" ht="15" customHeight="1">
      <c r="A95" s="16">
        <v>46041</v>
      </c>
      <c r="B95" s="96" t="s">
        <v>392</v>
      </c>
      <c r="C95" s="55" t="s">
        <v>393</v>
      </c>
      <c r="D95" s="55" t="s">
        <v>394</v>
      </c>
      <c r="E95" s="4"/>
      <c r="F95" s="55" t="s">
        <v>17</v>
      </c>
      <c r="G95" s="18" t="s">
        <v>77</v>
      </c>
      <c r="H95" s="21"/>
      <c r="I95" s="37">
        <v>6831000</v>
      </c>
      <c r="J95" s="56">
        <f t="shared" si="9"/>
        <v>6209999.9999999991</v>
      </c>
      <c r="K95" s="108"/>
      <c r="L95" s="68">
        <v>46041</v>
      </c>
      <c r="M95" s="26" t="s">
        <v>802</v>
      </c>
      <c r="N95" s="18" t="s">
        <v>19</v>
      </c>
      <c r="O95" s="31">
        <v>0.5</v>
      </c>
      <c r="P95" s="25">
        <f t="shared" si="7"/>
        <v>3104999.9999999995</v>
      </c>
      <c r="Q95" s="71"/>
      <c r="R95" s="25">
        <f t="shared" si="8"/>
        <v>3104999.9999999995</v>
      </c>
      <c r="S95" s="18" t="s">
        <v>803</v>
      </c>
    </row>
    <row r="96" spans="1:19" s="32" customFormat="1" ht="15" customHeight="1">
      <c r="A96" s="16">
        <v>46041</v>
      </c>
      <c r="B96" s="96" t="s">
        <v>395</v>
      </c>
      <c r="C96" s="55" t="s">
        <v>396</v>
      </c>
      <c r="D96" s="55" t="s">
        <v>397</v>
      </c>
      <c r="E96" s="41" t="s">
        <v>405</v>
      </c>
      <c r="F96" s="55" t="s">
        <v>17</v>
      </c>
      <c r="G96" s="18" t="s">
        <v>18</v>
      </c>
      <c r="H96" s="42">
        <v>46041</v>
      </c>
      <c r="I96" s="5">
        <v>550000</v>
      </c>
      <c r="J96" s="56">
        <f t="shared" si="9"/>
        <v>499999.99999999994</v>
      </c>
      <c r="K96" s="108"/>
      <c r="L96" s="68">
        <v>46041</v>
      </c>
      <c r="M96" s="26" t="s">
        <v>43</v>
      </c>
      <c r="N96" s="74" t="s">
        <v>19</v>
      </c>
      <c r="O96" s="80">
        <v>0.5</v>
      </c>
      <c r="P96" s="76">
        <f t="shared" ref="P96:P109" si="10">J96*O96</f>
        <v>249999.99999999997</v>
      </c>
      <c r="Q96" s="71"/>
      <c r="R96" s="76">
        <f t="shared" ref="R96:R109" si="11">J96-P96</f>
        <v>249999.99999999997</v>
      </c>
      <c r="S96" s="18" t="s">
        <v>398</v>
      </c>
    </row>
    <row r="97" spans="1:20" ht="15" customHeight="1">
      <c r="A97" s="16">
        <v>46041</v>
      </c>
      <c r="B97" s="96" t="s">
        <v>395</v>
      </c>
      <c r="C97" s="4" t="s">
        <v>399</v>
      </c>
      <c r="D97" s="18" t="s">
        <v>400</v>
      </c>
      <c r="E97" s="4"/>
      <c r="F97" s="4" t="s">
        <v>17</v>
      </c>
      <c r="G97" s="18" t="s">
        <v>24</v>
      </c>
      <c r="H97" s="21"/>
      <c r="I97" s="5">
        <v>110000</v>
      </c>
      <c r="J97" s="5">
        <f t="shared" si="9"/>
        <v>99999.999999999985</v>
      </c>
      <c r="L97" s="68">
        <v>46041</v>
      </c>
      <c r="M97" s="26" t="s">
        <v>43</v>
      </c>
      <c r="N97" s="74" t="s">
        <v>19</v>
      </c>
      <c r="O97" s="80">
        <v>0.5</v>
      </c>
      <c r="P97" s="76">
        <f t="shared" si="10"/>
        <v>49999.999999999993</v>
      </c>
      <c r="Q97" s="71"/>
      <c r="R97" s="76">
        <f t="shared" si="11"/>
        <v>49999.999999999993</v>
      </c>
      <c r="S97" s="18" t="s">
        <v>401</v>
      </c>
    </row>
    <row r="98" spans="1:20" s="32" customFormat="1" ht="15" customHeight="1">
      <c r="A98" s="16">
        <v>46042</v>
      </c>
      <c r="B98" s="96" t="s">
        <v>47</v>
      </c>
      <c r="C98" s="55" t="s">
        <v>407</v>
      </c>
      <c r="D98" s="55" t="s">
        <v>408</v>
      </c>
      <c r="E98" s="4" t="s">
        <v>409</v>
      </c>
      <c r="F98" s="55" t="s">
        <v>17</v>
      </c>
      <c r="G98" s="18" t="s">
        <v>18</v>
      </c>
      <c r="H98" s="21">
        <v>46042</v>
      </c>
      <c r="I98" s="5">
        <v>990000</v>
      </c>
      <c r="J98" s="56">
        <f t="shared" si="9"/>
        <v>899999.99999999988</v>
      </c>
      <c r="K98" s="108"/>
      <c r="L98" s="68">
        <v>46042</v>
      </c>
      <c r="M98" s="26" t="s">
        <v>640</v>
      </c>
      <c r="N98" s="74" t="s">
        <v>19</v>
      </c>
      <c r="O98" s="80">
        <v>0.5</v>
      </c>
      <c r="P98" s="76">
        <f t="shared" si="10"/>
        <v>449999.99999999994</v>
      </c>
      <c r="Q98" s="71"/>
      <c r="R98" s="76">
        <f t="shared" si="11"/>
        <v>449999.99999999994</v>
      </c>
      <c r="S98" s="18" t="s">
        <v>641</v>
      </c>
    </row>
    <row r="99" spans="1:20" ht="15" customHeight="1">
      <c r="A99" s="16">
        <v>46042</v>
      </c>
      <c r="B99" s="14" t="s">
        <v>38</v>
      </c>
      <c r="C99" s="4" t="s">
        <v>143</v>
      </c>
      <c r="D99" s="18" t="s">
        <v>159</v>
      </c>
      <c r="E99" s="4"/>
      <c r="F99" s="4" t="s">
        <v>17</v>
      </c>
      <c r="G99" s="18" t="s">
        <v>18</v>
      </c>
      <c r="H99" s="4"/>
      <c r="I99" s="5">
        <v>330000</v>
      </c>
      <c r="J99" s="5">
        <f t="shared" si="9"/>
        <v>300000</v>
      </c>
      <c r="K99" s="108"/>
      <c r="L99" s="68">
        <v>46042</v>
      </c>
      <c r="M99" s="26" t="s">
        <v>640</v>
      </c>
      <c r="N99" s="74" t="s">
        <v>19</v>
      </c>
      <c r="O99" s="80">
        <v>0.5</v>
      </c>
      <c r="P99" s="76">
        <f t="shared" si="10"/>
        <v>150000</v>
      </c>
      <c r="Q99" s="71"/>
      <c r="R99" s="76">
        <f t="shared" si="11"/>
        <v>150000</v>
      </c>
      <c r="S99" s="18" t="s">
        <v>641</v>
      </c>
      <c r="T99" s="32"/>
    </row>
    <row r="100" spans="1:20" s="35" customFormat="1" ht="15" customHeight="1">
      <c r="A100" s="16">
        <v>46042</v>
      </c>
      <c r="B100" s="96" t="s">
        <v>50</v>
      </c>
      <c r="C100" s="41" t="s">
        <v>316</v>
      </c>
      <c r="D100" s="94" t="s">
        <v>317</v>
      </c>
      <c r="E100" s="41"/>
      <c r="F100" s="93" t="s">
        <v>17</v>
      </c>
      <c r="G100" s="46" t="s">
        <v>24</v>
      </c>
      <c r="H100" s="42"/>
      <c r="I100" s="37">
        <v>110000</v>
      </c>
      <c r="J100" s="95">
        <f t="shared" si="9"/>
        <v>99999.999999999985</v>
      </c>
      <c r="K100" s="108">
        <v>46035</v>
      </c>
      <c r="L100" s="68">
        <v>46042</v>
      </c>
      <c r="M100" s="85" t="s">
        <v>21</v>
      </c>
      <c r="N100" s="110" t="s">
        <v>22</v>
      </c>
      <c r="O100" s="111">
        <v>0.5</v>
      </c>
      <c r="P100" s="112">
        <f t="shared" si="10"/>
        <v>49999.999999999993</v>
      </c>
      <c r="Q100" s="71"/>
      <c r="R100" s="112">
        <f t="shared" si="11"/>
        <v>49999.999999999993</v>
      </c>
      <c r="S100" s="66" t="s">
        <v>112</v>
      </c>
    </row>
    <row r="101" spans="1:20" s="32" customFormat="1" ht="15" customHeight="1">
      <c r="A101" s="16">
        <v>46042</v>
      </c>
      <c r="B101" s="96" t="s">
        <v>49</v>
      </c>
      <c r="C101" s="4" t="s">
        <v>111</v>
      </c>
      <c r="D101" s="55" t="s">
        <v>320</v>
      </c>
      <c r="E101" s="41"/>
      <c r="F101" s="55" t="s">
        <v>17</v>
      </c>
      <c r="G101" s="18" t="s">
        <v>18</v>
      </c>
      <c r="H101" s="42"/>
      <c r="I101" s="5">
        <v>550000</v>
      </c>
      <c r="J101" s="56">
        <f t="shared" si="9"/>
        <v>499999.99999999994</v>
      </c>
      <c r="K101" s="108">
        <v>46035</v>
      </c>
      <c r="L101" s="68">
        <v>46042</v>
      </c>
      <c r="M101" s="26" t="s">
        <v>21</v>
      </c>
      <c r="N101" s="55" t="s">
        <v>22</v>
      </c>
      <c r="O101" s="57">
        <v>0.5</v>
      </c>
      <c r="P101" s="56">
        <f t="shared" si="10"/>
        <v>249999.99999999997</v>
      </c>
      <c r="Q101" s="71"/>
      <c r="R101" s="56">
        <f t="shared" si="11"/>
        <v>249999.99999999997</v>
      </c>
      <c r="S101" s="22" t="s">
        <v>112</v>
      </c>
    </row>
    <row r="102" spans="1:20" s="32" customFormat="1" ht="15" customHeight="1">
      <c r="A102" s="16">
        <v>46042</v>
      </c>
      <c r="B102" s="96" t="s">
        <v>321</v>
      </c>
      <c r="C102" s="4" t="s">
        <v>145</v>
      </c>
      <c r="D102" s="55" t="s">
        <v>322</v>
      </c>
      <c r="E102" s="41" t="s">
        <v>338</v>
      </c>
      <c r="F102" s="55" t="s">
        <v>17</v>
      </c>
      <c r="G102" s="18" t="s">
        <v>18</v>
      </c>
      <c r="H102" s="42">
        <v>46035</v>
      </c>
      <c r="I102" s="5">
        <v>550000</v>
      </c>
      <c r="J102" s="56">
        <f t="shared" si="9"/>
        <v>499999.99999999994</v>
      </c>
      <c r="K102" s="108">
        <v>46035</v>
      </c>
      <c r="L102" s="68">
        <v>46042</v>
      </c>
      <c r="M102" s="26" t="s">
        <v>21</v>
      </c>
      <c r="N102" s="55" t="s">
        <v>22</v>
      </c>
      <c r="O102" s="57">
        <v>0.5</v>
      </c>
      <c r="P102" s="56">
        <f t="shared" si="10"/>
        <v>249999.99999999997</v>
      </c>
      <c r="Q102" s="71"/>
      <c r="R102" s="56">
        <f t="shared" si="11"/>
        <v>249999.99999999997</v>
      </c>
      <c r="S102" s="22" t="s">
        <v>112</v>
      </c>
    </row>
    <row r="103" spans="1:20" s="32" customFormat="1" ht="15" customHeight="1">
      <c r="A103" s="16">
        <v>46042</v>
      </c>
      <c r="B103" s="96" t="s">
        <v>413</v>
      </c>
      <c r="C103" s="55" t="s">
        <v>414</v>
      </c>
      <c r="D103" s="55" t="s">
        <v>412</v>
      </c>
      <c r="E103" s="4"/>
      <c r="F103" s="55" t="s">
        <v>17</v>
      </c>
      <c r="G103" s="18" t="s">
        <v>18</v>
      </c>
      <c r="H103" s="21"/>
      <c r="I103" s="5">
        <v>550000</v>
      </c>
      <c r="J103" s="56">
        <f t="shared" si="9"/>
        <v>499999.99999999994</v>
      </c>
      <c r="K103" s="108"/>
      <c r="L103" s="68">
        <v>46042</v>
      </c>
      <c r="M103" s="26" t="s">
        <v>488</v>
      </c>
      <c r="N103" s="74" t="s">
        <v>19</v>
      </c>
      <c r="O103" s="80">
        <v>0.5</v>
      </c>
      <c r="P103" s="76">
        <f t="shared" si="10"/>
        <v>249999.99999999997</v>
      </c>
      <c r="Q103" s="71"/>
      <c r="R103" s="76">
        <f t="shared" si="11"/>
        <v>249999.99999999997</v>
      </c>
      <c r="S103" s="15" t="s">
        <v>487</v>
      </c>
    </row>
    <row r="104" spans="1:20" s="32" customFormat="1" ht="15" customHeight="1">
      <c r="A104" s="16">
        <v>46042</v>
      </c>
      <c r="B104" s="96" t="s">
        <v>415</v>
      </c>
      <c r="C104" s="55" t="s">
        <v>93</v>
      </c>
      <c r="D104" s="55" t="s">
        <v>416</v>
      </c>
      <c r="E104" s="4" t="s">
        <v>804</v>
      </c>
      <c r="F104" s="55" t="s">
        <v>17</v>
      </c>
      <c r="G104" s="18" t="s">
        <v>18</v>
      </c>
      <c r="H104" s="21">
        <v>46042</v>
      </c>
      <c r="I104" s="5">
        <v>1100000</v>
      </c>
      <c r="J104" s="56">
        <f t="shared" si="9"/>
        <v>999999.99999999988</v>
      </c>
      <c r="K104" s="108"/>
      <c r="L104" s="68">
        <v>46042</v>
      </c>
      <c r="M104" s="26" t="s">
        <v>42</v>
      </c>
      <c r="N104" s="18" t="s">
        <v>19</v>
      </c>
      <c r="O104" s="31">
        <v>0.5</v>
      </c>
      <c r="P104" s="25">
        <f t="shared" si="10"/>
        <v>499999.99999999994</v>
      </c>
      <c r="Q104" s="71"/>
      <c r="R104" s="25">
        <f t="shared" si="11"/>
        <v>499999.99999999994</v>
      </c>
      <c r="S104" s="18" t="s">
        <v>91</v>
      </c>
    </row>
    <row r="105" spans="1:20" s="32" customFormat="1" ht="15" customHeight="1">
      <c r="A105" s="16">
        <v>46042</v>
      </c>
      <c r="B105" s="96" t="s">
        <v>419</v>
      </c>
      <c r="C105" s="55" t="s">
        <v>145</v>
      </c>
      <c r="D105" s="55" t="s">
        <v>440</v>
      </c>
      <c r="E105" s="4" t="s">
        <v>420</v>
      </c>
      <c r="F105" s="55" t="s">
        <v>17</v>
      </c>
      <c r="G105" s="18" t="s">
        <v>18</v>
      </c>
      <c r="H105" s="21">
        <v>46042</v>
      </c>
      <c r="I105" s="5">
        <v>550000</v>
      </c>
      <c r="J105" s="56">
        <f t="shared" si="9"/>
        <v>499999.99999999994</v>
      </c>
      <c r="K105" s="108"/>
      <c r="L105" s="68">
        <v>46042</v>
      </c>
      <c r="M105" s="26" t="s">
        <v>42</v>
      </c>
      <c r="N105" s="74" t="s">
        <v>19</v>
      </c>
      <c r="O105" s="80">
        <v>0.5</v>
      </c>
      <c r="P105" s="76">
        <f t="shared" si="10"/>
        <v>249999.99999999997</v>
      </c>
      <c r="Q105" s="71"/>
      <c r="R105" s="76">
        <f t="shared" si="11"/>
        <v>249999.99999999997</v>
      </c>
      <c r="S105" s="18" t="s">
        <v>441</v>
      </c>
    </row>
    <row r="106" spans="1:20" s="32" customFormat="1" ht="15" customHeight="1">
      <c r="A106" s="16">
        <v>46042</v>
      </c>
      <c r="B106" s="96" t="s">
        <v>53</v>
      </c>
      <c r="C106" s="55" t="s">
        <v>73</v>
      </c>
      <c r="D106" s="4" t="s">
        <v>805</v>
      </c>
      <c r="E106" s="4"/>
      <c r="F106" s="55" t="s">
        <v>17</v>
      </c>
      <c r="G106" s="18" t="s">
        <v>77</v>
      </c>
      <c r="H106" s="21"/>
      <c r="I106" s="37">
        <v>4000000</v>
      </c>
      <c r="J106" s="56">
        <f t="shared" si="9"/>
        <v>3636363.6363636362</v>
      </c>
      <c r="K106" s="108"/>
      <c r="L106" s="68">
        <v>46042</v>
      </c>
      <c r="M106" s="26" t="s">
        <v>42</v>
      </c>
      <c r="N106" s="18" t="s">
        <v>19</v>
      </c>
      <c r="O106" s="31">
        <v>0.5</v>
      </c>
      <c r="P106" s="25">
        <f t="shared" si="10"/>
        <v>1818181.8181818181</v>
      </c>
      <c r="Q106" s="71"/>
      <c r="R106" s="25">
        <f t="shared" si="11"/>
        <v>1818181.8181818181</v>
      </c>
      <c r="S106" s="18" t="s">
        <v>806</v>
      </c>
    </row>
    <row r="107" spans="1:20" s="32" customFormat="1" ht="15" customHeight="1">
      <c r="A107" s="16">
        <v>46042</v>
      </c>
      <c r="B107" s="96" t="s">
        <v>413</v>
      </c>
      <c r="C107" s="55" t="s">
        <v>421</v>
      </c>
      <c r="D107" s="55" t="s">
        <v>491</v>
      </c>
      <c r="E107" s="4"/>
      <c r="F107" s="55" t="s">
        <v>17</v>
      </c>
      <c r="G107" s="18" t="s">
        <v>432</v>
      </c>
      <c r="H107" s="21"/>
      <c r="I107" s="37">
        <v>2200000</v>
      </c>
      <c r="J107" s="56">
        <f t="shared" si="9"/>
        <v>1999999.9999999998</v>
      </c>
      <c r="K107" s="108"/>
      <c r="L107" s="68">
        <v>46042</v>
      </c>
      <c r="M107" s="26" t="s">
        <v>490</v>
      </c>
      <c r="N107" s="74" t="s">
        <v>19</v>
      </c>
      <c r="O107" s="80">
        <v>0.5</v>
      </c>
      <c r="P107" s="76">
        <f t="shared" si="10"/>
        <v>999999.99999999988</v>
      </c>
      <c r="Q107" s="71"/>
      <c r="R107" s="76">
        <f t="shared" si="11"/>
        <v>999999.99999999988</v>
      </c>
      <c r="S107" s="15" t="s">
        <v>489</v>
      </c>
    </row>
    <row r="108" spans="1:20" s="32" customFormat="1" ht="15" customHeight="1">
      <c r="A108" s="16">
        <v>46042</v>
      </c>
      <c r="B108" s="96" t="s">
        <v>49</v>
      </c>
      <c r="C108" s="55" t="s">
        <v>74</v>
      </c>
      <c r="D108" s="55" t="s">
        <v>423</v>
      </c>
      <c r="E108" s="4"/>
      <c r="F108" s="55" t="s">
        <v>17</v>
      </c>
      <c r="G108" s="18" t="s">
        <v>433</v>
      </c>
      <c r="H108" s="21"/>
      <c r="I108" s="5">
        <v>550000</v>
      </c>
      <c r="J108" s="56">
        <f t="shared" si="9"/>
        <v>499999.99999999994</v>
      </c>
      <c r="K108" s="108"/>
      <c r="L108" s="68">
        <v>46042</v>
      </c>
      <c r="M108" s="26" t="s">
        <v>461</v>
      </c>
      <c r="N108" s="74" t="s">
        <v>19</v>
      </c>
      <c r="O108" s="80">
        <v>0.5</v>
      </c>
      <c r="P108" s="76">
        <f t="shared" si="10"/>
        <v>249999.99999999997</v>
      </c>
      <c r="Q108" s="71"/>
      <c r="R108" s="76">
        <f t="shared" si="11"/>
        <v>249999.99999999997</v>
      </c>
      <c r="S108" s="15" t="s">
        <v>492</v>
      </c>
    </row>
    <row r="109" spans="1:20" s="32" customFormat="1" ht="15" customHeight="1">
      <c r="A109" s="16">
        <v>46043</v>
      </c>
      <c r="B109" s="96" t="s">
        <v>425</v>
      </c>
      <c r="C109" s="55" t="s">
        <v>606</v>
      </c>
      <c r="D109" s="55" t="s">
        <v>424</v>
      </c>
      <c r="E109" s="4" t="s">
        <v>807</v>
      </c>
      <c r="F109" s="55" t="s">
        <v>17</v>
      </c>
      <c r="G109" s="18" t="s">
        <v>89</v>
      </c>
      <c r="H109" s="21">
        <v>46044</v>
      </c>
      <c r="I109" s="5">
        <v>550000</v>
      </c>
      <c r="J109" s="56">
        <f t="shared" si="9"/>
        <v>499999.99999999994</v>
      </c>
      <c r="K109" s="108"/>
      <c r="L109" s="68">
        <v>46043</v>
      </c>
      <c r="M109" s="26" t="s">
        <v>808</v>
      </c>
      <c r="N109" s="18" t="s">
        <v>19</v>
      </c>
      <c r="O109" s="31">
        <v>0.5</v>
      </c>
      <c r="P109" s="25">
        <f t="shared" si="10"/>
        <v>249999.99999999997</v>
      </c>
      <c r="Q109" s="71"/>
      <c r="R109" s="25">
        <f t="shared" si="11"/>
        <v>249999.99999999997</v>
      </c>
      <c r="S109" s="18" t="s">
        <v>809</v>
      </c>
    </row>
    <row r="110" spans="1:20" ht="15" customHeight="1">
      <c r="A110" s="16">
        <v>46043</v>
      </c>
      <c r="B110" s="36" t="s">
        <v>29</v>
      </c>
      <c r="C110" t="s">
        <v>30</v>
      </c>
      <c r="D110" t="s">
        <v>426</v>
      </c>
      <c r="F110" t="s">
        <v>17</v>
      </c>
      <c r="G110" s="18" t="s">
        <v>434</v>
      </c>
      <c r="I110" s="5">
        <v>550000</v>
      </c>
      <c r="J110" s="5">
        <v>499999.99999999994</v>
      </c>
      <c r="K110" s="108">
        <v>46036</v>
      </c>
      <c r="L110" s="68">
        <v>46043</v>
      </c>
      <c r="M110" s="36" t="s">
        <v>21</v>
      </c>
      <c r="N110" s="74" t="s">
        <v>22</v>
      </c>
      <c r="O110" s="117">
        <v>0.5</v>
      </c>
      <c r="P110" s="116">
        <v>249999.99999999997</v>
      </c>
      <c r="Q110" s="71"/>
      <c r="R110" s="76">
        <v>249999.99999999997</v>
      </c>
      <c r="S110" t="s">
        <v>23</v>
      </c>
    </row>
    <row r="111" spans="1:20" ht="15" customHeight="1">
      <c r="A111" s="16">
        <v>46043</v>
      </c>
      <c r="B111" s="96" t="s">
        <v>38</v>
      </c>
      <c r="C111" t="s">
        <v>427</v>
      </c>
      <c r="D111" s="84" t="s">
        <v>428</v>
      </c>
      <c r="F111" s="84" t="s">
        <v>17</v>
      </c>
      <c r="G111" s="18" t="s">
        <v>435</v>
      </c>
      <c r="H111" s="108"/>
      <c r="I111" s="5">
        <v>110000</v>
      </c>
      <c r="J111" s="77">
        <v>99999.999999999985</v>
      </c>
      <c r="K111" s="108">
        <v>46036</v>
      </c>
      <c r="L111" s="68">
        <v>46043</v>
      </c>
      <c r="M111" s="82" t="s">
        <v>21</v>
      </c>
      <c r="N111" s="74" t="s">
        <v>22</v>
      </c>
      <c r="O111" s="118">
        <v>0.5</v>
      </c>
      <c r="P111" s="119">
        <v>49999.999999999993</v>
      </c>
      <c r="Q111" s="71"/>
      <c r="R111" s="76">
        <v>49999.999999999993</v>
      </c>
      <c r="S111" t="s">
        <v>23</v>
      </c>
    </row>
    <row r="112" spans="1:20" ht="15" customHeight="1">
      <c r="A112" s="16">
        <v>46043</v>
      </c>
      <c r="B112" s="36" t="s">
        <v>29</v>
      </c>
      <c r="C112" t="s">
        <v>429</v>
      </c>
      <c r="D112" t="s">
        <v>430</v>
      </c>
      <c r="F112" t="s">
        <v>17</v>
      </c>
      <c r="G112" s="18" t="s">
        <v>433</v>
      </c>
      <c r="I112" s="5">
        <v>550000</v>
      </c>
      <c r="J112" s="5">
        <v>499999.99999999994</v>
      </c>
      <c r="K112" s="108">
        <v>46036</v>
      </c>
      <c r="L112" s="68">
        <v>46043</v>
      </c>
      <c r="M112" s="36" t="s">
        <v>21</v>
      </c>
      <c r="N112" s="74" t="s">
        <v>22</v>
      </c>
      <c r="O112" s="117">
        <v>0.5</v>
      </c>
      <c r="P112" s="116">
        <v>249999.99999999997</v>
      </c>
      <c r="Q112" s="71"/>
      <c r="R112" s="76">
        <v>249999.99999999997</v>
      </c>
      <c r="S112" t="s">
        <v>23</v>
      </c>
    </row>
    <row r="113" spans="1:20" ht="15" customHeight="1">
      <c r="A113" s="16">
        <v>46043</v>
      </c>
      <c r="B113" s="36" t="s">
        <v>26</v>
      </c>
      <c r="C113" t="s">
        <v>27</v>
      </c>
      <c r="D113" t="s">
        <v>431</v>
      </c>
      <c r="F113" t="s">
        <v>17</v>
      </c>
      <c r="G113" s="18" t="s">
        <v>89</v>
      </c>
      <c r="I113" s="5">
        <v>1100000</v>
      </c>
      <c r="J113" s="5">
        <v>999999.99999999988</v>
      </c>
      <c r="K113" s="108">
        <v>46036</v>
      </c>
      <c r="L113" s="68">
        <v>46043</v>
      </c>
      <c r="M113" s="36" t="s">
        <v>21</v>
      </c>
      <c r="N113" s="74" t="s">
        <v>22</v>
      </c>
      <c r="O113" s="117">
        <v>0.5</v>
      </c>
      <c r="P113" s="116">
        <v>499999.99999999994</v>
      </c>
      <c r="Q113" s="71"/>
      <c r="R113" s="76">
        <v>499999.99999999994</v>
      </c>
      <c r="S113" t="s">
        <v>23</v>
      </c>
    </row>
    <row r="114" spans="1:20" ht="15" customHeight="1">
      <c r="A114" s="16">
        <v>46043</v>
      </c>
      <c r="B114" s="17" t="s">
        <v>38</v>
      </c>
      <c r="C114" s="22" t="s">
        <v>57</v>
      </c>
      <c r="D114" s="22" t="s">
        <v>136</v>
      </c>
      <c r="F114" s="18" t="s">
        <v>17</v>
      </c>
      <c r="G114" s="18" t="s">
        <v>77</v>
      </c>
      <c r="I114" s="25">
        <v>2640000</v>
      </c>
      <c r="J114" s="25">
        <f>I114/1.1</f>
        <v>2400000</v>
      </c>
      <c r="L114" s="68">
        <v>46043</v>
      </c>
      <c r="M114" s="71" t="s">
        <v>436</v>
      </c>
      <c r="N114" s="4" t="s">
        <v>19</v>
      </c>
      <c r="O114" s="31">
        <v>0.5</v>
      </c>
      <c r="P114" s="25">
        <f>J114*O114</f>
        <v>1200000</v>
      </c>
      <c r="Q114" s="71"/>
      <c r="R114" s="25">
        <f>J114-P114</f>
        <v>1200000</v>
      </c>
      <c r="S114" s="33" t="s">
        <v>437</v>
      </c>
    </row>
    <row r="115" spans="1:20" s="32" customFormat="1" ht="15" customHeight="1">
      <c r="A115" s="16">
        <v>46043</v>
      </c>
      <c r="B115" s="96" t="s">
        <v>49</v>
      </c>
      <c r="C115" s="55" t="s">
        <v>79</v>
      </c>
      <c r="D115" s="55" t="s">
        <v>442</v>
      </c>
      <c r="E115" s="4"/>
      <c r="F115" s="55" t="s">
        <v>17</v>
      </c>
      <c r="G115" s="18" t="s">
        <v>89</v>
      </c>
      <c r="H115" s="21"/>
      <c r="I115" s="5">
        <v>550000</v>
      </c>
      <c r="J115" s="56">
        <f>I115/1.1</f>
        <v>499999.99999999994</v>
      </c>
      <c r="K115" s="108"/>
      <c r="L115" s="68">
        <v>46043</v>
      </c>
      <c r="M115" s="26" t="s">
        <v>494</v>
      </c>
      <c r="N115" s="74" t="s">
        <v>19</v>
      </c>
      <c r="O115" s="80">
        <v>0.5</v>
      </c>
      <c r="P115" s="76">
        <f>J115*O115</f>
        <v>249999.99999999997</v>
      </c>
      <c r="Q115" s="71"/>
      <c r="R115" s="76">
        <f>J115-P115</f>
        <v>249999.99999999997</v>
      </c>
      <c r="S115" s="15" t="s">
        <v>493</v>
      </c>
    </row>
    <row r="116" spans="1:20" ht="15" customHeight="1">
      <c r="A116" s="16">
        <v>46043</v>
      </c>
      <c r="B116" s="17" t="s">
        <v>443</v>
      </c>
      <c r="C116" s="22" t="s">
        <v>444</v>
      </c>
      <c r="D116" s="45" t="s">
        <v>445</v>
      </c>
      <c r="F116" s="18" t="s">
        <v>17</v>
      </c>
      <c r="G116" s="18" t="s">
        <v>77</v>
      </c>
      <c r="I116" s="25">
        <v>2200000</v>
      </c>
      <c r="J116" s="25">
        <f>I116/1.1</f>
        <v>1999999.9999999998</v>
      </c>
      <c r="L116" s="68">
        <v>46043</v>
      </c>
      <c r="M116" s="71" t="s">
        <v>446</v>
      </c>
      <c r="N116" s="4" t="s">
        <v>19</v>
      </c>
      <c r="O116" s="31">
        <v>0.5</v>
      </c>
      <c r="P116" s="25">
        <f>J116*O116</f>
        <v>999999.99999999988</v>
      </c>
      <c r="Q116" s="71"/>
      <c r="R116" s="25">
        <f>J116-P116</f>
        <v>999999.99999999988</v>
      </c>
      <c r="S116" s="33" t="s">
        <v>447</v>
      </c>
    </row>
    <row r="117" spans="1:20" s="32" customFormat="1" ht="15" customHeight="1">
      <c r="A117" s="16">
        <v>46044</v>
      </c>
      <c r="B117" s="96" t="s">
        <v>50</v>
      </c>
      <c r="C117" s="55" t="s">
        <v>78</v>
      </c>
      <c r="D117" s="18" t="s">
        <v>810</v>
      </c>
      <c r="E117" s="4" t="s">
        <v>811</v>
      </c>
      <c r="F117" s="55" t="s">
        <v>17</v>
      </c>
      <c r="G117" s="18" t="s">
        <v>89</v>
      </c>
      <c r="H117" s="21"/>
      <c r="I117" s="5">
        <v>550000</v>
      </c>
      <c r="J117" s="56">
        <f t="shared" ref="J117" si="12">I117/1.1</f>
        <v>499999.99999999994</v>
      </c>
      <c r="K117" s="108"/>
      <c r="L117" s="68">
        <v>46043</v>
      </c>
      <c r="M117" s="26" t="s">
        <v>812</v>
      </c>
      <c r="N117" s="18" t="s">
        <v>19</v>
      </c>
      <c r="O117" s="31">
        <v>0.5</v>
      </c>
      <c r="P117" s="25">
        <f t="shared" ref="P117" si="13">J117*O117</f>
        <v>249999.99999999997</v>
      </c>
      <c r="Q117" s="71"/>
      <c r="R117" s="25">
        <f t="shared" ref="R117" si="14">J117-P117</f>
        <v>249999.99999999997</v>
      </c>
      <c r="S117" s="18" t="s">
        <v>813</v>
      </c>
    </row>
    <row r="118" spans="1:20" s="35" customFormat="1" ht="15" customHeight="1">
      <c r="A118" s="16">
        <v>46044</v>
      </c>
      <c r="B118" s="96" t="s">
        <v>363</v>
      </c>
      <c r="C118" s="41" t="s">
        <v>364</v>
      </c>
      <c r="D118" s="46" t="s">
        <v>365</v>
      </c>
      <c r="E118" s="41"/>
      <c r="F118" s="41" t="s">
        <v>17</v>
      </c>
      <c r="G118" s="46" t="s">
        <v>366</v>
      </c>
      <c r="H118" s="21"/>
      <c r="I118" s="37">
        <v>55000</v>
      </c>
      <c r="J118" s="37">
        <f>I118/1.1</f>
        <v>49999.999999999993</v>
      </c>
      <c r="K118" s="108">
        <v>46037</v>
      </c>
      <c r="L118" s="68">
        <v>46044</v>
      </c>
      <c r="M118" s="85" t="s">
        <v>21</v>
      </c>
      <c r="N118" s="110" t="s">
        <v>22</v>
      </c>
      <c r="O118" s="111">
        <v>0.5</v>
      </c>
      <c r="P118" s="112">
        <f>J118*O118</f>
        <v>24999.999999999996</v>
      </c>
      <c r="Q118" s="71"/>
      <c r="R118" s="112">
        <f>J118-P118</f>
        <v>24999.999999999996</v>
      </c>
      <c r="S118" s="66" t="s">
        <v>112</v>
      </c>
    </row>
    <row r="119" spans="1:20" s="32" customFormat="1" ht="15" customHeight="1">
      <c r="A119" s="16">
        <v>46044</v>
      </c>
      <c r="B119" s="96" t="s">
        <v>349</v>
      </c>
      <c r="C119" s="4" t="s">
        <v>139</v>
      </c>
      <c r="D119" s="55" t="s">
        <v>350</v>
      </c>
      <c r="E119" s="4" t="s">
        <v>380</v>
      </c>
      <c r="F119" s="55" t="s">
        <v>17</v>
      </c>
      <c r="G119" s="18" t="s">
        <v>18</v>
      </c>
      <c r="H119" s="21">
        <v>46037</v>
      </c>
      <c r="I119" s="5">
        <v>550000</v>
      </c>
      <c r="J119" s="56">
        <f>I119/1.1</f>
        <v>499999.99999999994</v>
      </c>
      <c r="K119" s="108">
        <v>46037</v>
      </c>
      <c r="L119" s="68">
        <v>46044</v>
      </c>
      <c r="M119" s="26" t="s">
        <v>21</v>
      </c>
      <c r="N119" s="55" t="s">
        <v>22</v>
      </c>
      <c r="O119" s="57">
        <v>0.5</v>
      </c>
      <c r="P119" s="56">
        <f>J119*O119</f>
        <v>249999.99999999997</v>
      </c>
      <c r="Q119" s="71"/>
      <c r="R119" s="56">
        <f>J119-P119</f>
        <v>249999.99999999997</v>
      </c>
      <c r="S119" s="22" t="s">
        <v>112</v>
      </c>
    </row>
    <row r="120" spans="1:20" s="35" customFormat="1" ht="15" customHeight="1">
      <c r="A120" s="16">
        <v>46044</v>
      </c>
      <c r="B120" s="96" t="s">
        <v>50</v>
      </c>
      <c r="C120" s="41" t="s">
        <v>347</v>
      </c>
      <c r="D120" s="94" t="s">
        <v>348</v>
      </c>
      <c r="E120" s="41"/>
      <c r="F120" s="93" t="s">
        <v>17</v>
      </c>
      <c r="G120" s="46" t="s">
        <v>24</v>
      </c>
      <c r="H120" s="42"/>
      <c r="I120" s="37">
        <v>110000</v>
      </c>
      <c r="J120" s="95">
        <f>I120/1.1</f>
        <v>99999.999999999985</v>
      </c>
      <c r="K120" s="108">
        <v>46037</v>
      </c>
      <c r="L120" s="68">
        <v>46044</v>
      </c>
      <c r="M120" s="85" t="s">
        <v>21</v>
      </c>
      <c r="N120" s="110" t="s">
        <v>22</v>
      </c>
      <c r="O120" s="111">
        <v>0.5</v>
      </c>
      <c r="P120" s="112">
        <f>J120*O120</f>
        <v>49999.999999999993</v>
      </c>
      <c r="Q120" s="71"/>
      <c r="R120" s="112">
        <f>J120-P120</f>
        <v>49999.999999999993</v>
      </c>
      <c r="S120" s="66" t="s">
        <v>112</v>
      </c>
    </row>
    <row r="121" spans="1:20" s="32" customFormat="1" ht="15" customHeight="1">
      <c r="A121" s="16">
        <v>46044</v>
      </c>
      <c r="B121" s="96" t="s">
        <v>50</v>
      </c>
      <c r="C121" s="55" t="s">
        <v>452</v>
      </c>
      <c r="D121" s="18" t="s">
        <v>814</v>
      </c>
      <c r="E121" s="4" t="s">
        <v>815</v>
      </c>
      <c r="F121" s="55" t="s">
        <v>17</v>
      </c>
      <c r="G121" s="18" t="s">
        <v>89</v>
      </c>
      <c r="H121" s="21">
        <v>46044</v>
      </c>
      <c r="I121" s="5">
        <v>2200000</v>
      </c>
      <c r="J121" s="56">
        <f t="shared" ref="J121:J122" si="15">I121/1.1</f>
        <v>1999999.9999999998</v>
      </c>
      <c r="K121" s="108"/>
      <c r="L121" s="68">
        <v>46044</v>
      </c>
      <c r="M121" s="26" t="s">
        <v>812</v>
      </c>
      <c r="N121" s="18" t="s">
        <v>19</v>
      </c>
      <c r="O121" s="31">
        <v>0.5</v>
      </c>
      <c r="P121" s="25">
        <f t="shared" ref="P121:P122" si="16">J121*O121</f>
        <v>999999.99999999988</v>
      </c>
      <c r="Q121" s="71"/>
      <c r="R121" s="25">
        <f t="shared" ref="R121:R122" si="17">J121-P121</f>
        <v>999999.99999999988</v>
      </c>
      <c r="S121" s="18" t="s">
        <v>816</v>
      </c>
    </row>
    <row r="122" spans="1:20" ht="15" customHeight="1">
      <c r="A122" s="16">
        <v>46044</v>
      </c>
      <c r="B122" s="96" t="s">
        <v>50</v>
      </c>
      <c r="C122" s="4" t="s">
        <v>453</v>
      </c>
      <c r="D122" s="18" t="s">
        <v>454</v>
      </c>
      <c r="E122" s="4"/>
      <c r="F122" s="4" t="s">
        <v>17</v>
      </c>
      <c r="G122" s="18" t="s">
        <v>24</v>
      </c>
      <c r="H122" s="21"/>
      <c r="I122" s="5">
        <v>110000</v>
      </c>
      <c r="J122" s="5">
        <f t="shared" si="15"/>
        <v>99999.999999999985</v>
      </c>
      <c r="L122" s="68">
        <v>46044</v>
      </c>
      <c r="M122" s="26" t="s">
        <v>43</v>
      </c>
      <c r="N122" s="18" t="s">
        <v>19</v>
      </c>
      <c r="O122" s="31">
        <v>0.5</v>
      </c>
      <c r="P122" s="25">
        <f t="shared" si="16"/>
        <v>49999.999999999993</v>
      </c>
      <c r="Q122" s="71"/>
      <c r="R122" s="25">
        <f t="shared" si="17"/>
        <v>49999.999999999993</v>
      </c>
      <c r="S122" s="18" t="s">
        <v>817</v>
      </c>
      <c r="T122" s="32"/>
    </row>
    <row r="123" spans="1:20" ht="15" customHeight="1">
      <c r="A123" s="16">
        <v>46044</v>
      </c>
      <c r="B123" s="17" t="s">
        <v>49</v>
      </c>
      <c r="C123" s="22" t="s">
        <v>79</v>
      </c>
      <c r="D123" s="45" t="s">
        <v>455</v>
      </c>
      <c r="F123" s="18" t="s">
        <v>17</v>
      </c>
      <c r="G123" s="18" t="s">
        <v>77</v>
      </c>
      <c r="I123" s="5">
        <v>2431000</v>
      </c>
      <c r="J123" s="25">
        <f>I123/1.1</f>
        <v>2210000</v>
      </c>
      <c r="L123" s="68">
        <v>46044</v>
      </c>
      <c r="M123" s="26" t="s">
        <v>488</v>
      </c>
      <c r="N123" s="4" t="s">
        <v>19</v>
      </c>
      <c r="O123" s="31">
        <v>0.5</v>
      </c>
      <c r="P123" s="25">
        <f>J123*O123</f>
        <v>1105000</v>
      </c>
      <c r="Q123" s="71"/>
      <c r="R123" s="25">
        <f>J123-P123</f>
        <v>1105000</v>
      </c>
      <c r="S123" s="15" t="s">
        <v>495</v>
      </c>
    </row>
    <row r="124" spans="1:20" s="32" customFormat="1" ht="15" customHeight="1">
      <c r="A124" s="16">
        <v>46044</v>
      </c>
      <c r="B124" s="123" t="s">
        <v>500</v>
      </c>
      <c r="C124" s="55" t="s">
        <v>501</v>
      </c>
      <c r="D124" s="55" t="s">
        <v>456</v>
      </c>
      <c r="E124" s="4" t="s">
        <v>1134</v>
      </c>
      <c r="F124" s="55" t="s">
        <v>17</v>
      </c>
      <c r="G124" s="18" t="s">
        <v>89</v>
      </c>
      <c r="H124" s="21">
        <v>46044</v>
      </c>
      <c r="I124" s="5">
        <v>550000</v>
      </c>
      <c r="J124" s="56">
        <f t="shared" ref="J124:J139" si="18">I124/1.1</f>
        <v>499999.99999999994</v>
      </c>
      <c r="K124" s="115"/>
      <c r="L124" s="68">
        <v>46044</v>
      </c>
      <c r="M124" s="26" t="s">
        <v>43</v>
      </c>
      <c r="N124" s="55" t="s">
        <v>19</v>
      </c>
      <c r="O124" s="57">
        <v>0.5</v>
      </c>
      <c r="P124" s="56">
        <f t="shared" ref="P124:P139" si="19">J124*O124</f>
        <v>249999.99999999997</v>
      </c>
      <c r="Q124" s="71"/>
      <c r="R124" s="56">
        <f t="shared" ref="R124:R139" si="20">J124-P124</f>
        <v>249999.99999999997</v>
      </c>
      <c r="S124" s="18" t="s">
        <v>457</v>
      </c>
    </row>
    <row r="125" spans="1:20" s="32" customFormat="1" ht="15" customHeight="1">
      <c r="A125" s="16">
        <v>46044</v>
      </c>
      <c r="B125" s="44" t="s">
        <v>50</v>
      </c>
      <c r="C125" s="45" t="s">
        <v>51</v>
      </c>
      <c r="D125" s="45" t="s">
        <v>329</v>
      </c>
      <c r="F125" s="45" t="s">
        <v>59</v>
      </c>
      <c r="G125" s="18" t="s">
        <v>77</v>
      </c>
      <c r="I125" s="25">
        <v>2200000</v>
      </c>
      <c r="J125" s="56">
        <f t="shared" si="18"/>
        <v>1999999.9999999998</v>
      </c>
      <c r="K125" s="122"/>
      <c r="L125" s="68">
        <v>46044</v>
      </c>
      <c r="M125" s="26" t="s">
        <v>43</v>
      </c>
      <c r="N125" s="18" t="s">
        <v>19</v>
      </c>
      <c r="O125" s="31">
        <v>0.5</v>
      </c>
      <c r="P125" s="25">
        <f t="shared" si="19"/>
        <v>999999.99999999988</v>
      </c>
      <c r="Q125" s="71"/>
      <c r="R125" s="25">
        <f t="shared" si="20"/>
        <v>999999.99999999988</v>
      </c>
      <c r="S125" s="18" t="s">
        <v>818</v>
      </c>
    </row>
    <row r="126" spans="1:20" s="32" customFormat="1" ht="15" customHeight="1">
      <c r="A126" s="16">
        <v>46045</v>
      </c>
      <c r="B126" s="44" t="s">
        <v>504</v>
      </c>
      <c r="C126" s="45" t="s">
        <v>73</v>
      </c>
      <c r="D126" s="45" t="s">
        <v>458</v>
      </c>
      <c r="E126" s="4" t="s">
        <v>819</v>
      </c>
      <c r="F126" s="45" t="s">
        <v>505</v>
      </c>
      <c r="G126" s="18" t="s">
        <v>89</v>
      </c>
      <c r="H126" s="21">
        <v>46046</v>
      </c>
      <c r="I126" s="25">
        <v>440000</v>
      </c>
      <c r="J126" s="56">
        <f t="shared" si="18"/>
        <v>399999.99999999994</v>
      </c>
      <c r="K126" s="122"/>
      <c r="L126" s="68">
        <v>46045</v>
      </c>
      <c r="M126" s="26" t="s">
        <v>42</v>
      </c>
      <c r="N126" s="18" t="s">
        <v>19</v>
      </c>
      <c r="O126" s="31">
        <v>0.5</v>
      </c>
      <c r="P126" s="25">
        <f t="shared" si="19"/>
        <v>199999.99999999997</v>
      </c>
      <c r="Q126" s="71"/>
      <c r="R126" s="25">
        <f t="shared" si="20"/>
        <v>199999.99999999997</v>
      </c>
      <c r="S126" s="18" t="s">
        <v>94</v>
      </c>
    </row>
    <row r="127" spans="1:20" s="32" customFormat="1" ht="15" customHeight="1">
      <c r="A127" s="16">
        <v>46045</v>
      </c>
      <c r="B127" s="96" t="s">
        <v>38</v>
      </c>
      <c r="C127" s="45" t="s">
        <v>68</v>
      </c>
      <c r="D127" s="45" t="s">
        <v>570</v>
      </c>
      <c r="F127" s="45" t="s">
        <v>59</v>
      </c>
      <c r="G127" s="18" t="s">
        <v>89</v>
      </c>
      <c r="I127" s="25">
        <v>2200000</v>
      </c>
      <c r="J127" s="56">
        <f>I127/1.1</f>
        <v>1999999.9999999998</v>
      </c>
      <c r="K127" s="122"/>
      <c r="L127" s="68">
        <v>46045</v>
      </c>
      <c r="M127" s="26" t="s">
        <v>42</v>
      </c>
      <c r="N127" s="55" t="s">
        <v>97</v>
      </c>
      <c r="O127" s="57">
        <v>0.5</v>
      </c>
      <c r="P127" s="56">
        <f>J127*O127</f>
        <v>999999.99999999988</v>
      </c>
      <c r="Q127" s="71"/>
      <c r="R127" s="56">
        <f>J127-P127</f>
        <v>999999.99999999988</v>
      </c>
      <c r="S127" s="18" t="s">
        <v>538</v>
      </c>
    </row>
    <row r="128" spans="1:20" s="32" customFormat="1" ht="15" customHeight="1">
      <c r="A128" s="16">
        <v>46045</v>
      </c>
      <c r="B128" s="44" t="s">
        <v>49</v>
      </c>
      <c r="C128" s="45" t="s">
        <v>37</v>
      </c>
      <c r="D128" s="45" t="s">
        <v>146</v>
      </c>
      <c r="F128" s="45" t="s">
        <v>59</v>
      </c>
      <c r="G128" s="45" t="s">
        <v>98</v>
      </c>
      <c r="I128" s="25">
        <v>110000</v>
      </c>
      <c r="J128" s="56">
        <f t="shared" si="18"/>
        <v>99999.999999999985</v>
      </c>
      <c r="K128" s="122"/>
      <c r="L128" s="68">
        <v>46045</v>
      </c>
      <c r="M128" s="26" t="s">
        <v>43</v>
      </c>
      <c r="N128" s="55" t="s">
        <v>97</v>
      </c>
      <c r="O128" s="57">
        <v>0.5</v>
      </c>
      <c r="P128" s="56">
        <f t="shared" si="19"/>
        <v>49999.999999999993</v>
      </c>
      <c r="Q128" s="71"/>
      <c r="R128" s="56">
        <f t="shared" si="20"/>
        <v>49999.999999999993</v>
      </c>
      <c r="S128" s="15" t="s">
        <v>876</v>
      </c>
    </row>
    <row r="129" spans="1:20" s="32" customFormat="1" ht="15" customHeight="1">
      <c r="A129" s="16">
        <v>46045</v>
      </c>
      <c r="B129" s="85" t="s">
        <v>47</v>
      </c>
      <c r="C129" s="46" t="s">
        <v>61</v>
      </c>
      <c r="D129" s="46" t="s">
        <v>506</v>
      </c>
      <c r="E129" s="46"/>
      <c r="F129" s="46" t="s">
        <v>17</v>
      </c>
      <c r="G129" s="46" t="s">
        <v>83</v>
      </c>
      <c r="H129" s="98"/>
      <c r="I129" s="48">
        <v>220000</v>
      </c>
      <c r="J129" s="48">
        <f>I129/1.1</f>
        <v>199999.99999999997</v>
      </c>
      <c r="K129" s="124">
        <v>46038</v>
      </c>
      <c r="L129" s="68">
        <v>46045</v>
      </c>
      <c r="M129" s="85" t="s">
        <v>21</v>
      </c>
      <c r="N129" s="110" t="s">
        <v>22</v>
      </c>
      <c r="O129" s="111">
        <v>0.5</v>
      </c>
      <c r="P129" s="112">
        <f>J129*O129</f>
        <v>99999.999999999985</v>
      </c>
      <c r="Q129" s="71"/>
      <c r="R129" s="112">
        <f>J129-P129</f>
        <v>99999.999999999985</v>
      </c>
      <c r="S129" s="47" t="s">
        <v>112</v>
      </c>
      <c r="T129" s="97"/>
    </row>
    <row r="130" spans="1:20" s="32" customFormat="1" ht="15" customHeight="1">
      <c r="A130" s="16">
        <v>46045</v>
      </c>
      <c r="B130" s="85" t="s">
        <v>52</v>
      </c>
      <c r="C130" s="18" t="s">
        <v>158</v>
      </c>
      <c r="D130" s="55" t="s">
        <v>507</v>
      </c>
      <c r="E130" s="18" t="s">
        <v>508</v>
      </c>
      <c r="F130" s="55" t="s">
        <v>17</v>
      </c>
      <c r="G130" s="18" t="s">
        <v>18</v>
      </c>
      <c r="H130" s="24">
        <v>46038</v>
      </c>
      <c r="I130" s="25">
        <v>550000</v>
      </c>
      <c r="J130" s="56">
        <f>I130/1.1</f>
        <v>499999.99999999994</v>
      </c>
      <c r="K130" s="124">
        <v>46038</v>
      </c>
      <c r="L130" s="68">
        <v>46045</v>
      </c>
      <c r="M130" s="26" t="s">
        <v>21</v>
      </c>
      <c r="N130" s="55" t="s">
        <v>22</v>
      </c>
      <c r="O130" s="57">
        <v>0.5</v>
      </c>
      <c r="P130" s="56">
        <f>J130*O130</f>
        <v>249999.99999999997</v>
      </c>
      <c r="Q130" s="71"/>
      <c r="R130" s="56">
        <f>J130-P130</f>
        <v>249999.99999999997</v>
      </c>
      <c r="S130" s="45" t="s">
        <v>112</v>
      </c>
    </row>
    <row r="131" spans="1:20" s="32" customFormat="1" ht="15" customHeight="1">
      <c r="A131" s="16">
        <v>46045</v>
      </c>
      <c r="B131" s="85" t="s">
        <v>47</v>
      </c>
      <c r="C131" s="46" t="s">
        <v>509</v>
      </c>
      <c r="D131" s="46" t="s">
        <v>510</v>
      </c>
      <c r="E131" s="46"/>
      <c r="F131" s="46" t="s">
        <v>17</v>
      </c>
      <c r="G131" s="46" t="s">
        <v>24</v>
      </c>
      <c r="H131" s="98"/>
      <c r="I131" s="48">
        <v>110000</v>
      </c>
      <c r="J131" s="48">
        <f>I131/1.1</f>
        <v>99999.999999999985</v>
      </c>
      <c r="K131" s="124">
        <v>46039</v>
      </c>
      <c r="L131" s="68">
        <v>46045</v>
      </c>
      <c r="M131" s="85" t="s">
        <v>21</v>
      </c>
      <c r="N131" s="110" t="s">
        <v>22</v>
      </c>
      <c r="O131" s="111">
        <v>0.5</v>
      </c>
      <c r="P131" s="112">
        <f>J131*O131</f>
        <v>49999.999999999993</v>
      </c>
      <c r="Q131" s="71"/>
      <c r="R131" s="112">
        <f>J131-P131</f>
        <v>49999.999999999993</v>
      </c>
      <c r="S131" s="47" t="s">
        <v>112</v>
      </c>
      <c r="T131" s="97"/>
    </row>
    <row r="132" spans="1:20" s="32" customFormat="1" ht="15" customHeight="1">
      <c r="A132" s="16">
        <v>46045</v>
      </c>
      <c r="B132" s="17" t="s">
        <v>47</v>
      </c>
      <c r="C132" s="45" t="s">
        <v>145</v>
      </c>
      <c r="D132" s="45" t="s">
        <v>511</v>
      </c>
      <c r="E132" s="18" t="s">
        <v>558</v>
      </c>
      <c r="F132" s="45" t="s">
        <v>59</v>
      </c>
      <c r="G132" s="18" t="s">
        <v>89</v>
      </c>
      <c r="H132" s="21">
        <v>46045</v>
      </c>
      <c r="I132" s="25">
        <v>550000</v>
      </c>
      <c r="J132" s="56">
        <f t="shared" si="18"/>
        <v>499999.99999999994</v>
      </c>
      <c r="K132" s="122"/>
      <c r="L132" s="68">
        <v>46045</v>
      </c>
      <c r="M132" s="26" t="s">
        <v>586</v>
      </c>
      <c r="N132" s="55" t="s">
        <v>512</v>
      </c>
      <c r="O132" s="57">
        <v>0.5</v>
      </c>
      <c r="P132" s="56">
        <f t="shared" si="19"/>
        <v>249999.99999999997</v>
      </c>
      <c r="Q132" s="71"/>
      <c r="R132" s="56">
        <f t="shared" si="20"/>
        <v>249999.99999999997</v>
      </c>
      <c r="S132" s="18" t="s">
        <v>587</v>
      </c>
    </row>
    <row r="133" spans="1:20" ht="15" customHeight="1">
      <c r="A133" s="16">
        <v>46045</v>
      </c>
      <c r="B133" s="43" t="s">
        <v>50</v>
      </c>
      <c r="C133" s="22" t="s">
        <v>88</v>
      </c>
      <c r="D133" s="22" t="s">
        <v>496</v>
      </c>
      <c r="F133" s="22" t="s">
        <v>59</v>
      </c>
      <c r="G133" s="22" t="s">
        <v>77</v>
      </c>
      <c r="I133" s="5">
        <v>2700000</v>
      </c>
      <c r="J133" s="56">
        <f t="shared" si="18"/>
        <v>2454545.4545454541</v>
      </c>
      <c r="K133" s="122"/>
      <c r="L133" s="68">
        <v>46045</v>
      </c>
      <c r="M133" s="26" t="s">
        <v>820</v>
      </c>
      <c r="N133" s="18" t="s">
        <v>19</v>
      </c>
      <c r="O133" s="31">
        <v>0.5</v>
      </c>
      <c r="P133" s="25">
        <f t="shared" si="19"/>
        <v>1227272.7272727271</v>
      </c>
      <c r="Q133" s="71"/>
      <c r="R133" s="25">
        <f t="shared" si="20"/>
        <v>1227272.7272727271</v>
      </c>
      <c r="S133" s="18" t="s">
        <v>821</v>
      </c>
    </row>
    <row r="134" spans="1:20" ht="15" customHeight="1">
      <c r="A134" s="16">
        <v>46045</v>
      </c>
      <c r="B134" s="96" t="s">
        <v>38</v>
      </c>
      <c r="C134" s="22" t="s">
        <v>513</v>
      </c>
      <c r="D134" s="22" t="s">
        <v>514</v>
      </c>
      <c r="F134" s="22" t="s">
        <v>59</v>
      </c>
      <c r="G134" s="22" t="s">
        <v>71</v>
      </c>
      <c r="I134" s="5">
        <v>412500</v>
      </c>
      <c r="J134" s="56">
        <f t="shared" si="18"/>
        <v>374999.99999999994</v>
      </c>
      <c r="K134" s="122"/>
      <c r="L134" s="68">
        <v>46045</v>
      </c>
      <c r="M134" s="26" t="s">
        <v>62</v>
      </c>
      <c r="N134" s="55" t="s">
        <v>97</v>
      </c>
      <c r="O134" s="57">
        <v>0.5</v>
      </c>
      <c r="P134" s="56">
        <f t="shared" si="19"/>
        <v>187499.99999999997</v>
      </c>
      <c r="Q134" s="71"/>
      <c r="R134" s="56">
        <f t="shared" si="20"/>
        <v>187499.99999999997</v>
      </c>
      <c r="S134" s="18" t="s">
        <v>593</v>
      </c>
    </row>
    <row r="135" spans="1:20" ht="15" customHeight="1">
      <c r="A135" s="16">
        <v>46045</v>
      </c>
      <c r="B135" s="43" t="s">
        <v>49</v>
      </c>
      <c r="C135" s="22" t="s">
        <v>96</v>
      </c>
      <c r="D135" s="22" t="s">
        <v>497</v>
      </c>
      <c r="F135" s="22" t="s">
        <v>59</v>
      </c>
      <c r="G135" s="22" t="s">
        <v>125</v>
      </c>
      <c r="I135" s="5">
        <v>240000</v>
      </c>
      <c r="J135" s="56">
        <f t="shared" si="18"/>
        <v>218181.81818181818</v>
      </c>
      <c r="K135" s="122"/>
      <c r="L135" s="68">
        <v>46045</v>
      </c>
      <c r="M135" s="26" t="s">
        <v>43</v>
      </c>
      <c r="N135" s="55" t="s">
        <v>97</v>
      </c>
      <c r="O135" s="57">
        <v>0.5</v>
      </c>
      <c r="P135" s="56">
        <f t="shared" si="19"/>
        <v>109090.90909090909</v>
      </c>
      <c r="Q135" s="71"/>
      <c r="R135" s="56">
        <f t="shared" si="20"/>
        <v>109090.90909090909</v>
      </c>
      <c r="S135" s="33" t="s">
        <v>877</v>
      </c>
    </row>
    <row r="136" spans="1:20" ht="15" customHeight="1">
      <c r="A136" s="16">
        <v>46045</v>
      </c>
      <c r="B136" s="17" t="s">
        <v>47</v>
      </c>
      <c r="C136" s="22" t="s">
        <v>109</v>
      </c>
      <c r="D136" s="45" t="s">
        <v>498</v>
      </c>
      <c r="E136" s="18" t="s">
        <v>557</v>
      </c>
      <c r="F136" s="22" t="s">
        <v>59</v>
      </c>
      <c r="G136" s="18" t="s">
        <v>89</v>
      </c>
      <c r="H136" s="21">
        <v>46045</v>
      </c>
      <c r="I136" s="5">
        <v>550000</v>
      </c>
      <c r="J136" s="56">
        <f t="shared" si="18"/>
        <v>499999.99999999994</v>
      </c>
      <c r="K136" s="122"/>
      <c r="L136" s="68">
        <v>46045</v>
      </c>
      <c r="M136" s="26" t="s">
        <v>43</v>
      </c>
      <c r="N136" s="55" t="s">
        <v>97</v>
      </c>
      <c r="O136" s="57">
        <v>0.5</v>
      </c>
      <c r="P136" s="56">
        <f t="shared" si="19"/>
        <v>249999.99999999997</v>
      </c>
      <c r="Q136" s="71"/>
      <c r="R136" s="56">
        <f t="shared" si="20"/>
        <v>249999.99999999997</v>
      </c>
      <c r="S136" s="18" t="s">
        <v>525</v>
      </c>
    </row>
    <row r="137" spans="1:20" ht="15" customHeight="1">
      <c r="A137" s="16">
        <v>46045</v>
      </c>
      <c r="B137" s="43" t="s">
        <v>50</v>
      </c>
      <c r="C137" s="22" t="s">
        <v>64</v>
      </c>
      <c r="D137" s="64" t="s">
        <v>822</v>
      </c>
      <c r="F137" s="22" t="s">
        <v>59</v>
      </c>
      <c r="G137" s="18" t="s">
        <v>77</v>
      </c>
      <c r="I137" s="5">
        <v>7946720</v>
      </c>
      <c r="J137" s="56">
        <f t="shared" si="18"/>
        <v>7224290.9090909082</v>
      </c>
      <c r="K137" s="122"/>
      <c r="L137" s="68">
        <v>46045</v>
      </c>
      <c r="M137" s="26" t="s">
        <v>42</v>
      </c>
      <c r="N137" s="18" t="s">
        <v>19</v>
      </c>
      <c r="O137" s="31">
        <v>0.5</v>
      </c>
      <c r="P137" s="25">
        <f t="shared" si="19"/>
        <v>3612145.4545454541</v>
      </c>
      <c r="Q137" s="71"/>
      <c r="R137" s="25">
        <f t="shared" si="20"/>
        <v>3612145.4545454541</v>
      </c>
      <c r="S137" s="18" t="s">
        <v>94</v>
      </c>
    </row>
    <row r="138" spans="1:20" ht="15" customHeight="1">
      <c r="A138" s="19">
        <v>46045</v>
      </c>
      <c r="B138" s="59" t="s">
        <v>49</v>
      </c>
      <c r="C138" s="30" t="s">
        <v>116</v>
      </c>
      <c r="D138" s="30" t="s">
        <v>499</v>
      </c>
      <c r="E138" s="23"/>
      <c r="F138" s="30" t="s">
        <v>59</v>
      </c>
      <c r="G138" s="20" t="s">
        <v>89</v>
      </c>
      <c r="H138" s="23"/>
      <c r="I138" s="10">
        <v>500000</v>
      </c>
      <c r="J138" s="87">
        <f t="shared" si="18"/>
        <v>454545.45454545453</v>
      </c>
      <c r="K138" s="128"/>
      <c r="L138" s="58">
        <v>46045</v>
      </c>
      <c r="M138" s="40" t="s">
        <v>1120</v>
      </c>
      <c r="N138" s="86" t="s">
        <v>97</v>
      </c>
      <c r="O138" s="88">
        <v>0.5</v>
      </c>
      <c r="P138" s="87">
        <f t="shared" si="19"/>
        <v>227272.72727272726</v>
      </c>
      <c r="Q138" s="72"/>
      <c r="R138" s="87">
        <f t="shared" si="20"/>
        <v>227272.72727272726</v>
      </c>
      <c r="S138" s="13"/>
    </row>
    <row r="139" spans="1:20" ht="15" customHeight="1">
      <c r="A139" s="16">
        <v>46045</v>
      </c>
      <c r="B139" s="62" t="s">
        <v>20</v>
      </c>
      <c r="C139" s="4" t="s">
        <v>28</v>
      </c>
      <c r="D139" s="4" t="s">
        <v>31</v>
      </c>
      <c r="E139" s="4"/>
      <c r="F139" s="4" t="s">
        <v>17</v>
      </c>
      <c r="G139" s="4" t="s">
        <v>32</v>
      </c>
      <c r="H139" s="21"/>
      <c r="I139" s="61">
        <v>379438</v>
      </c>
      <c r="J139" s="61">
        <f t="shared" si="18"/>
        <v>344943.63636363635</v>
      </c>
      <c r="L139" s="68">
        <v>46045</v>
      </c>
      <c r="M139" s="26" t="s">
        <v>594</v>
      </c>
      <c r="N139" s="60" t="s">
        <v>19</v>
      </c>
      <c r="O139" s="63">
        <v>0.5</v>
      </c>
      <c r="P139" s="61">
        <f t="shared" si="19"/>
        <v>172471.81818181818</v>
      </c>
      <c r="Q139" s="71"/>
      <c r="R139" s="61">
        <f t="shared" si="20"/>
        <v>172471.81818181818</v>
      </c>
      <c r="S139" s="4" t="s">
        <v>141</v>
      </c>
    </row>
    <row r="140" spans="1:20" ht="15" customHeight="1">
      <c r="A140" s="16">
        <v>46045</v>
      </c>
      <c r="B140" s="17" t="s">
        <v>47</v>
      </c>
      <c r="C140" s="22" t="s">
        <v>109</v>
      </c>
      <c r="D140" s="45" t="s">
        <v>597</v>
      </c>
      <c r="E140" s="18" t="s">
        <v>556</v>
      </c>
      <c r="F140" s="22" t="s">
        <v>59</v>
      </c>
      <c r="G140" s="18" t="s">
        <v>89</v>
      </c>
      <c r="H140" s="21">
        <v>46045</v>
      </c>
      <c r="I140" s="5">
        <v>550000</v>
      </c>
      <c r="J140" s="56">
        <f t="shared" ref="J140:J142" si="21">I140/1.1</f>
        <v>499999.99999999994</v>
      </c>
      <c r="K140" s="122"/>
      <c r="L140" s="68">
        <v>46045</v>
      </c>
      <c r="M140" s="26" t="s">
        <v>598</v>
      </c>
      <c r="N140" s="55" t="s">
        <v>97</v>
      </c>
      <c r="O140" s="57">
        <v>0.5</v>
      </c>
      <c r="P140" s="56">
        <f t="shared" ref="P140:P142" si="22">J140*O140</f>
        <v>249999.99999999997</v>
      </c>
      <c r="Q140" s="71"/>
      <c r="R140" s="56">
        <f t="shared" ref="R140:R142" si="23">J140-P140</f>
        <v>249999.99999999997</v>
      </c>
      <c r="S140" s="18" t="s">
        <v>599</v>
      </c>
    </row>
    <row r="141" spans="1:20" ht="15" customHeight="1">
      <c r="A141" s="16">
        <v>46045</v>
      </c>
      <c r="B141" s="43" t="s">
        <v>516</v>
      </c>
      <c r="C141" s="22" t="s">
        <v>517</v>
      </c>
      <c r="D141" s="22" t="s">
        <v>518</v>
      </c>
      <c r="F141" s="22" t="s">
        <v>59</v>
      </c>
      <c r="G141" s="18" t="s">
        <v>89</v>
      </c>
      <c r="I141" s="5">
        <v>550000</v>
      </c>
      <c r="J141" s="56">
        <f t="shared" si="21"/>
        <v>499999.99999999994</v>
      </c>
      <c r="K141" s="122"/>
      <c r="L141" s="68">
        <v>46045</v>
      </c>
      <c r="M141" s="26" t="s">
        <v>519</v>
      </c>
      <c r="N141" s="55" t="s">
        <v>97</v>
      </c>
      <c r="O141" s="57">
        <v>0.5</v>
      </c>
      <c r="P141" s="56">
        <f t="shared" si="22"/>
        <v>249999.99999999997</v>
      </c>
      <c r="Q141" s="71"/>
      <c r="R141" s="56">
        <f t="shared" si="23"/>
        <v>249999.99999999997</v>
      </c>
      <c r="S141" s="18" t="s">
        <v>579</v>
      </c>
    </row>
    <row r="142" spans="1:20" ht="15" customHeight="1">
      <c r="A142" s="16">
        <v>46045</v>
      </c>
      <c r="B142" s="17" t="s">
        <v>49</v>
      </c>
      <c r="C142" s="22" t="s">
        <v>534</v>
      </c>
      <c r="D142" s="22" t="s">
        <v>520</v>
      </c>
      <c r="F142" s="22" t="s">
        <v>59</v>
      </c>
      <c r="G142" s="18" t="s">
        <v>89</v>
      </c>
      <c r="I142" s="5">
        <v>550000</v>
      </c>
      <c r="J142" s="56">
        <f t="shared" si="21"/>
        <v>499999.99999999994</v>
      </c>
      <c r="K142" s="122"/>
      <c r="L142" s="68">
        <v>46045</v>
      </c>
      <c r="M142" s="26" t="s">
        <v>43</v>
      </c>
      <c r="N142" s="55" t="s">
        <v>97</v>
      </c>
      <c r="O142" s="57">
        <v>0.5</v>
      </c>
      <c r="P142" s="56">
        <f t="shared" si="22"/>
        <v>249999.99999999997</v>
      </c>
      <c r="Q142" s="71"/>
      <c r="R142" s="56">
        <f t="shared" si="23"/>
        <v>249999.99999999997</v>
      </c>
      <c r="S142" s="15" t="s">
        <v>878</v>
      </c>
    </row>
    <row r="143" spans="1:20" ht="15" customHeight="1">
      <c r="A143" s="16">
        <v>46045</v>
      </c>
      <c r="B143" s="17" t="s">
        <v>49</v>
      </c>
      <c r="C143" s="22" t="s">
        <v>535</v>
      </c>
      <c r="D143" s="22" t="s">
        <v>521</v>
      </c>
      <c r="F143" s="22" t="s">
        <v>59</v>
      </c>
      <c r="G143" s="18" t="s">
        <v>536</v>
      </c>
      <c r="I143" s="5">
        <v>220000</v>
      </c>
      <c r="J143" s="56">
        <f t="shared" ref="J143" si="24">I143/1.1</f>
        <v>199999.99999999997</v>
      </c>
      <c r="K143" s="122"/>
      <c r="L143" s="68">
        <v>46045</v>
      </c>
      <c r="M143" s="26" t="s">
        <v>880</v>
      </c>
      <c r="N143" s="55" t="s">
        <v>97</v>
      </c>
      <c r="O143" s="57">
        <v>0.5</v>
      </c>
      <c r="P143" s="56">
        <f t="shared" ref="P143" si="25">J143*O143</f>
        <v>99999.999999999985</v>
      </c>
      <c r="Q143" s="71"/>
      <c r="R143" s="56">
        <f t="shared" ref="R143" si="26">J143-P143</f>
        <v>99999.999999999985</v>
      </c>
      <c r="S143" s="33" t="s">
        <v>879</v>
      </c>
    </row>
    <row r="144" spans="1:20" ht="15" customHeight="1">
      <c r="A144" s="16">
        <v>46048</v>
      </c>
      <c r="B144" s="17" t="s">
        <v>523</v>
      </c>
      <c r="C144" s="45" t="s">
        <v>524</v>
      </c>
      <c r="D144" s="45" t="s">
        <v>522</v>
      </c>
      <c r="E144" s="18" t="s">
        <v>868</v>
      </c>
      <c r="F144" s="22" t="s">
        <v>59</v>
      </c>
      <c r="G144" s="18" t="s">
        <v>537</v>
      </c>
      <c r="H144" s="21">
        <v>46065</v>
      </c>
      <c r="I144" s="5">
        <v>550000</v>
      </c>
      <c r="J144" s="56">
        <f t="shared" ref="J144" si="27">I144/1.1</f>
        <v>499999.99999999994</v>
      </c>
      <c r="K144" s="122"/>
      <c r="L144" s="68">
        <v>46048</v>
      </c>
      <c r="M144" s="26" t="s">
        <v>642</v>
      </c>
      <c r="N144" s="55" t="s">
        <v>97</v>
      </c>
      <c r="O144" s="57">
        <v>0.5</v>
      </c>
      <c r="P144" s="56">
        <f t="shared" ref="P144" si="28">J144*O144</f>
        <v>249999.99999999997</v>
      </c>
      <c r="Q144" s="71"/>
      <c r="R144" s="56">
        <f t="shared" ref="R144" si="29">J144-P144</f>
        <v>249999.99999999997</v>
      </c>
      <c r="S144" s="18" t="s">
        <v>641</v>
      </c>
    </row>
    <row r="145" spans="1:19" s="121" customFormat="1" ht="15" customHeight="1">
      <c r="A145" s="19">
        <v>46048</v>
      </c>
      <c r="B145" s="70" t="s">
        <v>448</v>
      </c>
      <c r="C145" s="9" t="s">
        <v>449</v>
      </c>
      <c r="D145" s="86" t="s">
        <v>450</v>
      </c>
      <c r="E145" s="9"/>
      <c r="F145" s="86" t="s">
        <v>17</v>
      </c>
      <c r="G145" s="20" t="s">
        <v>18</v>
      </c>
      <c r="H145" s="34"/>
      <c r="I145" s="10">
        <v>550000</v>
      </c>
      <c r="J145" s="87">
        <f>I145/1.1</f>
        <v>499999.99999999994</v>
      </c>
      <c r="K145" s="120">
        <v>46043</v>
      </c>
      <c r="L145" s="58" t="s">
        <v>80</v>
      </c>
      <c r="M145" s="40" t="s">
        <v>21</v>
      </c>
      <c r="N145" s="86" t="s">
        <v>22</v>
      </c>
      <c r="O145" s="88">
        <v>0.5</v>
      </c>
      <c r="P145" s="87">
        <f>J145*O145</f>
        <v>249999.99999999997</v>
      </c>
      <c r="Q145" s="71"/>
      <c r="R145" s="87">
        <f>J145-P145</f>
        <v>249999.99999999997</v>
      </c>
      <c r="S145" s="30" t="s">
        <v>45</v>
      </c>
    </row>
    <row r="146" spans="1:19" s="23" customFormat="1" ht="15" customHeight="1">
      <c r="A146" s="19">
        <v>46048</v>
      </c>
      <c r="B146" s="70" t="s">
        <v>75</v>
      </c>
      <c r="C146" s="9" t="s">
        <v>158</v>
      </c>
      <c r="D146" s="89" t="s">
        <v>283</v>
      </c>
      <c r="E146" s="9"/>
      <c r="F146" s="83" t="s">
        <v>17</v>
      </c>
      <c r="G146" s="20" t="s">
        <v>24</v>
      </c>
      <c r="H146" s="34"/>
      <c r="I146" s="10">
        <v>110000</v>
      </c>
      <c r="J146" s="90">
        <f>I146/1.1</f>
        <v>99999.999999999985</v>
      </c>
      <c r="K146" s="109">
        <v>46034</v>
      </c>
      <c r="L146" s="58" t="s">
        <v>80</v>
      </c>
      <c r="M146" s="40" t="s">
        <v>21</v>
      </c>
      <c r="N146" s="86" t="s">
        <v>22</v>
      </c>
      <c r="O146" s="88">
        <v>0.5</v>
      </c>
      <c r="P146" s="87">
        <f>J146*O146</f>
        <v>49999.999999999993</v>
      </c>
      <c r="Q146" s="71"/>
      <c r="R146" s="87">
        <f>J146-P146</f>
        <v>49999.999999999993</v>
      </c>
      <c r="S146" s="30" t="s">
        <v>112</v>
      </c>
    </row>
    <row r="147" spans="1:19" s="35" customFormat="1" ht="15" customHeight="1">
      <c r="A147" s="16">
        <v>46048</v>
      </c>
      <c r="B147" s="96" t="s">
        <v>38</v>
      </c>
      <c r="C147" s="41" t="s">
        <v>390</v>
      </c>
      <c r="D147" s="94" t="s">
        <v>391</v>
      </c>
      <c r="E147" s="41"/>
      <c r="F147" s="93" t="s">
        <v>17</v>
      </c>
      <c r="G147" s="46" t="s">
        <v>24</v>
      </c>
      <c r="H147" s="42"/>
      <c r="I147" s="37">
        <v>110000</v>
      </c>
      <c r="J147" s="95">
        <f>I147/1.1</f>
        <v>99999.999999999985</v>
      </c>
      <c r="K147" s="108">
        <v>46041</v>
      </c>
      <c r="L147" s="68">
        <v>46048</v>
      </c>
      <c r="M147" s="85" t="s">
        <v>21</v>
      </c>
      <c r="N147" s="110" t="s">
        <v>22</v>
      </c>
      <c r="O147" s="111">
        <v>0.5</v>
      </c>
      <c r="P147" s="112">
        <f>J147*O147</f>
        <v>49999.999999999993</v>
      </c>
      <c r="Q147" s="71"/>
      <c r="R147" s="112">
        <f>J147-P147</f>
        <v>49999.999999999993</v>
      </c>
      <c r="S147" s="66" t="s">
        <v>112</v>
      </c>
    </row>
    <row r="148" spans="1:19" s="32" customFormat="1" ht="15" customHeight="1">
      <c r="A148" s="16">
        <v>46048</v>
      </c>
      <c r="B148" s="92" t="s">
        <v>402</v>
      </c>
      <c r="C148" s="18" t="s">
        <v>403</v>
      </c>
      <c r="D148" s="55" t="s">
        <v>404</v>
      </c>
      <c r="E148" s="41"/>
      <c r="F148" s="55" t="s">
        <v>17</v>
      </c>
      <c r="G148" s="18" t="s">
        <v>18</v>
      </c>
      <c r="H148" s="42"/>
      <c r="I148" s="5">
        <v>550000</v>
      </c>
      <c r="J148" s="56">
        <f>I148/1.1</f>
        <v>499999.99999999994</v>
      </c>
      <c r="K148" s="108">
        <v>46041</v>
      </c>
      <c r="L148" s="68">
        <v>46048</v>
      </c>
      <c r="M148" s="26" t="s">
        <v>21</v>
      </c>
      <c r="N148" s="55" t="s">
        <v>22</v>
      </c>
      <c r="O148" s="57">
        <v>0.5</v>
      </c>
      <c r="P148" s="56">
        <f>J148*O148</f>
        <v>249999.99999999997</v>
      </c>
      <c r="Q148" s="71"/>
      <c r="R148" s="56">
        <f>J148-P148</f>
        <v>249999.99999999997</v>
      </c>
      <c r="S148" s="22" t="s">
        <v>112</v>
      </c>
    </row>
    <row r="149" spans="1:19" ht="15" customHeight="1">
      <c r="A149" s="16">
        <v>46048</v>
      </c>
      <c r="B149" s="96" t="s">
        <v>530</v>
      </c>
      <c r="C149" s="4" t="s">
        <v>548</v>
      </c>
      <c r="D149" s="18" t="s">
        <v>526</v>
      </c>
      <c r="E149" s="4"/>
      <c r="F149" s="4" t="s">
        <v>17</v>
      </c>
      <c r="G149" s="18" t="s">
        <v>24</v>
      </c>
      <c r="H149" s="21"/>
      <c r="I149" s="5">
        <v>110000</v>
      </c>
      <c r="J149" s="5">
        <f t="shared" ref="J149:J150" si="30">I149/1.1</f>
        <v>99999.999999999985</v>
      </c>
      <c r="L149" s="68">
        <v>46048</v>
      </c>
      <c r="M149" s="26" t="s">
        <v>550</v>
      </c>
      <c r="N149" s="74" t="s">
        <v>19</v>
      </c>
      <c r="O149" s="80">
        <v>0.5</v>
      </c>
      <c r="P149" s="76">
        <f t="shared" ref="P149:P150" si="31">J149*O149</f>
        <v>49999.999999999993</v>
      </c>
      <c r="Q149" s="71"/>
      <c r="R149" s="76">
        <f t="shared" ref="R149:R150" si="32">J149-P149</f>
        <v>49999.999999999993</v>
      </c>
      <c r="S149" s="18" t="s">
        <v>551</v>
      </c>
    </row>
    <row r="150" spans="1:19" ht="15" customHeight="1">
      <c r="A150" s="16">
        <v>46048</v>
      </c>
      <c r="B150" s="17" t="s">
        <v>527</v>
      </c>
      <c r="C150" s="45" t="s">
        <v>56</v>
      </c>
      <c r="D150" s="45" t="s">
        <v>528</v>
      </c>
      <c r="F150" s="22" t="s">
        <v>59</v>
      </c>
      <c r="G150" s="18" t="s">
        <v>89</v>
      </c>
      <c r="I150" s="5">
        <v>2200000</v>
      </c>
      <c r="J150" s="56">
        <f t="shared" si="30"/>
        <v>1999999.9999999998</v>
      </c>
      <c r="K150" s="122"/>
      <c r="L150" s="68">
        <v>46048</v>
      </c>
      <c r="M150" s="26" t="s">
        <v>42</v>
      </c>
      <c r="N150" s="55" t="s">
        <v>97</v>
      </c>
      <c r="O150" s="57">
        <v>0.5</v>
      </c>
      <c r="P150" s="56">
        <f t="shared" si="31"/>
        <v>999999.99999999988</v>
      </c>
      <c r="Q150" s="71"/>
      <c r="R150" s="56">
        <f t="shared" si="32"/>
        <v>999999.99999999988</v>
      </c>
      <c r="S150" s="18" t="s">
        <v>529</v>
      </c>
    </row>
    <row r="151" spans="1:19" ht="15" customHeight="1">
      <c r="A151" s="16">
        <v>46048</v>
      </c>
      <c r="B151" s="96" t="s">
        <v>52</v>
      </c>
      <c r="C151" s="4" t="s">
        <v>65</v>
      </c>
      <c r="D151" s="45" t="s">
        <v>373</v>
      </c>
      <c r="F151" s="22" t="s">
        <v>59</v>
      </c>
      <c r="G151" s="22" t="s">
        <v>77</v>
      </c>
      <c r="I151" s="5">
        <v>3430000</v>
      </c>
      <c r="J151" s="56">
        <f t="shared" ref="J151:J152" si="33">I151/1.1</f>
        <v>3118181.8181818179</v>
      </c>
      <c r="K151" s="122"/>
      <c r="L151" s="68">
        <v>46048</v>
      </c>
      <c r="M151" s="26" t="s">
        <v>561</v>
      </c>
      <c r="N151" s="55" t="s">
        <v>97</v>
      </c>
      <c r="O151" s="57">
        <v>0.5</v>
      </c>
      <c r="P151" s="56">
        <f t="shared" ref="P151:P152" si="34">J151*O151</f>
        <v>1559090.9090909089</v>
      </c>
      <c r="Q151" s="71"/>
      <c r="R151" s="56">
        <f t="shared" ref="R151:R152" si="35">J151-P151</f>
        <v>1559090.9090909089</v>
      </c>
      <c r="S151" s="18" t="s">
        <v>562</v>
      </c>
    </row>
    <row r="152" spans="1:19" ht="15" customHeight="1">
      <c r="A152" s="16">
        <v>46048</v>
      </c>
      <c r="B152" s="96" t="s">
        <v>52</v>
      </c>
      <c r="C152" s="4" t="s">
        <v>559</v>
      </c>
      <c r="D152" s="45" t="s">
        <v>124</v>
      </c>
      <c r="E152" s="4" t="s">
        <v>565</v>
      </c>
      <c r="F152" s="22" t="s">
        <v>59</v>
      </c>
      <c r="G152" s="18" t="s">
        <v>89</v>
      </c>
      <c r="H152" s="21">
        <v>46048</v>
      </c>
      <c r="I152" s="5">
        <v>550000</v>
      </c>
      <c r="J152" s="56">
        <f t="shared" si="33"/>
        <v>499999.99999999994</v>
      </c>
      <c r="K152" s="122"/>
      <c r="L152" s="68">
        <v>46048</v>
      </c>
      <c r="M152" s="26" t="s">
        <v>563</v>
      </c>
      <c r="N152" s="55" t="s">
        <v>97</v>
      </c>
      <c r="O152" s="57">
        <v>0.5</v>
      </c>
      <c r="P152" s="56">
        <f t="shared" si="34"/>
        <v>249999.99999999997</v>
      </c>
      <c r="Q152" s="71"/>
      <c r="R152" s="56">
        <f t="shared" si="35"/>
        <v>249999.99999999997</v>
      </c>
      <c r="S152" s="18" t="s">
        <v>564</v>
      </c>
    </row>
    <row r="153" spans="1:19" ht="15" customHeight="1">
      <c r="A153" s="16">
        <v>46048</v>
      </c>
      <c r="B153" s="96" t="s">
        <v>620</v>
      </c>
      <c r="C153" s="4" t="s">
        <v>64</v>
      </c>
      <c r="D153" s="45" t="s">
        <v>571</v>
      </c>
      <c r="F153" s="22" t="s">
        <v>59</v>
      </c>
      <c r="G153" s="18" t="s">
        <v>89</v>
      </c>
      <c r="I153" s="5">
        <v>1100000</v>
      </c>
      <c r="J153" s="56">
        <f t="shared" ref="J153" si="36">I153/1.1</f>
        <v>999999.99999999988</v>
      </c>
      <c r="K153" s="122"/>
      <c r="L153" s="68">
        <v>46048</v>
      </c>
      <c r="M153" s="26" t="s">
        <v>572</v>
      </c>
      <c r="N153" s="55" t="s">
        <v>97</v>
      </c>
      <c r="O153" s="57">
        <v>0.5</v>
      </c>
      <c r="P153" s="56">
        <f t="shared" ref="P153" si="37">J153*O153</f>
        <v>499999.99999999994</v>
      </c>
      <c r="Q153" s="71"/>
      <c r="R153" s="56">
        <f t="shared" ref="R153" si="38">J153-P153</f>
        <v>499999.99999999994</v>
      </c>
      <c r="S153" s="18" t="s">
        <v>573</v>
      </c>
    </row>
    <row r="154" spans="1:19" s="32" customFormat="1" ht="15" customHeight="1">
      <c r="A154" s="16">
        <v>46049</v>
      </c>
      <c r="B154" s="96" t="s">
        <v>49</v>
      </c>
      <c r="C154" s="4" t="s">
        <v>417</v>
      </c>
      <c r="D154" s="55" t="s">
        <v>418</v>
      </c>
      <c r="E154" s="41"/>
      <c r="F154" s="55" t="s">
        <v>17</v>
      </c>
      <c r="G154" s="18" t="s">
        <v>18</v>
      </c>
      <c r="H154" s="42"/>
      <c r="I154" s="5">
        <v>550000</v>
      </c>
      <c r="J154" s="56">
        <f>I154/1.1</f>
        <v>499999.99999999994</v>
      </c>
      <c r="K154" s="108">
        <v>46042</v>
      </c>
      <c r="L154" s="68">
        <v>46049</v>
      </c>
      <c r="M154" s="26" t="s">
        <v>21</v>
      </c>
      <c r="N154" s="55" t="s">
        <v>22</v>
      </c>
      <c r="O154" s="57">
        <v>0.5</v>
      </c>
      <c r="P154" s="56">
        <f>J154*O154</f>
        <v>249999.99999999997</v>
      </c>
      <c r="Q154" s="71"/>
      <c r="R154" s="56">
        <f>J154-P154</f>
        <v>249999.99999999997</v>
      </c>
      <c r="S154" s="22" t="s">
        <v>112</v>
      </c>
    </row>
    <row r="155" spans="1:19" ht="15" customHeight="1">
      <c r="A155" s="16">
        <v>46049</v>
      </c>
      <c r="B155" s="96" t="s">
        <v>574</v>
      </c>
      <c r="C155" s="4" t="s">
        <v>69</v>
      </c>
      <c r="D155" s="45" t="s">
        <v>575</v>
      </c>
      <c r="F155" s="22" t="s">
        <v>59</v>
      </c>
      <c r="G155" s="22" t="s">
        <v>77</v>
      </c>
      <c r="I155" s="5">
        <v>6273630</v>
      </c>
      <c r="J155" s="56">
        <f t="shared" ref="J155:J156" si="39">I155/1.1</f>
        <v>5703300</v>
      </c>
      <c r="K155" s="122"/>
      <c r="L155" s="68">
        <v>46049</v>
      </c>
      <c r="M155" s="26" t="s">
        <v>43</v>
      </c>
      <c r="N155" s="18" t="s">
        <v>19</v>
      </c>
      <c r="O155" s="31">
        <v>0.5</v>
      </c>
      <c r="P155" s="25">
        <f t="shared" ref="P155" si="40">J155*O155</f>
        <v>2851650</v>
      </c>
      <c r="Q155" s="71"/>
      <c r="R155" s="25">
        <f t="shared" ref="R155" si="41">J155-P155</f>
        <v>2851650</v>
      </c>
      <c r="S155" s="18" t="s">
        <v>823</v>
      </c>
    </row>
    <row r="156" spans="1:19" ht="15" customHeight="1">
      <c r="A156" s="16">
        <v>46049</v>
      </c>
      <c r="B156" s="96" t="s">
        <v>576</v>
      </c>
      <c r="C156" s="22" t="s">
        <v>142</v>
      </c>
      <c r="D156" s="45" t="s">
        <v>127</v>
      </c>
      <c r="E156" s="4" t="s">
        <v>578</v>
      </c>
      <c r="F156" s="22" t="s">
        <v>59</v>
      </c>
      <c r="G156" s="18" t="s">
        <v>89</v>
      </c>
      <c r="H156" s="21">
        <v>46049</v>
      </c>
      <c r="I156" s="5">
        <v>550000</v>
      </c>
      <c r="J156" s="56">
        <f t="shared" si="39"/>
        <v>499999.99999999994</v>
      </c>
      <c r="K156" s="122"/>
      <c r="L156" s="68">
        <v>46049</v>
      </c>
      <c r="M156" s="26" t="s">
        <v>43</v>
      </c>
      <c r="N156" s="55" t="s">
        <v>97</v>
      </c>
      <c r="O156" s="57">
        <v>0.5</v>
      </c>
      <c r="P156" s="56">
        <f t="shared" ref="P156" si="42">J156*O156</f>
        <v>249999.99999999997</v>
      </c>
      <c r="Q156" s="71"/>
      <c r="R156" s="56">
        <f t="shared" ref="R156" si="43">J156-P156</f>
        <v>249999.99999999997</v>
      </c>
      <c r="S156" s="18" t="s">
        <v>577</v>
      </c>
    </row>
    <row r="157" spans="1:19" s="32" customFormat="1" ht="15" customHeight="1">
      <c r="A157" s="16">
        <v>46050</v>
      </c>
      <c r="B157" s="92" t="s">
        <v>531</v>
      </c>
      <c r="C157" s="18" t="s">
        <v>532</v>
      </c>
      <c r="D157" s="55" t="s">
        <v>533</v>
      </c>
      <c r="E157" s="4"/>
      <c r="F157" s="55" t="s">
        <v>17</v>
      </c>
      <c r="G157" s="18" t="s">
        <v>18</v>
      </c>
      <c r="H157" s="21"/>
      <c r="I157" s="5">
        <v>1100000</v>
      </c>
      <c r="J157" s="56">
        <f>I157/1.1</f>
        <v>999999.99999999988</v>
      </c>
      <c r="K157" s="108">
        <v>46048</v>
      </c>
      <c r="L157" s="68">
        <v>46050</v>
      </c>
      <c r="M157" s="26" t="s">
        <v>21</v>
      </c>
      <c r="N157" s="55" t="s">
        <v>22</v>
      </c>
      <c r="O157" s="57">
        <v>0.5</v>
      </c>
      <c r="P157" s="56">
        <f>J157*O157</f>
        <v>499999.99999999994</v>
      </c>
      <c r="Q157" s="71"/>
      <c r="R157" s="56">
        <f>J157-P157</f>
        <v>499999.99999999994</v>
      </c>
      <c r="S157" s="18" t="s">
        <v>944</v>
      </c>
    </row>
    <row r="158" spans="1:19" ht="15" customHeight="1">
      <c r="A158" s="16">
        <v>46050</v>
      </c>
      <c r="B158" s="43" t="s">
        <v>49</v>
      </c>
      <c r="C158" s="22" t="s">
        <v>96</v>
      </c>
      <c r="D158" s="45" t="s">
        <v>580</v>
      </c>
      <c r="F158" s="22" t="s">
        <v>59</v>
      </c>
      <c r="G158" s="22" t="s">
        <v>86</v>
      </c>
      <c r="I158" s="5">
        <v>120000</v>
      </c>
      <c r="J158" s="56">
        <f t="shared" ref="J158" si="44">I158/1.1</f>
        <v>109090.90909090909</v>
      </c>
      <c r="K158" s="122"/>
      <c r="L158" s="68">
        <v>46050</v>
      </c>
      <c r="M158" s="26" t="s">
        <v>874</v>
      </c>
      <c r="N158" s="55" t="s">
        <v>97</v>
      </c>
      <c r="O158" s="57">
        <v>0.5</v>
      </c>
      <c r="P158" s="56">
        <f t="shared" ref="P158" si="45">J158*O158</f>
        <v>54545.454545454544</v>
      </c>
      <c r="Q158" s="71"/>
      <c r="R158" s="56">
        <f t="shared" ref="R158" si="46">J158-P158</f>
        <v>54545.454545454544</v>
      </c>
      <c r="S158" s="18" t="s">
        <v>945</v>
      </c>
    </row>
    <row r="159" spans="1:19" s="32" customFormat="1" ht="15" customHeight="1">
      <c r="A159" s="16">
        <v>46050</v>
      </c>
      <c r="B159" s="96" t="s">
        <v>52</v>
      </c>
      <c r="C159" s="4" t="s">
        <v>705</v>
      </c>
      <c r="D159" s="55" t="s">
        <v>560</v>
      </c>
      <c r="E159" s="4" t="s">
        <v>1141</v>
      </c>
      <c r="F159" s="55" t="s">
        <v>17</v>
      </c>
      <c r="G159" s="18" t="s">
        <v>18</v>
      </c>
      <c r="H159" s="21">
        <v>46048</v>
      </c>
      <c r="I159" s="5">
        <v>550000</v>
      </c>
      <c r="J159" s="56">
        <f t="shared" ref="J159" si="47">I159/1.1</f>
        <v>499999.99999999994</v>
      </c>
      <c r="K159" s="108">
        <v>46048</v>
      </c>
      <c r="L159" s="68">
        <v>46050</v>
      </c>
      <c r="M159" s="26" t="s">
        <v>21</v>
      </c>
      <c r="N159" s="55" t="s">
        <v>22</v>
      </c>
      <c r="O159" s="57">
        <v>0.5</v>
      </c>
      <c r="P159" s="56">
        <f t="shared" ref="P159" si="48">J159*O159</f>
        <v>249999.99999999997</v>
      </c>
      <c r="Q159" s="26"/>
      <c r="R159" s="56">
        <f t="shared" ref="R159" si="49">J159-P159</f>
        <v>249999.99999999997</v>
      </c>
      <c r="S159" s="18" t="s">
        <v>946</v>
      </c>
    </row>
    <row r="160" spans="1:19" ht="15" customHeight="1">
      <c r="A160" s="16">
        <v>46050</v>
      </c>
      <c r="B160" s="96" t="s">
        <v>38</v>
      </c>
      <c r="C160" s="4" t="s">
        <v>44</v>
      </c>
      <c r="D160" s="45" t="s">
        <v>1135</v>
      </c>
      <c r="E160" s="4" t="s">
        <v>618</v>
      </c>
      <c r="F160" s="22" t="s">
        <v>59</v>
      </c>
      <c r="G160" s="18" t="s">
        <v>89</v>
      </c>
      <c r="H160" s="21">
        <v>46051</v>
      </c>
      <c r="I160" s="5">
        <v>550000</v>
      </c>
      <c r="J160" s="56">
        <f t="shared" ref="J160" si="50">I160/1.1</f>
        <v>499999.99999999994</v>
      </c>
      <c r="K160" s="122"/>
      <c r="L160" s="68">
        <v>46050</v>
      </c>
      <c r="M160" s="26" t="s">
        <v>581</v>
      </c>
      <c r="N160" s="55" t="s">
        <v>97</v>
      </c>
      <c r="O160" s="57">
        <v>0.5</v>
      </c>
      <c r="P160" s="56">
        <f t="shared" ref="P160" si="51">J160*O160</f>
        <v>249999.99999999997</v>
      </c>
      <c r="Q160" s="26"/>
      <c r="R160" s="56">
        <f t="shared" ref="R160" si="52">J160-P160</f>
        <v>249999.99999999997</v>
      </c>
      <c r="S160" s="18" t="s">
        <v>947</v>
      </c>
    </row>
    <row r="161" spans="1:20" ht="15" customHeight="1">
      <c r="A161" s="16">
        <v>46050</v>
      </c>
      <c r="B161" s="96" t="s">
        <v>38</v>
      </c>
      <c r="C161" s="4" t="s">
        <v>584</v>
      </c>
      <c r="D161" s="45" t="s">
        <v>306</v>
      </c>
      <c r="F161" s="22" t="s">
        <v>59</v>
      </c>
      <c r="G161" s="22" t="s">
        <v>77</v>
      </c>
      <c r="I161" s="5">
        <v>2200000</v>
      </c>
      <c r="J161" s="56">
        <f t="shared" ref="J161:J164" si="53">I161/1.1</f>
        <v>1999999.9999999998</v>
      </c>
      <c r="K161" s="122"/>
      <c r="L161" s="68">
        <v>46050</v>
      </c>
      <c r="M161" s="26" t="s">
        <v>43</v>
      </c>
      <c r="N161" s="55" t="s">
        <v>97</v>
      </c>
      <c r="O161" s="57">
        <v>0.5</v>
      </c>
      <c r="P161" s="56">
        <f t="shared" ref="P161:P164" si="54">J161*O161</f>
        <v>999999.99999999988</v>
      </c>
      <c r="Q161" s="26"/>
      <c r="R161" s="56">
        <f t="shared" ref="R161:R164" si="55">J161-P161</f>
        <v>999999.99999999988</v>
      </c>
      <c r="S161" s="18" t="s">
        <v>585</v>
      </c>
    </row>
    <row r="162" spans="1:20" s="32" customFormat="1" ht="15" customHeight="1">
      <c r="A162" s="16">
        <v>46050</v>
      </c>
      <c r="B162" s="17" t="s">
        <v>38</v>
      </c>
      <c r="C162" s="45" t="s">
        <v>145</v>
      </c>
      <c r="D162" s="45" t="s">
        <v>511</v>
      </c>
      <c r="E162"/>
      <c r="F162" s="45" t="s">
        <v>59</v>
      </c>
      <c r="G162" s="22" t="s">
        <v>77</v>
      </c>
      <c r="H162"/>
      <c r="I162" s="25">
        <v>4722300</v>
      </c>
      <c r="J162" s="56">
        <f t="shared" si="53"/>
        <v>4293000</v>
      </c>
      <c r="K162" s="122"/>
      <c r="L162" s="68">
        <v>46050</v>
      </c>
      <c r="M162" s="26" t="s">
        <v>43</v>
      </c>
      <c r="N162" s="55" t="s">
        <v>97</v>
      </c>
      <c r="O162" s="57">
        <v>0.5</v>
      </c>
      <c r="P162" s="56">
        <f t="shared" si="54"/>
        <v>2146500</v>
      </c>
      <c r="Q162" s="26"/>
      <c r="R162" s="56">
        <f t="shared" si="55"/>
        <v>2146500</v>
      </c>
      <c r="S162" s="18" t="s">
        <v>948</v>
      </c>
    </row>
    <row r="163" spans="1:20" s="32" customFormat="1" ht="15" customHeight="1">
      <c r="A163" s="16">
        <v>46050</v>
      </c>
      <c r="B163" s="96" t="s">
        <v>50</v>
      </c>
      <c r="C163" s="55" t="s">
        <v>88</v>
      </c>
      <c r="D163" s="18" t="s">
        <v>824</v>
      </c>
      <c r="E163" s="4"/>
      <c r="F163" s="55" t="s">
        <v>17</v>
      </c>
      <c r="G163" s="22" t="s">
        <v>77</v>
      </c>
      <c r="H163" s="21"/>
      <c r="I163" s="5">
        <v>2200000</v>
      </c>
      <c r="J163" s="56">
        <f t="shared" si="53"/>
        <v>1999999.9999999998</v>
      </c>
      <c r="K163" s="108"/>
      <c r="L163" s="68">
        <v>46050</v>
      </c>
      <c r="M163" s="26" t="s">
        <v>42</v>
      </c>
      <c r="N163" s="74" t="s">
        <v>19</v>
      </c>
      <c r="O163" s="80">
        <v>0.5</v>
      </c>
      <c r="P163" s="76">
        <f t="shared" si="54"/>
        <v>999999.99999999988</v>
      </c>
      <c r="Q163" s="71"/>
      <c r="R163" s="76">
        <f t="shared" si="55"/>
        <v>999999.99999999988</v>
      </c>
      <c r="S163" s="18" t="s">
        <v>949</v>
      </c>
    </row>
    <row r="164" spans="1:20" ht="15" customHeight="1">
      <c r="A164" s="16">
        <v>46050</v>
      </c>
      <c r="B164" s="96" t="s">
        <v>588</v>
      </c>
      <c r="C164" s="4" t="s">
        <v>589</v>
      </c>
      <c r="D164" s="45" t="s">
        <v>590</v>
      </c>
      <c r="E164" s="4" t="s">
        <v>609</v>
      </c>
      <c r="F164" s="22" t="s">
        <v>59</v>
      </c>
      <c r="G164" s="18" t="s">
        <v>89</v>
      </c>
      <c r="H164" s="21">
        <v>46050</v>
      </c>
      <c r="I164" s="5">
        <v>550000</v>
      </c>
      <c r="J164" s="56">
        <f t="shared" si="53"/>
        <v>499999.99999999994</v>
      </c>
      <c r="K164" s="122"/>
      <c r="L164" s="68">
        <v>46050</v>
      </c>
      <c r="M164" s="26" t="s">
        <v>43</v>
      </c>
      <c r="N164" s="55" t="s">
        <v>97</v>
      </c>
      <c r="O164" s="57">
        <v>0.5</v>
      </c>
      <c r="P164" s="56">
        <f t="shared" si="54"/>
        <v>249999.99999999997</v>
      </c>
      <c r="Q164" s="26"/>
      <c r="R164" s="56">
        <f t="shared" si="55"/>
        <v>249999.99999999997</v>
      </c>
      <c r="S164" s="18" t="s">
        <v>950</v>
      </c>
    </row>
    <row r="165" spans="1:20" ht="15" customHeight="1">
      <c r="A165" s="16">
        <v>46050</v>
      </c>
      <c r="B165" s="96" t="s">
        <v>50</v>
      </c>
      <c r="C165" s="4" t="s">
        <v>36</v>
      </c>
      <c r="D165" s="45" t="s">
        <v>602</v>
      </c>
      <c r="E165" s="4"/>
      <c r="F165" s="22" t="s">
        <v>59</v>
      </c>
      <c r="G165" s="18" t="s">
        <v>89</v>
      </c>
      <c r="H165" s="21"/>
      <c r="I165" s="5">
        <v>550000</v>
      </c>
      <c r="J165" s="56">
        <f t="shared" ref="J165:J166" si="56">I165/1.1</f>
        <v>499999.99999999994</v>
      </c>
      <c r="K165" s="122"/>
      <c r="L165" s="68">
        <v>46050</v>
      </c>
      <c r="M165" s="26" t="s">
        <v>825</v>
      </c>
      <c r="N165" s="55" t="s">
        <v>97</v>
      </c>
      <c r="O165" s="57">
        <v>0.5</v>
      </c>
      <c r="P165" s="56">
        <f t="shared" ref="P165:P166" si="57">J165*O165</f>
        <v>249999.99999999997</v>
      </c>
      <c r="Q165" s="26"/>
      <c r="R165" s="56">
        <f t="shared" ref="R165:R166" si="58">J165-P165</f>
        <v>249999.99999999997</v>
      </c>
      <c r="S165" s="18" t="s">
        <v>951</v>
      </c>
    </row>
    <row r="166" spans="1:20" s="32" customFormat="1" ht="15" customHeight="1">
      <c r="A166" s="16">
        <v>46050</v>
      </c>
      <c r="B166" s="96" t="s">
        <v>52</v>
      </c>
      <c r="C166" s="55" t="s">
        <v>603</v>
      </c>
      <c r="D166" s="55" t="s">
        <v>604</v>
      </c>
      <c r="E166" s="4"/>
      <c r="F166" s="55" t="s">
        <v>17</v>
      </c>
      <c r="G166" s="22" t="s">
        <v>77</v>
      </c>
      <c r="H166" s="21"/>
      <c r="I166" s="5">
        <v>5430000</v>
      </c>
      <c r="J166" s="56">
        <f t="shared" si="56"/>
        <v>4936363.6363636358</v>
      </c>
      <c r="K166" s="108"/>
      <c r="L166" s="68">
        <v>46050</v>
      </c>
      <c r="M166" s="26" t="s">
        <v>43</v>
      </c>
      <c r="N166" s="74" t="s">
        <v>19</v>
      </c>
      <c r="O166" s="80">
        <v>0.5</v>
      </c>
      <c r="P166" s="76">
        <f t="shared" si="57"/>
        <v>2468181.8181818179</v>
      </c>
      <c r="Q166" s="71"/>
      <c r="R166" s="76">
        <f t="shared" si="58"/>
        <v>2468181.8181818179</v>
      </c>
      <c r="S166" s="18" t="s">
        <v>952</v>
      </c>
    </row>
    <row r="167" spans="1:20" ht="15" customHeight="1">
      <c r="A167" s="16">
        <v>46050</v>
      </c>
      <c r="B167" s="96" t="s">
        <v>607</v>
      </c>
      <c r="C167" s="4" t="s">
        <v>608</v>
      </c>
      <c r="D167" s="22" t="s">
        <v>605</v>
      </c>
      <c r="E167" s="4"/>
      <c r="F167" s="22" t="s">
        <v>59</v>
      </c>
      <c r="G167" s="18" t="s">
        <v>89</v>
      </c>
      <c r="H167" s="21"/>
      <c r="I167" s="5">
        <v>1100000</v>
      </c>
      <c r="J167" s="56">
        <f t="shared" ref="J167:J168" si="59">I167/1.1</f>
        <v>999999.99999999988</v>
      </c>
      <c r="K167" s="122"/>
      <c r="L167" s="68">
        <v>46050</v>
      </c>
      <c r="M167" s="26" t="s">
        <v>43</v>
      </c>
      <c r="N167" s="55" t="s">
        <v>97</v>
      </c>
      <c r="O167" s="57">
        <v>0.5</v>
      </c>
      <c r="P167" s="56">
        <f t="shared" ref="P167:P168" si="60">J167*O167</f>
        <v>499999.99999999994</v>
      </c>
      <c r="Q167" s="71"/>
      <c r="R167" s="56">
        <f t="shared" ref="R167:R168" si="61">J167-P167</f>
        <v>499999.99999999994</v>
      </c>
      <c r="S167" s="18" t="s">
        <v>953</v>
      </c>
    </row>
    <row r="168" spans="1:20" s="32" customFormat="1" ht="15" customHeight="1">
      <c r="A168" s="16">
        <v>46050</v>
      </c>
      <c r="B168" s="96" t="s">
        <v>50</v>
      </c>
      <c r="C168" s="55" t="s">
        <v>51</v>
      </c>
      <c r="D168" s="55" t="s">
        <v>610</v>
      </c>
      <c r="E168" s="4"/>
      <c r="F168" s="55" t="s">
        <v>17</v>
      </c>
      <c r="G168" s="22" t="s">
        <v>77</v>
      </c>
      <c r="H168" s="21"/>
      <c r="I168" s="5">
        <v>8500000</v>
      </c>
      <c r="J168" s="56">
        <f t="shared" si="59"/>
        <v>7727272.7272727266</v>
      </c>
      <c r="K168" s="108"/>
      <c r="L168" s="68">
        <v>46050</v>
      </c>
      <c r="M168" s="26" t="s">
        <v>43</v>
      </c>
      <c r="N168" s="18" t="s">
        <v>19</v>
      </c>
      <c r="O168" s="31">
        <v>0.5</v>
      </c>
      <c r="P168" s="25">
        <f t="shared" si="60"/>
        <v>3863636.3636363633</v>
      </c>
      <c r="Q168" s="71"/>
      <c r="R168" s="25">
        <f t="shared" si="61"/>
        <v>3863636.3636363633</v>
      </c>
      <c r="S168" s="18" t="s">
        <v>954</v>
      </c>
    </row>
    <row r="169" spans="1:20" s="32" customFormat="1" ht="15" customHeight="1">
      <c r="A169" s="16">
        <v>46051</v>
      </c>
      <c r="B169" s="92" t="s">
        <v>50</v>
      </c>
      <c r="C169" s="18" t="s">
        <v>582</v>
      </c>
      <c r="D169" s="55" t="s">
        <v>583</v>
      </c>
      <c r="E169" s="4"/>
      <c r="F169" s="55" t="s">
        <v>17</v>
      </c>
      <c r="G169" s="18" t="s">
        <v>18</v>
      </c>
      <c r="H169" s="21"/>
      <c r="I169" s="5">
        <v>1100000</v>
      </c>
      <c r="J169" s="56">
        <f>I169/1.1</f>
        <v>999999.99999999988</v>
      </c>
      <c r="K169" s="108">
        <v>46050</v>
      </c>
      <c r="L169" s="68">
        <v>46051</v>
      </c>
      <c r="M169" s="26" t="s">
        <v>21</v>
      </c>
      <c r="N169" s="55" t="s">
        <v>22</v>
      </c>
      <c r="O169" s="57">
        <v>0.5</v>
      </c>
      <c r="P169" s="56">
        <f>J169*O169</f>
        <v>499999.99999999994</v>
      </c>
      <c r="Q169" s="71"/>
      <c r="R169" s="56">
        <f>J169-P169</f>
        <v>499999.99999999994</v>
      </c>
      <c r="S169" s="18" t="s">
        <v>106</v>
      </c>
    </row>
    <row r="170" spans="1:20" ht="15" customHeight="1">
      <c r="A170" s="16">
        <v>46051</v>
      </c>
      <c r="B170" s="96" t="s">
        <v>38</v>
      </c>
      <c r="C170" s="4" t="s">
        <v>616</v>
      </c>
      <c r="D170" s="45" t="s">
        <v>621</v>
      </c>
      <c r="E170" s="4" t="s">
        <v>673</v>
      </c>
      <c r="F170" s="22" t="s">
        <v>59</v>
      </c>
      <c r="G170" s="18" t="s">
        <v>89</v>
      </c>
      <c r="H170" s="21">
        <v>46051</v>
      </c>
      <c r="I170" s="5">
        <v>550000</v>
      </c>
      <c r="J170" s="56">
        <f t="shared" ref="J170" si="62">I170/1.1</f>
        <v>499999.99999999994</v>
      </c>
      <c r="K170" s="122"/>
      <c r="L170" s="68">
        <v>46051</v>
      </c>
      <c r="M170" s="26" t="s">
        <v>622</v>
      </c>
      <c r="N170" s="55" t="s">
        <v>97</v>
      </c>
      <c r="O170" s="57">
        <v>0.5</v>
      </c>
      <c r="P170" s="56">
        <f t="shared" ref="P170" si="63">J170*O170</f>
        <v>249999.99999999997</v>
      </c>
      <c r="Q170" s="71"/>
      <c r="R170" s="56">
        <f t="shared" ref="R170" si="64">J170-P170</f>
        <v>249999.99999999997</v>
      </c>
      <c r="S170" s="18" t="s">
        <v>955</v>
      </c>
    </row>
    <row r="171" spans="1:20" ht="15" customHeight="1">
      <c r="A171" s="16">
        <v>46051</v>
      </c>
      <c r="B171" s="96" t="s">
        <v>38</v>
      </c>
      <c r="C171" s="4" t="s">
        <v>40</v>
      </c>
      <c r="D171" s="45" t="s">
        <v>617</v>
      </c>
      <c r="E171" s="4" t="s">
        <v>619</v>
      </c>
      <c r="F171" s="22" t="s">
        <v>59</v>
      </c>
      <c r="G171" s="18" t="s">
        <v>89</v>
      </c>
      <c r="H171" s="21">
        <v>46051</v>
      </c>
      <c r="I171" s="5">
        <v>550000</v>
      </c>
      <c r="J171" s="56">
        <f t="shared" ref="J171" si="65">I171/1.1</f>
        <v>499999.99999999994</v>
      </c>
      <c r="K171" s="122"/>
      <c r="L171" s="68">
        <v>46051</v>
      </c>
      <c r="M171" s="26" t="s">
        <v>46</v>
      </c>
      <c r="N171" s="55" t="s">
        <v>97</v>
      </c>
      <c r="O171" s="57">
        <v>0.5</v>
      </c>
      <c r="P171" s="56">
        <f t="shared" ref="P171" si="66">J171*O171</f>
        <v>249999.99999999997</v>
      </c>
      <c r="Q171" s="71"/>
      <c r="R171" s="56">
        <f t="shared" ref="R171" si="67">J171-P171</f>
        <v>249999.99999999997</v>
      </c>
      <c r="S171" s="18" t="s">
        <v>1031</v>
      </c>
    </row>
    <row r="172" spans="1:20" ht="15" customHeight="1">
      <c r="A172" s="16">
        <v>46051</v>
      </c>
      <c r="B172" s="43" t="s">
        <v>50</v>
      </c>
      <c r="C172" s="22" t="s">
        <v>73</v>
      </c>
      <c r="D172" s="22" t="s">
        <v>458</v>
      </c>
      <c r="F172" s="22" t="s">
        <v>502</v>
      </c>
      <c r="G172" s="22" t="s">
        <v>98</v>
      </c>
      <c r="I172" s="5">
        <v>110000</v>
      </c>
      <c r="J172" s="56">
        <f>I172/1.1</f>
        <v>99999.999999999985</v>
      </c>
      <c r="K172" s="115">
        <v>46044</v>
      </c>
      <c r="L172" s="68">
        <v>46051</v>
      </c>
      <c r="M172" s="26" t="s">
        <v>503</v>
      </c>
      <c r="N172" s="55" t="s">
        <v>118</v>
      </c>
      <c r="O172" s="57">
        <v>0.5</v>
      </c>
      <c r="P172" s="56">
        <f>J172*O172</f>
        <v>49999.999999999993</v>
      </c>
      <c r="Q172" s="71"/>
      <c r="R172" s="56">
        <f>J172-P172</f>
        <v>49999.999999999993</v>
      </c>
      <c r="S172" s="18" t="s">
        <v>956</v>
      </c>
      <c r="T172" s="32"/>
    </row>
    <row r="173" spans="1:20" s="32" customFormat="1" ht="15" customHeight="1">
      <c r="A173" s="16">
        <v>46051</v>
      </c>
      <c r="B173" s="96" t="s">
        <v>50</v>
      </c>
      <c r="C173" s="55" t="s">
        <v>623</v>
      </c>
      <c r="D173" s="55" t="s">
        <v>334</v>
      </c>
      <c r="E173" s="4"/>
      <c r="F173" s="55" t="s">
        <v>17</v>
      </c>
      <c r="G173" s="22" t="s">
        <v>77</v>
      </c>
      <c r="H173" s="21"/>
      <c r="I173" s="5">
        <v>3322000</v>
      </c>
      <c r="J173" s="56">
        <f t="shared" ref="J173" si="68">I173/1.1</f>
        <v>3019999.9999999995</v>
      </c>
      <c r="K173" s="108"/>
      <c r="L173" s="68">
        <v>46051</v>
      </c>
      <c r="M173" s="26" t="s">
        <v>42</v>
      </c>
      <c r="N173" s="74" t="s">
        <v>19</v>
      </c>
      <c r="O173" s="80">
        <v>0.5</v>
      </c>
      <c r="P173" s="76">
        <f t="shared" ref="P173" si="69">J173*O173</f>
        <v>1509999.9999999998</v>
      </c>
      <c r="Q173" s="71"/>
      <c r="R173" s="76">
        <f t="shared" ref="R173" si="70">J173-P173</f>
        <v>1509999.9999999998</v>
      </c>
      <c r="S173" s="18" t="s">
        <v>957</v>
      </c>
    </row>
    <row r="174" spans="1:20" ht="15" customHeight="1">
      <c r="A174" s="16">
        <v>46051</v>
      </c>
      <c r="B174" s="96" t="s">
        <v>628</v>
      </c>
      <c r="C174" s="4" t="s">
        <v>63</v>
      </c>
      <c r="D174" s="18" t="s">
        <v>629</v>
      </c>
      <c r="E174" s="4"/>
      <c r="F174" s="4" t="s">
        <v>17</v>
      </c>
      <c r="G174" s="18" t="s">
        <v>24</v>
      </c>
      <c r="H174" s="21"/>
      <c r="I174" s="5">
        <v>110000</v>
      </c>
      <c r="J174" s="5">
        <f t="shared" ref="J174" si="71">I174/1.1</f>
        <v>99999.999999999985</v>
      </c>
      <c r="L174" s="68">
        <v>46051</v>
      </c>
      <c r="M174" s="26" t="s">
        <v>826</v>
      </c>
      <c r="N174" s="74" t="s">
        <v>19</v>
      </c>
      <c r="O174" s="80">
        <v>0.5</v>
      </c>
      <c r="P174" s="76">
        <f t="shared" ref="P174" si="72">J174*O174</f>
        <v>49999.999999999993</v>
      </c>
      <c r="Q174" s="71"/>
      <c r="R174" s="76">
        <f t="shared" ref="R174" si="73">J174-P174</f>
        <v>49999.999999999993</v>
      </c>
      <c r="S174" s="18"/>
    </row>
    <row r="175" spans="1:20" ht="15" customHeight="1">
      <c r="A175" s="16">
        <v>46051</v>
      </c>
      <c r="B175" s="96" t="s">
        <v>38</v>
      </c>
      <c r="C175" s="4" t="s">
        <v>627</v>
      </c>
      <c r="D175" s="45" t="s">
        <v>739</v>
      </c>
      <c r="E175" s="4" t="s">
        <v>740</v>
      </c>
      <c r="F175" s="22" t="s">
        <v>59</v>
      </c>
      <c r="G175" s="18" t="s">
        <v>89</v>
      </c>
      <c r="H175" s="21">
        <v>46052</v>
      </c>
      <c r="I175" s="5">
        <v>550000</v>
      </c>
      <c r="J175" s="56">
        <f t="shared" ref="J175" si="74">I175/1.1</f>
        <v>499999.99999999994</v>
      </c>
      <c r="K175" s="122"/>
      <c r="L175" s="68">
        <v>46051</v>
      </c>
      <c r="M175" s="26" t="s">
        <v>95</v>
      </c>
      <c r="N175" s="55" t="s">
        <v>97</v>
      </c>
      <c r="O175" s="57">
        <v>0.5</v>
      </c>
      <c r="P175" s="56">
        <f t="shared" ref="P175" si="75">J175*O175</f>
        <v>249999.99999999997</v>
      </c>
      <c r="Q175" s="71"/>
      <c r="R175" s="56">
        <f t="shared" ref="R175" si="76">J175-P175</f>
        <v>249999.99999999997</v>
      </c>
      <c r="S175" s="18" t="s">
        <v>1045</v>
      </c>
    </row>
    <row r="176" spans="1:20" ht="15" customHeight="1">
      <c r="A176" s="16">
        <v>46051</v>
      </c>
      <c r="B176" s="96" t="s">
        <v>38</v>
      </c>
      <c r="C176" s="4" t="s">
        <v>633</v>
      </c>
      <c r="D176" s="45" t="s">
        <v>630</v>
      </c>
      <c r="E176" s="4" t="s">
        <v>1127</v>
      </c>
      <c r="F176" s="22" t="s">
        <v>59</v>
      </c>
      <c r="G176" s="18" t="s">
        <v>89</v>
      </c>
      <c r="H176" s="21">
        <v>46052</v>
      </c>
      <c r="I176" s="5">
        <v>440000</v>
      </c>
      <c r="J176" s="56">
        <f t="shared" ref="J176" si="77">I176/1.1</f>
        <v>399999.99999999994</v>
      </c>
      <c r="K176" s="122"/>
      <c r="L176" s="68">
        <v>46051</v>
      </c>
      <c r="M176" s="26" t="s">
        <v>43</v>
      </c>
      <c r="N176" s="55" t="s">
        <v>97</v>
      </c>
      <c r="O176" s="57">
        <v>0.5</v>
      </c>
      <c r="P176" s="56">
        <f t="shared" ref="P176" si="78">J176*O176</f>
        <v>199999.99999999997</v>
      </c>
      <c r="Q176" s="71"/>
      <c r="R176" s="56">
        <f t="shared" ref="R176" si="79">J176-P176</f>
        <v>199999.99999999997</v>
      </c>
      <c r="S176" s="18" t="s">
        <v>1128</v>
      </c>
    </row>
    <row r="177" spans="1:20" ht="15" customHeight="1">
      <c r="A177" s="16">
        <v>46051</v>
      </c>
      <c r="B177" s="96" t="s">
        <v>49</v>
      </c>
      <c r="C177" s="4" t="s">
        <v>632</v>
      </c>
      <c r="D177" s="22" t="s">
        <v>631</v>
      </c>
      <c r="F177" s="22" t="s">
        <v>59</v>
      </c>
      <c r="G177" s="18" t="s">
        <v>89</v>
      </c>
      <c r="I177" s="5">
        <v>550000</v>
      </c>
      <c r="J177" s="56">
        <f t="shared" ref="J177" si="80">I177/1.1</f>
        <v>499999.99999999994</v>
      </c>
      <c r="K177" s="122"/>
      <c r="L177" s="68">
        <v>46051</v>
      </c>
      <c r="M177" s="26" t="s">
        <v>880</v>
      </c>
      <c r="N177" s="55" t="s">
        <v>97</v>
      </c>
      <c r="O177" s="57">
        <v>0.5</v>
      </c>
      <c r="P177" s="56">
        <f t="shared" ref="P177" si="81">J177*O177</f>
        <v>249999.99999999997</v>
      </c>
      <c r="Q177" s="71"/>
      <c r="R177" s="56">
        <f t="shared" ref="R177" si="82">J177-P177</f>
        <v>249999.99999999997</v>
      </c>
      <c r="S177" s="18" t="s">
        <v>882</v>
      </c>
    </row>
    <row r="178" spans="1:20" s="32" customFormat="1" ht="15" customHeight="1">
      <c r="A178" s="16">
        <v>46052</v>
      </c>
      <c r="B178" s="92" t="s">
        <v>50</v>
      </c>
      <c r="C178" s="18" t="s">
        <v>54</v>
      </c>
      <c r="D178" s="55" t="s">
        <v>634</v>
      </c>
      <c r="E178" s="4"/>
      <c r="F178" s="55" t="s">
        <v>17</v>
      </c>
      <c r="G178" s="18" t="s">
        <v>18</v>
      </c>
      <c r="H178" s="21"/>
      <c r="I178" s="5">
        <v>1100000</v>
      </c>
      <c r="J178" s="56">
        <f>I178/1.1</f>
        <v>999999.99999999988</v>
      </c>
      <c r="K178" s="108">
        <v>46049</v>
      </c>
      <c r="L178" s="68">
        <v>46052</v>
      </c>
      <c r="M178" s="26" t="s">
        <v>21</v>
      </c>
      <c r="N178" s="55" t="s">
        <v>22</v>
      </c>
      <c r="O178" s="57">
        <v>0.5</v>
      </c>
      <c r="P178" s="56">
        <f>J178*O178</f>
        <v>499999.99999999994</v>
      </c>
      <c r="Q178" s="71"/>
      <c r="R178" s="56">
        <f>J178-P178</f>
        <v>499999.99999999994</v>
      </c>
      <c r="S178" s="18" t="s">
        <v>106</v>
      </c>
    </row>
    <row r="179" spans="1:20" ht="15" customHeight="1">
      <c r="A179" s="16">
        <v>46052</v>
      </c>
      <c r="B179" s="96" t="s">
        <v>635</v>
      </c>
      <c r="C179" s="4" t="s">
        <v>636</v>
      </c>
      <c r="D179" s="45" t="s">
        <v>637</v>
      </c>
      <c r="E179" s="4" t="s">
        <v>1129</v>
      </c>
      <c r="F179" s="22" t="s">
        <v>59</v>
      </c>
      <c r="G179" s="18" t="s">
        <v>89</v>
      </c>
      <c r="H179" s="21">
        <v>46052</v>
      </c>
      <c r="I179" s="5">
        <v>550000</v>
      </c>
      <c r="J179" s="56">
        <f t="shared" ref="J179:J180" si="83">I179/1.1</f>
        <v>499999.99999999994</v>
      </c>
      <c r="K179" s="122"/>
      <c r="L179" s="68">
        <v>46052</v>
      </c>
      <c r="M179" s="26" t="s">
        <v>699</v>
      </c>
      <c r="N179" s="55" t="s">
        <v>97</v>
      </c>
      <c r="O179" s="57">
        <v>0.5</v>
      </c>
      <c r="P179" s="56">
        <f t="shared" ref="P179:P180" si="84">J179*O179</f>
        <v>249999.99999999997</v>
      </c>
      <c r="Q179" s="71"/>
      <c r="R179" s="56">
        <f t="shared" ref="R179:R180" si="85">J179-P179</f>
        <v>249999.99999999997</v>
      </c>
      <c r="S179" s="18" t="s">
        <v>958</v>
      </c>
    </row>
    <row r="180" spans="1:20" s="32" customFormat="1" ht="15" customHeight="1">
      <c r="A180" s="16">
        <v>46052</v>
      </c>
      <c r="B180" s="96" t="s">
        <v>50</v>
      </c>
      <c r="C180" s="55" t="s">
        <v>638</v>
      </c>
      <c r="D180" s="55" t="s">
        <v>639</v>
      </c>
      <c r="E180" s="4"/>
      <c r="F180" s="55" t="s">
        <v>17</v>
      </c>
      <c r="G180" s="22" t="s">
        <v>77</v>
      </c>
      <c r="H180" s="21"/>
      <c r="I180" s="5">
        <v>3300000</v>
      </c>
      <c r="J180" s="56">
        <f t="shared" si="83"/>
        <v>2999999.9999999995</v>
      </c>
      <c r="K180" s="108"/>
      <c r="L180" s="68">
        <v>46052</v>
      </c>
      <c r="M180" s="26" t="s">
        <v>43</v>
      </c>
      <c r="N180" s="18" t="s">
        <v>19</v>
      </c>
      <c r="O180" s="31">
        <v>0.5</v>
      </c>
      <c r="P180" s="25">
        <f t="shared" si="84"/>
        <v>1499999.9999999998</v>
      </c>
      <c r="Q180" s="71"/>
      <c r="R180" s="25">
        <f t="shared" si="85"/>
        <v>1499999.9999999998</v>
      </c>
      <c r="S180" s="18" t="s">
        <v>959</v>
      </c>
    </row>
    <row r="181" spans="1:20" ht="15" customHeight="1">
      <c r="A181" s="16">
        <v>46052</v>
      </c>
      <c r="B181" s="43" t="s">
        <v>50</v>
      </c>
      <c r="C181" s="22" t="s">
        <v>82</v>
      </c>
      <c r="D181" s="22" t="s">
        <v>515</v>
      </c>
      <c r="F181" s="22" t="s">
        <v>59</v>
      </c>
      <c r="G181" s="22" t="s">
        <v>98</v>
      </c>
      <c r="I181" s="5">
        <v>110000</v>
      </c>
      <c r="J181" s="56">
        <f>I181/1.1</f>
        <v>99999.999999999985</v>
      </c>
      <c r="K181" s="124">
        <v>46045</v>
      </c>
      <c r="L181" s="68">
        <v>46052</v>
      </c>
      <c r="M181" s="26" t="s">
        <v>101</v>
      </c>
      <c r="N181" s="55" t="s">
        <v>118</v>
      </c>
      <c r="O181" s="57">
        <v>0.5</v>
      </c>
      <c r="P181" s="56">
        <f>J181*O181</f>
        <v>49999.999999999993</v>
      </c>
      <c r="Q181" s="71"/>
      <c r="R181" s="56">
        <f>J181-P181</f>
        <v>49999.999999999993</v>
      </c>
      <c r="S181" s="18" t="s">
        <v>960</v>
      </c>
    </row>
    <row r="182" spans="1:20" ht="15" customHeight="1">
      <c r="A182" s="16">
        <v>46052</v>
      </c>
      <c r="B182" s="96" t="s">
        <v>38</v>
      </c>
      <c r="C182" s="22" t="s">
        <v>142</v>
      </c>
      <c r="D182" s="22" t="s">
        <v>539</v>
      </c>
      <c r="F182" s="22" t="s">
        <v>59</v>
      </c>
      <c r="G182" s="22" t="s">
        <v>98</v>
      </c>
      <c r="I182" s="5">
        <v>220000</v>
      </c>
      <c r="J182" s="56">
        <f>I182/1.1</f>
        <v>199999.99999999997</v>
      </c>
      <c r="K182" s="124">
        <v>46046</v>
      </c>
      <c r="L182" s="68">
        <v>46052</v>
      </c>
      <c r="M182" s="26" t="s">
        <v>101</v>
      </c>
      <c r="N182" s="55" t="s">
        <v>100</v>
      </c>
      <c r="O182" s="57">
        <v>0.5</v>
      </c>
      <c r="P182" s="56">
        <f>J182*O182</f>
        <v>99999.999999999985</v>
      </c>
      <c r="Q182" s="71"/>
      <c r="R182" s="56">
        <f>J182-P182</f>
        <v>99999.999999999985</v>
      </c>
      <c r="S182" s="18" t="s">
        <v>933</v>
      </c>
    </row>
    <row r="183" spans="1:20" ht="15" customHeight="1">
      <c r="A183" s="16">
        <v>46052</v>
      </c>
      <c r="B183" s="43" t="s">
        <v>49</v>
      </c>
      <c r="C183" s="22" t="s">
        <v>540</v>
      </c>
      <c r="D183" s="22" t="s">
        <v>541</v>
      </c>
      <c r="F183" s="22" t="s">
        <v>59</v>
      </c>
      <c r="G183" s="22" t="s">
        <v>98</v>
      </c>
      <c r="I183" s="5">
        <v>110000</v>
      </c>
      <c r="J183" s="56">
        <f t="shared" ref="J183" si="86">I183/1.1</f>
        <v>99999.999999999985</v>
      </c>
      <c r="K183" s="124">
        <v>46047</v>
      </c>
      <c r="L183" s="68">
        <v>46052</v>
      </c>
      <c r="M183" s="26" t="s">
        <v>101</v>
      </c>
      <c r="N183" s="55" t="s">
        <v>100</v>
      </c>
      <c r="O183" s="57">
        <v>0.5</v>
      </c>
      <c r="P183" s="56">
        <f t="shared" ref="P183" si="87">J183*O183</f>
        <v>49999.999999999993</v>
      </c>
      <c r="Q183" s="26"/>
      <c r="R183" s="56">
        <f t="shared" ref="R183" si="88">J183-P183</f>
        <v>49999.999999999993</v>
      </c>
      <c r="S183" s="18" t="s">
        <v>112</v>
      </c>
    </row>
    <row r="184" spans="1:20" ht="15" customHeight="1">
      <c r="A184" s="16">
        <v>46052</v>
      </c>
      <c r="B184" s="96" t="s">
        <v>38</v>
      </c>
      <c r="C184" s="22" t="s">
        <v>142</v>
      </c>
      <c r="D184" s="22" t="s">
        <v>542</v>
      </c>
      <c r="F184" s="22" t="s">
        <v>59</v>
      </c>
      <c r="G184" s="22" t="s">
        <v>98</v>
      </c>
      <c r="I184" s="5">
        <v>220000</v>
      </c>
      <c r="J184" s="56">
        <f t="shared" ref="J184:J185" si="89">I184/1.1</f>
        <v>199999.99999999997</v>
      </c>
      <c r="K184" s="124">
        <v>46047</v>
      </c>
      <c r="L184" s="68">
        <v>46052</v>
      </c>
      <c r="M184" s="26" t="s">
        <v>101</v>
      </c>
      <c r="N184" s="55" t="s">
        <v>100</v>
      </c>
      <c r="O184" s="57">
        <v>0.5</v>
      </c>
      <c r="P184" s="56">
        <f t="shared" ref="P184:P185" si="90">J184*O184</f>
        <v>99999.999999999985</v>
      </c>
      <c r="Q184" s="26"/>
      <c r="R184" s="56">
        <f t="shared" ref="R184:R185" si="91">J184-P184</f>
        <v>99999.999999999985</v>
      </c>
      <c r="S184" s="18" t="s">
        <v>956</v>
      </c>
    </row>
    <row r="185" spans="1:20" s="32" customFormat="1" ht="15" customHeight="1">
      <c r="A185" s="16">
        <v>46052</v>
      </c>
      <c r="B185" s="96" t="s">
        <v>49</v>
      </c>
      <c r="C185" s="4" t="s">
        <v>74</v>
      </c>
      <c r="D185" s="55" t="s">
        <v>480</v>
      </c>
      <c r="E185" s="4"/>
      <c r="F185" s="55" t="s">
        <v>17</v>
      </c>
      <c r="G185" s="22" t="s">
        <v>77</v>
      </c>
      <c r="H185" s="4"/>
      <c r="I185" s="5">
        <v>2620000</v>
      </c>
      <c r="J185" s="56">
        <f t="shared" si="89"/>
        <v>2381818.1818181816</v>
      </c>
      <c r="K185" s="108"/>
      <c r="L185" s="68">
        <v>46052</v>
      </c>
      <c r="M185" s="26" t="s">
        <v>42</v>
      </c>
      <c r="N185" s="18" t="s">
        <v>19</v>
      </c>
      <c r="O185" s="31">
        <v>0.5</v>
      </c>
      <c r="P185" s="25">
        <f t="shared" si="90"/>
        <v>1190909.0909090908</v>
      </c>
      <c r="Q185" s="71"/>
      <c r="R185" s="25">
        <f t="shared" si="91"/>
        <v>1190909.0909090908</v>
      </c>
      <c r="S185" s="18" t="s">
        <v>961</v>
      </c>
    </row>
    <row r="186" spans="1:20" s="32" customFormat="1" ht="15" customHeight="1">
      <c r="A186" s="16">
        <v>46052</v>
      </c>
      <c r="B186" s="96" t="s">
        <v>38</v>
      </c>
      <c r="C186" s="55" t="s">
        <v>39</v>
      </c>
      <c r="D186" s="55" t="s">
        <v>314</v>
      </c>
      <c r="E186" s="4"/>
      <c r="F186" s="55" t="s">
        <v>17</v>
      </c>
      <c r="G186" s="22" t="s">
        <v>77</v>
      </c>
      <c r="H186" s="4"/>
      <c r="I186" s="5">
        <v>2200000</v>
      </c>
      <c r="J186" s="56">
        <f t="shared" ref="J186:J187" si="92">I186/1.1</f>
        <v>1999999.9999999998</v>
      </c>
      <c r="K186" s="108"/>
      <c r="L186" s="68">
        <v>46052</v>
      </c>
      <c r="M186" s="26" t="s">
        <v>42</v>
      </c>
      <c r="N186" s="74" t="s">
        <v>19</v>
      </c>
      <c r="O186" s="80">
        <v>0.5</v>
      </c>
      <c r="P186" s="76">
        <f t="shared" ref="P186:P189" si="93">J186*O186</f>
        <v>999999.99999999988</v>
      </c>
      <c r="Q186" s="71"/>
      <c r="R186" s="76">
        <f t="shared" ref="R186:R189" si="94">J186-P186</f>
        <v>999999.99999999988</v>
      </c>
      <c r="S186" s="18" t="s">
        <v>962</v>
      </c>
    </row>
    <row r="187" spans="1:20" ht="15" customHeight="1">
      <c r="A187" s="16">
        <v>46052</v>
      </c>
      <c r="B187" s="96" t="s">
        <v>50</v>
      </c>
      <c r="C187" s="4" t="s">
        <v>643</v>
      </c>
      <c r="D187" s="22" t="s">
        <v>644</v>
      </c>
      <c r="F187" s="22" t="s">
        <v>59</v>
      </c>
      <c r="G187" s="18" t="s">
        <v>89</v>
      </c>
      <c r="I187" s="5">
        <v>2200000</v>
      </c>
      <c r="J187" s="56">
        <f t="shared" si="92"/>
        <v>1999999.9999999998</v>
      </c>
      <c r="K187" s="122"/>
      <c r="L187" s="68">
        <v>46052</v>
      </c>
      <c r="M187" s="26" t="s">
        <v>793</v>
      </c>
      <c r="N187" s="18" t="s">
        <v>19</v>
      </c>
      <c r="O187" s="31">
        <v>0.5</v>
      </c>
      <c r="P187" s="25">
        <f t="shared" si="93"/>
        <v>999999.99999999988</v>
      </c>
      <c r="Q187" s="71"/>
      <c r="R187" s="25">
        <f t="shared" si="94"/>
        <v>999999.99999999988</v>
      </c>
      <c r="S187" s="18" t="s">
        <v>963</v>
      </c>
    </row>
    <row r="188" spans="1:20" ht="15" customHeight="1">
      <c r="A188" s="16">
        <v>46052</v>
      </c>
      <c r="B188" s="96" t="s">
        <v>659</v>
      </c>
      <c r="C188" s="4" t="s">
        <v>660</v>
      </c>
      <c r="D188" s="22" t="s">
        <v>658</v>
      </c>
      <c r="E188" s="4" t="s">
        <v>827</v>
      </c>
      <c r="F188" s="22" t="s">
        <v>59</v>
      </c>
      <c r="G188" s="18" t="s">
        <v>89</v>
      </c>
      <c r="H188" s="21">
        <v>46052</v>
      </c>
      <c r="I188" s="5">
        <v>550000</v>
      </c>
      <c r="J188" s="56">
        <f t="shared" ref="J188:J189" si="95">I188/1.1</f>
        <v>499999.99999999994</v>
      </c>
      <c r="K188" s="122"/>
      <c r="L188" s="68">
        <v>46052</v>
      </c>
      <c r="M188" s="26" t="s">
        <v>43</v>
      </c>
      <c r="N188" s="18" t="s">
        <v>19</v>
      </c>
      <c r="O188" s="31">
        <v>0.5</v>
      </c>
      <c r="P188" s="25">
        <f t="shared" si="93"/>
        <v>249999.99999999997</v>
      </c>
      <c r="Q188" s="71"/>
      <c r="R188" s="25">
        <f t="shared" si="94"/>
        <v>249999.99999999997</v>
      </c>
      <c r="S188" s="18" t="s">
        <v>964</v>
      </c>
    </row>
    <row r="189" spans="1:20" ht="15" customHeight="1">
      <c r="A189" s="16">
        <v>46052</v>
      </c>
      <c r="B189" s="96" t="s">
        <v>659</v>
      </c>
      <c r="C189" s="4" t="s">
        <v>664</v>
      </c>
      <c r="D189" s="22" t="s">
        <v>666</v>
      </c>
      <c r="E189" s="4" t="s">
        <v>828</v>
      </c>
      <c r="F189" s="22" t="s">
        <v>59</v>
      </c>
      <c r="G189" s="18" t="s">
        <v>152</v>
      </c>
      <c r="I189" s="5">
        <v>550000</v>
      </c>
      <c r="J189" s="56">
        <f t="shared" si="95"/>
        <v>499999.99999999994</v>
      </c>
      <c r="K189" s="122"/>
      <c r="L189" s="68">
        <v>46052</v>
      </c>
      <c r="M189" s="26" t="s">
        <v>830</v>
      </c>
      <c r="N189" s="18" t="s">
        <v>19</v>
      </c>
      <c r="O189" s="31">
        <v>0.5</v>
      </c>
      <c r="P189" s="25">
        <f t="shared" si="93"/>
        <v>249999.99999999997</v>
      </c>
      <c r="Q189" s="71"/>
      <c r="R189" s="25">
        <f t="shared" si="94"/>
        <v>249999.99999999997</v>
      </c>
      <c r="S189" s="18" t="s">
        <v>965</v>
      </c>
    </row>
    <row r="190" spans="1:20" ht="15" customHeight="1">
      <c r="A190" s="16">
        <v>46052</v>
      </c>
      <c r="B190" s="96" t="s">
        <v>661</v>
      </c>
      <c r="C190" s="4" t="s">
        <v>662</v>
      </c>
      <c r="D190" s="4" t="s">
        <v>829</v>
      </c>
      <c r="F190" s="22" t="s">
        <v>59</v>
      </c>
      <c r="G190" s="18" t="s">
        <v>89</v>
      </c>
      <c r="I190" s="5">
        <v>1100000</v>
      </c>
      <c r="J190" s="56">
        <f t="shared" ref="J190" si="96">I190/1.1</f>
        <v>999999.99999999988</v>
      </c>
      <c r="K190" s="122"/>
      <c r="L190" s="68">
        <v>46052</v>
      </c>
      <c r="M190" s="26" t="s">
        <v>42</v>
      </c>
      <c r="N190" s="18" t="s">
        <v>19</v>
      </c>
      <c r="O190" s="31">
        <v>0.5</v>
      </c>
      <c r="P190" s="25">
        <f t="shared" ref="P190" si="97">J190*O190</f>
        <v>499999.99999999994</v>
      </c>
      <c r="Q190" s="71"/>
      <c r="R190" s="25">
        <f t="shared" ref="R190" si="98">J190-P190</f>
        <v>499999.99999999994</v>
      </c>
      <c r="S190" s="18" t="s">
        <v>966</v>
      </c>
    </row>
    <row r="191" spans="1:20" ht="15" customHeight="1">
      <c r="A191" s="16">
        <v>46053</v>
      </c>
      <c r="B191" s="96" t="s">
        <v>49</v>
      </c>
      <c r="C191" s="4" t="s">
        <v>663</v>
      </c>
      <c r="D191" s="22" t="s">
        <v>883</v>
      </c>
      <c r="F191" s="22" t="s">
        <v>59</v>
      </c>
      <c r="G191" s="18" t="s">
        <v>89</v>
      </c>
      <c r="I191" s="5">
        <v>1100000</v>
      </c>
      <c r="J191" s="56">
        <f t="shared" ref="J191" si="99">I191/1.1</f>
        <v>999999.99999999988</v>
      </c>
      <c r="K191" s="122"/>
      <c r="L191" s="68">
        <v>46053</v>
      </c>
      <c r="M191" s="26" t="s">
        <v>42</v>
      </c>
      <c r="N191" s="55" t="s">
        <v>97</v>
      </c>
      <c r="O191" s="57">
        <v>0.5</v>
      </c>
      <c r="P191" s="56">
        <f t="shared" ref="P191" si="100">J191*O191</f>
        <v>499999.99999999994</v>
      </c>
      <c r="Q191" s="71"/>
      <c r="R191" s="56">
        <f t="shared" ref="R191" si="101">J191-P191</f>
        <v>499999.99999999994</v>
      </c>
      <c r="S191" s="18" t="s">
        <v>967</v>
      </c>
    </row>
    <row r="192" spans="1:20" ht="15" customHeight="1">
      <c r="A192" s="113">
        <v>46053</v>
      </c>
      <c r="B192" s="126" t="s">
        <v>38</v>
      </c>
      <c r="C192" s="27" t="s">
        <v>654</v>
      </c>
      <c r="D192" s="103" t="s">
        <v>652</v>
      </c>
      <c r="E192" s="29"/>
      <c r="F192" s="103" t="s">
        <v>59</v>
      </c>
      <c r="G192" s="102" t="s">
        <v>653</v>
      </c>
      <c r="H192" s="29"/>
      <c r="I192" s="28">
        <v>2200000</v>
      </c>
      <c r="J192" s="106">
        <f t="shared" ref="J192:J193" si="102">I192/1.1</f>
        <v>1999999.9999999998</v>
      </c>
      <c r="K192" s="127"/>
      <c r="L192" s="114">
        <v>46054</v>
      </c>
      <c r="M192" s="104" t="s">
        <v>687</v>
      </c>
      <c r="N192" s="102" t="s">
        <v>97</v>
      </c>
      <c r="O192" s="107">
        <v>0.5</v>
      </c>
      <c r="P192" s="106">
        <f t="shared" ref="P192:P193" si="103">J192*O192</f>
        <v>999999.99999999988</v>
      </c>
      <c r="Q192" s="104"/>
      <c r="R192" s="106">
        <f t="shared" ref="R192:R193" si="104">J192-P192</f>
        <v>999999.99999999988</v>
      </c>
      <c r="S192" s="102" t="s">
        <v>688</v>
      </c>
      <c r="T192" s="29"/>
    </row>
    <row r="193" spans="1:19" ht="15" customHeight="1">
      <c r="A193" s="16">
        <v>46054</v>
      </c>
      <c r="B193" s="96" t="s">
        <v>50</v>
      </c>
      <c r="C193" s="4" t="s">
        <v>665</v>
      </c>
      <c r="D193" s="22" t="s">
        <v>655</v>
      </c>
      <c r="F193" s="22" t="s">
        <v>59</v>
      </c>
      <c r="G193" s="18" t="s">
        <v>89</v>
      </c>
      <c r="I193" s="5">
        <v>1100000</v>
      </c>
      <c r="J193" s="56">
        <f t="shared" si="102"/>
        <v>999999.99999999988</v>
      </c>
      <c r="K193" s="122"/>
      <c r="L193" s="68">
        <v>46054</v>
      </c>
      <c r="M193" s="26" t="s">
        <v>92</v>
      </c>
      <c r="N193" s="18" t="s">
        <v>19</v>
      </c>
      <c r="O193" s="6">
        <v>0.5</v>
      </c>
      <c r="P193" s="56">
        <f t="shared" si="103"/>
        <v>499999.99999999994</v>
      </c>
      <c r="Q193" s="71"/>
      <c r="R193" s="5">
        <f t="shared" si="104"/>
        <v>499999.99999999994</v>
      </c>
      <c r="S193" s="18" t="s">
        <v>968</v>
      </c>
    </row>
    <row r="194" spans="1:19" s="23" customFormat="1" ht="15" customHeight="1">
      <c r="A194" s="19">
        <v>46055</v>
      </c>
      <c r="B194" s="70" t="s">
        <v>38</v>
      </c>
      <c r="C194" s="9" t="s">
        <v>693</v>
      </c>
      <c r="D194" s="30" t="s">
        <v>694</v>
      </c>
      <c r="F194" s="30" t="s">
        <v>59</v>
      </c>
      <c r="G194" s="30" t="s">
        <v>98</v>
      </c>
      <c r="I194" s="10">
        <v>110000</v>
      </c>
      <c r="J194" s="87">
        <v>99999.999999999985</v>
      </c>
      <c r="K194" s="109">
        <v>46055</v>
      </c>
      <c r="L194" s="58" t="s">
        <v>80</v>
      </c>
      <c r="M194" s="40" t="s">
        <v>101</v>
      </c>
      <c r="N194" s="86" t="s">
        <v>100</v>
      </c>
      <c r="O194" s="88">
        <v>0.5</v>
      </c>
      <c r="P194" s="87">
        <v>49999.999999999993</v>
      </c>
      <c r="Q194" s="71"/>
      <c r="R194" s="87">
        <v>49999.999999999993</v>
      </c>
      <c r="S194" s="20" t="s">
        <v>112</v>
      </c>
    </row>
    <row r="195" spans="1:19" ht="15" customHeight="1">
      <c r="A195" s="16">
        <v>46055</v>
      </c>
      <c r="B195" s="96" t="s">
        <v>50</v>
      </c>
      <c r="C195" s="4" t="s">
        <v>667</v>
      </c>
      <c r="D195" s="4" t="s">
        <v>831</v>
      </c>
      <c r="F195" s="22" t="s">
        <v>59</v>
      </c>
      <c r="G195" s="18" t="s">
        <v>89</v>
      </c>
      <c r="I195" s="5">
        <v>1100000</v>
      </c>
      <c r="J195" s="56">
        <f t="shared" ref="J195" si="105">I195/1.1</f>
        <v>999999.99999999988</v>
      </c>
      <c r="K195" s="122"/>
      <c r="L195" s="68">
        <v>46055</v>
      </c>
      <c r="M195" s="26" t="s">
        <v>832</v>
      </c>
      <c r="N195" s="18" t="s">
        <v>19</v>
      </c>
      <c r="O195" s="6">
        <v>0.5</v>
      </c>
      <c r="P195" s="56">
        <f t="shared" ref="P195" si="106">J195*O195</f>
        <v>499999.99999999994</v>
      </c>
      <c r="Q195" s="71"/>
      <c r="R195" s="5">
        <f t="shared" ref="R195" si="107">J195-P195</f>
        <v>499999.99999999994</v>
      </c>
      <c r="S195" s="18" t="s">
        <v>930</v>
      </c>
    </row>
    <row r="196" spans="1:19" ht="15" customHeight="1">
      <c r="A196" s="16">
        <v>46055</v>
      </c>
      <c r="B196" s="43" t="s">
        <v>543</v>
      </c>
      <c r="C196" s="22" t="s">
        <v>105</v>
      </c>
      <c r="D196" s="22" t="s">
        <v>544</v>
      </c>
      <c r="F196" s="22" t="s">
        <v>59</v>
      </c>
      <c r="G196" s="22" t="s">
        <v>98</v>
      </c>
      <c r="I196" s="5">
        <v>220000</v>
      </c>
      <c r="J196" s="56">
        <f t="shared" ref="J196" si="108">I196/1.1</f>
        <v>199999.99999999997</v>
      </c>
      <c r="K196" s="124">
        <v>46048</v>
      </c>
      <c r="L196" s="68">
        <v>46055</v>
      </c>
      <c r="M196" s="26" t="s">
        <v>101</v>
      </c>
      <c r="N196" s="55" t="s">
        <v>100</v>
      </c>
      <c r="O196" s="57">
        <v>0.5</v>
      </c>
      <c r="P196" s="56">
        <f t="shared" ref="P196" si="109">J196*O196</f>
        <v>99999.999999999985</v>
      </c>
      <c r="Q196" s="71"/>
      <c r="R196" s="56">
        <f t="shared" ref="R196" si="110">J196-P196</f>
        <v>99999.999999999985</v>
      </c>
      <c r="S196" s="18" t="s">
        <v>931</v>
      </c>
    </row>
    <row r="197" spans="1:19" s="32" customFormat="1" ht="15" customHeight="1">
      <c r="A197" s="16">
        <v>46055</v>
      </c>
      <c r="B197" s="92" t="s">
        <v>545</v>
      </c>
      <c r="C197" s="18" t="s">
        <v>546</v>
      </c>
      <c r="D197" s="55" t="s">
        <v>547</v>
      </c>
      <c r="E197" s="4"/>
      <c r="F197" s="55" t="s">
        <v>17</v>
      </c>
      <c r="G197" s="18" t="s">
        <v>18</v>
      </c>
      <c r="H197" s="21"/>
      <c r="I197" s="5">
        <v>550000</v>
      </c>
      <c r="J197" s="56">
        <f t="shared" ref="J197" si="111">I197/1.1</f>
        <v>499999.99999999994</v>
      </c>
      <c r="K197" s="108">
        <v>46048</v>
      </c>
      <c r="L197" s="68">
        <v>46055</v>
      </c>
      <c r="M197" s="26" t="s">
        <v>21</v>
      </c>
      <c r="N197" s="55" t="s">
        <v>22</v>
      </c>
      <c r="O197" s="57">
        <v>0.5</v>
      </c>
      <c r="P197" s="56">
        <f t="shared" ref="P197" si="112">J197*O197</f>
        <v>249999.99999999997</v>
      </c>
      <c r="Q197" s="26"/>
      <c r="R197" s="56">
        <f t="shared" ref="R197" si="113">J197-P197</f>
        <v>249999.99999999997</v>
      </c>
      <c r="S197" s="18" t="s">
        <v>932</v>
      </c>
    </row>
    <row r="198" spans="1:19" s="32" customFormat="1" ht="15" customHeight="1">
      <c r="A198" s="16">
        <v>46055</v>
      </c>
      <c r="B198" s="92" t="s">
        <v>38</v>
      </c>
      <c r="C198" s="18" t="s">
        <v>143</v>
      </c>
      <c r="D198" s="55" t="s">
        <v>549</v>
      </c>
      <c r="E198" s="4" t="s">
        <v>555</v>
      </c>
      <c r="F198" s="55" t="s">
        <v>17</v>
      </c>
      <c r="G198" s="18" t="s">
        <v>18</v>
      </c>
      <c r="H198" s="21">
        <v>46048</v>
      </c>
      <c r="I198" s="5">
        <v>550000</v>
      </c>
      <c r="J198" s="56">
        <f t="shared" ref="J198" si="114">I198/1.1</f>
        <v>499999.99999999994</v>
      </c>
      <c r="K198" s="108">
        <v>46048</v>
      </c>
      <c r="L198" s="68">
        <v>46055</v>
      </c>
      <c r="M198" s="26" t="s">
        <v>21</v>
      </c>
      <c r="N198" s="55" t="s">
        <v>22</v>
      </c>
      <c r="O198" s="57">
        <v>0.5</v>
      </c>
      <c r="P198" s="56">
        <f t="shared" ref="P198" si="115">J198*O198</f>
        <v>249999.99999999997</v>
      </c>
      <c r="Q198" s="26"/>
      <c r="R198" s="56">
        <f t="shared" ref="R198" si="116">J198-P198</f>
        <v>249999.99999999997</v>
      </c>
      <c r="S198" s="18" t="s">
        <v>933</v>
      </c>
    </row>
    <row r="199" spans="1:19" s="32" customFormat="1" ht="15" customHeight="1">
      <c r="A199" s="16">
        <v>46055</v>
      </c>
      <c r="B199" s="92" t="s">
        <v>52</v>
      </c>
      <c r="C199" s="18" t="s">
        <v>552</v>
      </c>
      <c r="D199" s="55" t="s">
        <v>553</v>
      </c>
      <c r="E199" s="4" t="s">
        <v>554</v>
      </c>
      <c r="F199" s="55" t="s">
        <v>17</v>
      </c>
      <c r="G199" s="18" t="s">
        <v>18</v>
      </c>
      <c r="H199" s="21">
        <v>46048</v>
      </c>
      <c r="I199" s="5">
        <v>550000</v>
      </c>
      <c r="J199" s="56">
        <f>I199/1.1</f>
        <v>499999.99999999994</v>
      </c>
      <c r="K199" s="108">
        <v>46048</v>
      </c>
      <c r="L199" s="68">
        <v>46055</v>
      </c>
      <c r="M199" s="26" t="s">
        <v>21</v>
      </c>
      <c r="N199" s="55" t="s">
        <v>22</v>
      </c>
      <c r="O199" s="57">
        <v>0.5</v>
      </c>
      <c r="P199" s="56">
        <f>J199*O199</f>
        <v>249999.99999999997</v>
      </c>
      <c r="Q199" s="26"/>
      <c r="R199" s="56">
        <f>J199-P199</f>
        <v>249999.99999999997</v>
      </c>
      <c r="S199" s="18" t="s">
        <v>931</v>
      </c>
    </row>
    <row r="200" spans="1:19" ht="15" customHeight="1">
      <c r="A200" s="16">
        <v>46055</v>
      </c>
      <c r="B200" s="96" t="s">
        <v>671</v>
      </c>
      <c r="C200" s="4" t="s">
        <v>67</v>
      </c>
      <c r="D200" s="18" t="s">
        <v>670</v>
      </c>
      <c r="E200" s="4"/>
      <c r="F200" s="4" t="s">
        <v>17</v>
      </c>
      <c r="G200" s="18" t="s">
        <v>24</v>
      </c>
      <c r="H200" s="21"/>
      <c r="I200" s="5">
        <v>110000</v>
      </c>
      <c r="J200" s="5">
        <f t="shared" ref="J200:J201" si="117">I200/1.1</f>
        <v>99999.999999999985</v>
      </c>
      <c r="L200" s="68">
        <v>46055</v>
      </c>
      <c r="M200" s="26" t="s">
        <v>46</v>
      </c>
      <c r="N200" s="74" t="s">
        <v>19</v>
      </c>
      <c r="O200" s="80">
        <v>0.5</v>
      </c>
      <c r="P200" s="56">
        <f t="shared" ref="P200:P205" si="118">J200*O200</f>
        <v>49999.999999999993</v>
      </c>
      <c r="Q200" s="71"/>
      <c r="R200" s="76">
        <f t="shared" ref="R200:R205" si="119">J200-P200</f>
        <v>49999.999999999993</v>
      </c>
      <c r="S200" s="18" t="s">
        <v>1046</v>
      </c>
    </row>
    <row r="201" spans="1:19" ht="15" customHeight="1">
      <c r="A201" s="16">
        <v>46055</v>
      </c>
      <c r="B201" s="96" t="s">
        <v>53</v>
      </c>
      <c r="C201" s="4" t="s">
        <v>678</v>
      </c>
      <c r="D201" s="4" t="s">
        <v>833</v>
      </c>
      <c r="F201" s="22" t="s">
        <v>59</v>
      </c>
      <c r="G201" s="18" t="s">
        <v>18</v>
      </c>
      <c r="I201" s="5">
        <v>2200000</v>
      </c>
      <c r="J201" s="56">
        <f t="shared" si="117"/>
        <v>1999999.9999999998</v>
      </c>
      <c r="K201" s="122"/>
      <c r="L201" s="68">
        <v>46055</v>
      </c>
      <c r="M201" s="26" t="s">
        <v>834</v>
      </c>
      <c r="N201" s="18" t="s">
        <v>19</v>
      </c>
      <c r="O201" s="6">
        <v>0.5</v>
      </c>
      <c r="P201" s="56">
        <f t="shared" si="118"/>
        <v>999999.99999999988</v>
      </c>
      <c r="Q201" s="71"/>
      <c r="R201" s="5">
        <f t="shared" si="119"/>
        <v>999999.99999999988</v>
      </c>
      <c r="S201" s="18" t="s">
        <v>686</v>
      </c>
    </row>
    <row r="202" spans="1:19" ht="15" customHeight="1">
      <c r="A202" s="16">
        <v>46055</v>
      </c>
      <c r="B202" s="96" t="s">
        <v>679</v>
      </c>
      <c r="C202" s="4" t="s">
        <v>680</v>
      </c>
      <c r="D202" s="18" t="s">
        <v>676</v>
      </c>
      <c r="E202" s="4" t="s">
        <v>835</v>
      </c>
      <c r="F202" s="4" t="s">
        <v>17</v>
      </c>
      <c r="G202" s="18" t="s">
        <v>24</v>
      </c>
      <c r="H202" s="21"/>
      <c r="I202" s="5">
        <v>110000</v>
      </c>
      <c r="J202" s="5">
        <f t="shared" ref="J202" si="120">I202/1.1</f>
        <v>99999.999999999985</v>
      </c>
      <c r="L202" s="68">
        <v>46055</v>
      </c>
      <c r="M202" s="26" t="s">
        <v>43</v>
      </c>
      <c r="N202" s="18" t="s">
        <v>19</v>
      </c>
      <c r="O202" s="6">
        <v>0.5</v>
      </c>
      <c r="P202" s="56">
        <f t="shared" si="118"/>
        <v>49999.999999999993</v>
      </c>
      <c r="Q202" s="71"/>
      <c r="R202" s="5">
        <f t="shared" si="119"/>
        <v>49999.999999999993</v>
      </c>
      <c r="S202" s="18" t="s">
        <v>838</v>
      </c>
    </row>
    <row r="203" spans="1:19" ht="15" customHeight="1">
      <c r="A203" s="16">
        <v>46055</v>
      </c>
      <c r="B203" s="96" t="s">
        <v>53</v>
      </c>
      <c r="C203" s="4" t="s">
        <v>680</v>
      </c>
      <c r="D203" s="18" t="s">
        <v>677</v>
      </c>
      <c r="E203" s="4" t="s">
        <v>836</v>
      </c>
      <c r="F203" s="4" t="s">
        <v>17</v>
      </c>
      <c r="G203" s="18" t="s">
        <v>24</v>
      </c>
      <c r="H203" s="21"/>
      <c r="I203" s="5">
        <v>110000</v>
      </c>
      <c r="J203" s="5">
        <f t="shared" ref="J203:J204" si="121">I203/1.1</f>
        <v>99999.999999999985</v>
      </c>
      <c r="L203" s="68">
        <v>46055</v>
      </c>
      <c r="M203" s="26" t="s">
        <v>43</v>
      </c>
      <c r="N203" s="18" t="s">
        <v>19</v>
      </c>
      <c r="O203" s="6">
        <v>0.5</v>
      </c>
      <c r="P203" s="56">
        <f t="shared" si="118"/>
        <v>49999.999999999993</v>
      </c>
      <c r="Q203" s="71"/>
      <c r="R203" s="5">
        <f t="shared" si="119"/>
        <v>49999.999999999993</v>
      </c>
      <c r="S203" s="18" t="s">
        <v>934</v>
      </c>
    </row>
    <row r="204" spans="1:19" ht="15" customHeight="1">
      <c r="A204" s="16">
        <v>46055</v>
      </c>
      <c r="B204" s="96" t="s">
        <v>53</v>
      </c>
      <c r="C204" s="4" t="s">
        <v>681</v>
      </c>
      <c r="D204" s="22" t="s">
        <v>682</v>
      </c>
      <c r="E204" s="4" t="s">
        <v>837</v>
      </c>
      <c r="F204" s="22" t="s">
        <v>59</v>
      </c>
      <c r="G204" s="18" t="s">
        <v>18</v>
      </c>
      <c r="H204" s="21">
        <v>46056</v>
      </c>
      <c r="I204" s="5">
        <v>550000</v>
      </c>
      <c r="J204" s="56">
        <f t="shared" si="121"/>
        <v>499999.99999999994</v>
      </c>
      <c r="K204" s="122"/>
      <c r="L204" s="68">
        <v>46055</v>
      </c>
      <c r="M204" s="26" t="s">
        <v>42</v>
      </c>
      <c r="N204" s="18" t="s">
        <v>19</v>
      </c>
      <c r="O204" s="6">
        <v>0.5</v>
      </c>
      <c r="P204" s="56">
        <f t="shared" si="118"/>
        <v>249999.99999999997</v>
      </c>
      <c r="Q204" s="71"/>
      <c r="R204" s="5">
        <f t="shared" si="119"/>
        <v>249999.99999999997</v>
      </c>
      <c r="S204" s="18" t="s">
        <v>935</v>
      </c>
    </row>
    <row r="205" spans="1:19" ht="15" customHeight="1">
      <c r="A205" s="16">
        <v>46055</v>
      </c>
      <c r="B205" s="96" t="s">
        <v>53</v>
      </c>
      <c r="C205" s="4" t="s">
        <v>680</v>
      </c>
      <c r="D205" s="18" t="s">
        <v>677</v>
      </c>
      <c r="E205" s="4"/>
      <c r="F205" s="4" t="s">
        <v>17</v>
      </c>
      <c r="G205" s="18" t="s">
        <v>24</v>
      </c>
      <c r="H205" s="21"/>
      <c r="I205" s="5">
        <v>110000</v>
      </c>
      <c r="J205" s="5">
        <f t="shared" ref="J205:J206" si="122">I205/1.1</f>
        <v>99999.999999999985</v>
      </c>
      <c r="L205" s="68">
        <v>46055</v>
      </c>
      <c r="M205" s="26" t="s">
        <v>899</v>
      </c>
      <c r="N205" s="18" t="s">
        <v>19</v>
      </c>
      <c r="O205" s="31">
        <v>0.5</v>
      </c>
      <c r="P205" s="56">
        <f t="shared" si="118"/>
        <v>49999.999999999993</v>
      </c>
      <c r="Q205" s="71"/>
      <c r="R205" s="25">
        <f t="shared" si="119"/>
        <v>49999.999999999993</v>
      </c>
      <c r="S205" s="18" t="s">
        <v>936</v>
      </c>
    </row>
    <row r="206" spans="1:19" ht="15" customHeight="1">
      <c r="A206" s="16">
        <v>46055</v>
      </c>
      <c r="B206" s="96" t="s">
        <v>38</v>
      </c>
      <c r="C206" s="4" t="s">
        <v>683</v>
      </c>
      <c r="D206" s="45" t="s">
        <v>684</v>
      </c>
      <c r="F206" s="22" t="s">
        <v>59</v>
      </c>
      <c r="G206" s="18" t="s">
        <v>18</v>
      </c>
      <c r="H206" s="21"/>
      <c r="I206" s="5">
        <v>1100000</v>
      </c>
      <c r="J206" s="56">
        <f t="shared" si="122"/>
        <v>999999.99999999988</v>
      </c>
      <c r="K206" s="122"/>
      <c r="L206" s="68">
        <v>46055</v>
      </c>
      <c r="M206" s="26" t="s">
        <v>685</v>
      </c>
      <c r="N206" s="55" t="s">
        <v>97</v>
      </c>
      <c r="O206" s="57">
        <v>0.5</v>
      </c>
      <c r="P206" s="56">
        <f t="shared" ref="P206:P207" si="123">J206*O206</f>
        <v>499999.99999999994</v>
      </c>
      <c r="Q206" s="71"/>
      <c r="R206" s="56">
        <f t="shared" ref="R206:R207" si="124">J206-P206</f>
        <v>499999.99999999994</v>
      </c>
      <c r="S206" s="18" t="s">
        <v>937</v>
      </c>
    </row>
    <row r="207" spans="1:19" ht="15" customHeight="1">
      <c r="A207" s="16">
        <v>46055</v>
      </c>
      <c r="B207" s="96" t="s">
        <v>690</v>
      </c>
      <c r="C207" s="4" t="s">
        <v>72</v>
      </c>
      <c r="D207" s="22" t="s">
        <v>689</v>
      </c>
      <c r="E207" s="4" t="s">
        <v>839</v>
      </c>
      <c r="F207" s="22" t="s">
        <v>59</v>
      </c>
      <c r="G207" s="18" t="s">
        <v>18</v>
      </c>
      <c r="H207" s="21">
        <v>46055</v>
      </c>
      <c r="I207" s="5">
        <v>1100000</v>
      </c>
      <c r="J207" s="56">
        <f t="shared" ref="J207:J209" si="125">I207/1.1</f>
        <v>999999.99999999988</v>
      </c>
      <c r="K207" s="122"/>
      <c r="L207" s="68">
        <v>46055</v>
      </c>
      <c r="M207" s="26" t="s">
        <v>1106</v>
      </c>
      <c r="N207" s="4" t="s">
        <v>19</v>
      </c>
      <c r="O207" s="6">
        <v>0.5</v>
      </c>
      <c r="P207" s="5">
        <f t="shared" si="123"/>
        <v>499999.99999999994</v>
      </c>
      <c r="Q207" s="14"/>
      <c r="R207" s="5">
        <f t="shared" si="124"/>
        <v>499999.99999999994</v>
      </c>
      <c r="S207" s="4" t="s">
        <v>1107</v>
      </c>
    </row>
    <row r="208" spans="1:19" ht="15" customHeight="1">
      <c r="A208" s="16">
        <v>46056</v>
      </c>
      <c r="B208" s="96" t="s">
        <v>661</v>
      </c>
      <c r="C208" s="4" t="s">
        <v>668</v>
      </c>
      <c r="D208" s="22" t="s">
        <v>669</v>
      </c>
      <c r="F208" s="22" t="s">
        <v>59</v>
      </c>
      <c r="G208" s="18" t="s">
        <v>89</v>
      </c>
      <c r="I208" s="5">
        <v>1100000</v>
      </c>
      <c r="J208" s="56">
        <f t="shared" si="125"/>
        <v>999999.99999999988</v>
      </c>
      <c r="K208" s="108">
        <v>46052</v>
      </c>
      <c r="L208" s="68">
        <v>46056</v>
      </c>
      <c r="M208" s="26" t="s">
        <v>101</v>
      </c>
      <c r="N208" s="55" t="s">
        <v>100</v>
      </c>
      <c r="O208" s="57">
        <v>0.5</v>
      </c>
      <c r="P208" s="56">
        <v>49999.999999999993</v>
      </c>
      <c r="Q208" s="71"/>
      <c r="R208" s="56">
        <v>49999.999999999993</v>
      </c>
      <c r="S208" s="18" t="s">
        <v>41</v>
      </c>
    </row>
    <row r="209" spans="1:19" ht="15" customHeight="1">
      <c r="A209" s="16">
        <v>46056</v>
      </c>
      <c r="B209" s="96" t="s">
        <v>696</v>
      </c>
      <c r="C209" s="4" t="s">
        <v>697</v>
      </c>
      <c r="D209" s="45" t="s">
        <v>698</v>
      </c>
      <c r="F209" s="22" t="s">
        <v>59</v>
      </c>
      <c r="G209" s="18" t="s">
        <v>18</v>
      </c>
      <c r="I209" s="5">
        <v>1100000</v>
      </c>
      <c r="J209" s="56">
        <f t="shared" si="125"/>
        <v>999999.99999999988</v>
      </c>
      <c r="K209" s="122"/>
      <c r="L209" s="68">
        <v>46056</v>
      </c>
      <c r="M209" s="26" t="s">
        <v>42</v>
      </c>
      <c r="N209" s="55" t="s">
        <v>97</v>
      </c>
      <c r="O209" s="57">
        <v>0.5</v>
      </c>
      <c r="P209" s="56">
        <f t="shared" ref="P209" si="126">J209*O209</f>
        <v>499999.99999999994</v>
      </c>
      <c r="Q209" s="71"/>
      <c r="R209" s="56">
        <f t="shared" ref="R209" si="127">J209-P209</f>
        <v>499999.99999999994</v>
      </c>
      <c r="S209" s="18" t="s">
        <v>938</v>
      </c>
    </row>
    <row r="210" spans="1:19" ht="15" customHeight="1">
      <c r="A210" s="16">
        <v>46056</v>
      </c>
      <c r="B210" s="43" t="s">
        <v>567</v>
      </c>
      <c r="C210" s="22" t="s">
        <v>568</v>
      </c>
      <c r="D210" s="22" t="s">
        <v>569</v>
      </c>
      <c r="F210" s="22" t="s">
        <v>59</v>
      </c>
      <c r="G210" s="22" t="s">
        <v>98</v>
      </c>
      <c r="I210" s="5">
        <v>110000</v>
      </c>
      <c r="J210" s="56">
        <f>I210/1.1</f>
        <v>99999.999999999985</v>
      </c>
      <c r="K210" s="124">
        <v>46049</v>
      </c>
      <c r="L210" s="68">
        <v>46056</v>
      </c>
      <c r="M210" s="26" t="s">
        <v>101</v>
      </c>
      <c r="N210" s="55" t="s">
        <v>100</v>
      </c>
      <c r="O210" s="57">
        <v>0.5</v>
      </c>
      <c r="P210" s="56">
        <f>J210*O210</f>
        <v>49999.999999999993</v>
      </c>
      <c r="Q210" s="71"/>
      <c r="R210" s="56">
        <f>J210-P210</f>
        <v>49999.999999999993</v>
      </c>
      <c r="S210" s="18" t="s">
        <v>112</v>
      </c>
    </row>
    <row r="211" spans="1:19" ht="15" customHeight="1">
      <c r="A211" s="16">
        <v>46056</v>
      </c>
      <c r="B211" s="43" t="s">
        <v>50</v>
      </c>
      <c r="C211" s="4" t="s">
        <v>704</v>
      </c>
      <c r="D211" s="18" t="s">
        <v>700</v>
      </c>
      <c r="E211" s="4"/>
      <c r="F211" s="4" t="s">
        <v>17</v>
      </c>
      <c r="G211" s="18" t="s">
        <v>24</v>
      </c>
      <c r="H211" s="21"/>
      <c r="I211" s="5">
        <v>110000</v>
      </c>
      <c r="J211" s="5">
        <f t="shared" ref="J211" si="128">I211/1.1</f>
        <v>99999.999999999985</v>
      </c>
      <c r="L211" s="68">
        <v>46056</v>
      </c>
      <c r="M211" s="26" t="s">
        <v>899</v>
      </c>
      <c r="N211" s="18" t="s">
        <v>19</v>
      </c>
      <c r="O211" s="31">
        <v>0.5</v>
      </c>
      <c r="P211" s="56">
        <f t="shared" ref="P211" si="129">J211*O211</f>
        <v>49999.999999999993</v>
      </c>
      <c r="Q211" s="71"/>
      <c r="R211" s="25">
        <f t="shared" ref="R211" si="130">J211-P211</f>
        <v>49999.999999999993</v>
      </c>
      <c r="S211" s="18" t="s">
        <v>900</v>
      </c>
    </row>
    <row r="212" spans="1:19" ht="15" customHeight="1">
      <c r="A212" s="16">
        <v>46056</v>
      </c>
      <c r="B212" s="43" t="s">
        <v>50</v>
      </c>
      <c r="C212" s="22" t="s">
        <v>51</v>
      </c>
      <c r="D212" s="22" t="s">
        <v>518</v>
      </c>
      <c r="F212" s="22" t="s">
        <v>59</v>
      </c>
      <c r="G212" s="18" t="s">
        <v>77</v>
      </c>
      <c r="I212" s="5">
        <v>10350000</v>
      </c>
      <c r="J212" s="56">
        <f>I212/1.1</f>
        <v>9409090.9090909082</v>
      </c>
      <c r="K212" s="122"/>
      <c r="L212" s="68">
        <v>46056</v>
      </c>
      <c r="M212" s="26" t="s">
        <v>840</v>
      </c>
      <c r="N212" s="18" t="s">
        <v>19</v>
      </c>
      <c r="O212" s="6">
        <v>0.5</v>
      </c>
      <c r="P212" s="56">
        <f t="shared" ref="P212:P213" si="131">J212*O212</f>
        <v>4704545.4545454541</v>
      </c>
      <c r="Q212" s="71"/>
      <c r="R212" s="5">
        <f t="shared" ref="R212:R213" si="132">J212-P212</f>
        <v>4704545.4545454541</v>
      </c>
      <c r="S212" s="18" t="s">
        <v>841</v>
      </c>
    </row>
    <row r="213" spans="1:19" ht="15" customHeight="1">
      <c r="A213" s="16">
        <v>46057</v>
      </c>
      <c r="B213" s="43" t="s">
        <v>50</v>
      </c>
      <c r="C213" s="22" t="s">
        <v>51</v>
      </c>
      <c r="D213" s="22" t="s">
        <v>518</v>
      </c>
      <c r="F213" s="22" t="s">
        <v>59</v>
      </c>
      <c r="G213" s="18" t="s">
        <v>703</v>
      </c>
      <c r="I213" s="5">
        <v>1650000</v>
      </c>
      <c r="J213" s="56">
        <f t="shared" ref="J213" si="133">I213/1.1</f>
        <v>1499999.9999999998</v>
      </c>
      <c r="K213" s="122"/>
      <c r="L213" s="68">
        <v>46057</v>
      </c>
      <c r="M213" s="26" t="s">
        <v>43</v>
      </c>
      <c r="N213" s="18" t="s">
        <v>19</v>
      </c>
      <c r="O213" s="6">
        <v>0.5</v>
      </c>
      <c r="P213" s="56">
        <f t="shared" si="131"/>
        <v>749999.99999999988</v>
      </c>
      <c r="Q213" s="71"/>
      <c r="R213" s="5">
        <f t="shared" si="132"/>
        <v>749999.99999999988</v>
      </c>
      <c r="S213" s="18" t="s">
        <v>841</v>
      </c>
    </row>
    <row r="214" spans="1:19" s="32" customFormat="1" ht="15" customHeight="1">
      <c r="A214" s="16">
        <v>46057</v>
      </c>
      <c r="B214" s="92" t="s">
        <v>38</v>
      </c>
      <c r="C214" s="18" t="s">
        <v>611</v>
      </c>
      <c r="D214" s="55" t="s">
        <v>612</v>
      </c>
      <c r="E214" s="4" t="s">
        <v>615</v>
      </c>
      <c r="F214" s="55" t="s">
        <v>17</v>
      </c>
      <c r="G214" s="18" t="s">
        <v>18</v>
      </c>
      <c r="H214" s="21">
        <v>46051</v>
      </c>
      <c r="I214" s="5">
        <v>550000</v>
      </c>
      <c r="J214" s="56">
        <v>499999.99999999994</v>
      </c>
      <c r="K214" s="108">
        <v>46050</v>
      </c>
      <c r="L214" s="68">
        <v>46057</v>
      </c>
      <c r="M214" s="26" t="s">
        <v>21</v>
      </c>
      <c r="N214" s="55" t="s">
        <v>22</v>
      </c>
      <c r="O214" s="57">
        <v>0.5</v>
      </c>
      <c r="P214" s="56">
        <v>249999.99999999997</v>
      </c>
      <c r="Q214" s="71"/>
      <c r="R214" s="56">
        <v>249999.99999999997</v>
      </c>
      <c r="S214" s="18" t="s">
        <v>939</v>
      </c>
    </row>
    <row r="215" spans="1:19" ht="15" customHeight="1">
      <c r="A215" s="16">
        <v>46057</v>
      </c>
      <c r="B215" s="43" t="s">
        <v>50</v>
      </c>
      <c r="C215" s="22" t="s">
        <v>614</v>
      </c>
      <c r="D215" s="22" t="s">
        <v>613</v>
      </c>
      <c r="F215" s="22" t="s">
        <v>59</v>
      </c>
      <c r="G215" s="22" t="s">
        <v>98</v>
      </c>
      <c r="I215" s="5">
        <v>110000</v>
      </c>
      <c r="J215" s="56">
        <v>99999.999999999985</v>
      </c>
      <c r="K215" s="108">
        <v>46050</v>
      </c>
      <c r="L215" s="68">
        <v>46057</v>
      </c>
      <c r="M215" s="26" t="s">
        <v>101</v>
      </c>
      <c r="N215" s="55" t="s">
        <v>100</v>
      </c>
      <c r="O215" s="57">
        <v>0.5</v>
      </c>
      <c r="P215" s="56">
        <v>49999.999999999993</v>
      </c>
      <c r="Q215" s="71"/>
      <c r="R215" s="56">
        <v>49999.999999999993</v>
      </c>
      <c r="S215" s="18" t="s">
        <v>112</v>
      </c>
    </row>
    <row r="216" spans="1:19" s="32" customFormat="1" ht="15" customHeight="1">
      <c r="A216" s="16">
        <v>46057</v>
      </c>
      <c r="B216" s="62" t="s">
        <v>50</v>
      </c>
      <c r="C216" s="4" t="s">
        <v>82</v>
      </c>
      <c r="D216" s="55" t="s">
        <v>167</v>
      </c>
      <c r="E216" s="4"/>
      <c r="F216" s="55" t="s">
        <v>17</v>
      </c>
      <c r="G216" s="18" t="s">
        <v>77</v>
      </c>
      <c r="H216" s="4"/>
      <c r="I216" s="5">
        <v>1200000</v>
      </c>
      <c r="J216" s="56">
        <f t="shared" ref="J216" si="134">I216/1.1</f>
        <v>1090909.0909090908</v>
      </c>
      <c r="K216" s="122"/>
      <c r="L216" s="68">
        <v>46057</v>
      </c>
      <c r="M216" s="26" t="s">
        <v>793</v>
      </c>
      <c r="N216" s="18" t="s">
        <v>19</v>
      </c>
      <c r="O216" s="6">
        <v>0.5</v>
      </c>
      <c r="P216" s="56">
        <f t="shared" ref="P216:P219" si="135">J216*O216</f>
        <v>545454.54545454541</v>
      </c>
      <c r="Q216" s="71"/>
      <c r="R216" s="5">
        <f t="shared" ref="R216:R219" si="136">J216-P216</f>
        <v>545454.54545454541</v>
      </c>
      <c r="S216" s="18" t="s">
        <v>940</v>
      </c>
    </row>
    <row r="217" spans="1:19" s="32" customFormat="1" ht="15" customHeight="1">
      <c r="A217" s="16">
        <v>46057</v>
      </c>
      <c r="B217" s="62" t="s">
        <v>50</v>
      </c>
      <c r="C217" s="4" t="s">
        <v>63</v>
      </c>
      <c r="D217" s="55" t="s">
        <v>148</v>
      </c>
      <c r="E217" s="4"/>
      <c r="F217" s="55" t="s">
        <v>17</v>
      </c>
      <c r="G217" s="18" t="s">
        <v>77</v>
      </c>
      <c r="H217" s="4"/>
      <c r="I217" s="5">
        <v>2200000</v>
      </c>
      <c r="J217" s="56">
        <f t="shared" ref="J217" si="137">I217/1.1</f>
        <v>1999999.9999999998</v>
      </c>
      <c r="K217" s="122"/>
      <c r="L217" s="68">
        <v>46057</v>
      </c>
      <c r="M217" s="26" t="s">
        <v>843</v>
      </c>
      <c r="N217" s="18" t="s">
        <v>19</v>
      </c>
      <c r="O217" s="6">
        <v>0.5</v>
      </c>
      <c r="P217" s="56">
        <f t="shared" si="135"/>
        <v>999999.99999999988</v>
      </c>
      <c r="Q217" s="71"/>
      <c r="R217" s="5">
        <f t="shared" si="136"/>
        <v>999999.99999999988</v>
      </c>
      <c r="S217" s="18" t="s">
        <v>941</v>
      </c>
    </row>
    <row r="218" spans="1:19" s="53" customFormat="1" ht="15" customHeight="1">
      <c r="A218" s="19">
        <v>46057</v>
      </c>
      <c r="B218" s="99" t="s">
        <v>50</v>
      </c>
      <c r="C218" s="9" t="s">
        <v>710</v>
      </c>
      <c r="D218" s="86" t="s">
        <v>695</v>
      </c>
      <c r="E218" s="9"/>
      <c r="F218" s="86" t="s">
        <v>17</v>
      </c>
      <c r="G218" s="20" t="s">
        <v>77</v>
      </c>
      <c r="H218" s="9"/>
      <c r="I218" s="10">
        <v>5100000</v>
      </c>
      <c r="J218" s="87">
        <f t="shared" ref="J218:J221" si="138">I218/1.1</f>
        <v>4636363.6363636358</v>
      </c>
      <c r="K218" s="128"/>
      <c r="L218" s="58">
        <v>46057</v>
      </c>
      <c r="M218" s="40" t="s">
        <v>43</v>
      </c>
      <c r="N218" s="20" t="s">
        <v>19</v>
      </c>
      <c r="O218" s="11">
        <v>0.5</v>
      </c>
      <c r="P218" s="87">
        <f t="shared" si="135"/>
        <v>2318181.8181818179</v>
      </c>
      <c r="Q218" s="72"/>
      <c r="R218" s="10">
        <f t="shared" si="136"/>
        <v>2318181.8181818179</v>
      </c>
      <c r="S218" s="20" t="s">
        <v>942</v>
      </c>
    </row>
    <row r="219" spans="1:19" ht="16.5" customHeight="1">
      <c r="A219" s="16">
        <v>46057</v>
      </c>
      <c r="B219" s="12" t="s">
        <v>50</v>
      </c>
      <c r="C219" s="4" t="s">
        <v>63</v>
      </c>
      <c r="D219" s="4" t="s">
        <v>133</v>
      </c>
      <c r="E219" s="4"/>
      <c r="F219" s="4" t="s">
        <v>17</v>
      </c>
      <c r="G219" s="18" t="s">
        <v>77</v>
      </c>
      <c r="H219" s="4"/>
      <c r="I219" s="5">
        <v>2200000</v>
      </c>
      <c r="J219" s="5">
        <f t="shared" si="138"/>
        <v>1999999.9999999998</v>
      </c>
      <c r="K219" s="84"/>
      <c r="L219" s="68">
        <v>46057</v>
      </c>
      <c r="M219" s="26" t="s">
        <v>844</v>
      </c>
      <c r="N219" s="18" t="s">
        <v>19</v>
      </c>
      <c r="O219" s="6">
        <v>0.5</v>
      </c>
      <c r="P219" s="56">
        <f t="shared" si="135"/>
        <v>999999.99999999988</v>
      </c>
      <c r="Q219" s="71"/>
      <c r="R219" s="5">
        <f t="shared" si="136"/>
        <v>999999.99999999988</v>
      </c>
      <c r="S219" s="18" t="s">
        <v>943</v>
      </c>
    </row>
    <row r="220" spans="1:19" s="23" customFormat="1" ht="15" customHeight="1">
      <c r="A220" s="58">
        <v>46058</v>
      </c>
      <c r="B220" s="8" t="s">
        <v>38</v>
      </c>
      <c r="C220" s="30" t="s">
        <v>123</v>
      </c>
      <c r="D220" s="39" t="s">
        <v>130</v>
      </c>
      <c r="E220" s="9" t="s">
        <v>131</v>
      </c>
      <c r="F220" s="9" t="s">
        <v>17</v>
      </c>
      <c r="G220" s="20" t="s">
        <v>18</v>
      </c>
      <c r="H220" s="7">
        <v>45792</v>
      </c>
      <c r="I220" s="10">
        <v>-550000</v>
      </c>
      <c r="J220" s="10">
        <f t="shared" si="138"/>
        <v>-499999.99999999994</v>
      </c>
      <c r="L220" s="19">
        <v>45792</v>
      </c>
      <c r="M220" s="40" t="s">
        <v>92</v>
      </c>
      <c r="N220" s="9" t="s">
        <v>19</v>
      </c>
      <c r="O220" s="11">
        <v>0.5</v>
      </c>
      <c r="P220" s="10">
        <f t="shared" ref="P220:P221" si="139">J220*O220</f>
        <v>-249999.99999999997</v>
      </c>
      <c r="Q220" s="71"/>
      <c r="R220" s="10">
        <f t="shared" ref="R220:R221" si="140">J220-P220</f>
        <v>-249999.99999999997</v>
      </c>
      <c r="S220" s="20" t="s">
        <v>713</v>
      </c>
    </row>
    <row r="221" spans="1:19" ht="15" customHeight="1">
      <c r="A221" s="16">
        <v>46058</v>
      </c>
      <c r="B221" s="96" t="s">
        <v>714</v>
      </c>
      <c r="C221" s="4" t="s">
        <v>715</v>
      </c>
      <c r="D221" s="22" t="s">
        <v>884</v>
      </c>
      <c r="F221" s="22" t="s">
        <v>59</v>
      </c>
      <c r="G221" s="18" t="s">
        <v>18</v>
      </c>
      <c r="I221" s="5">
        <v>550000</v>
      </c>
      <c r="J221" s="56">
        <f t="shared" si="138"/>
        <v>499999.99999999994</v>
      </c>
      <c r="K221" s="122"/>
      <c r="L221" s="68">
        <v>46058</v>
      </c>
      <c r="M221" s="26" t="s">
        <v>881</v>
      </c>
      <c r="N221" s="55" t="s">
        <v>97</v>
      </c>
      <c r="O221" s="57">
        <v>0.5</v>
      </c>
      <c r="P221" s="56">
        <f t="shared" si="139"/>
        <v>249999.99999999997</v>
      </c>
      <c r="Q221" s="71"/>
      <c r="R221" s="56">
        <f t="shared" si="140"/>
        <v>249999.99999999997</v>
      </c>
      <c r="S221" s="18" t="s">
        <v>922</v>
      </c>
    </row>
    <row r="222" spans="1:19" ht="15" customHeight="1">
      <c r="A222" s="16">
        <v>46058</v>
      </c>
      <c r="B222" s="43" t="s">
        <v>50</v>
      </c>
      <c r="C222" s="4" t="s">
        <v>69</v>
      </c>
      <c r="D222" s="22" t="s">
        <v>624</v>
      </c>
      <c r="F222" s="22" t="s">
        <v>59</v>
      </c>
      <c r="G222" s="18" t="s">
        <v>89</v>
      </c>
      <c r="I222" s="5">
        <v>550000</v>
      </c>
      <c r="J222" s="56">
        <v>99999.999999999985</v>
      </c>
      <c r="K222" s="108">
        <v>46051</v>
      </c>
      <c r="L222" s="68">
        <v>46058</v>
      </c>
      <c r="M222" s="26" t="s">
        <v>101</v>
      </c>
      <c r="N222" s="55" t="s">
        <v>100</v>
      </c>
      <c r="O222" s="57">
        <v>0.5</v>
      </c>
      <c r="P222" s="56">
        <v>49999.999999999993</v>
      </c>
      <c r="Q222" s="71"/>
      <c r="R222" s="56">
        <v>49999.999999999993</v>
      </c>
      <c r="S222" s="18" t="s">
        <v>923</v>
      </c>
    </row>
    <row r="223" spans="1:19" ht="15" customHeight="1">
      <c r="A223" s="16">
        <v>46058</v>
      </c>
      <c r="B223" s="96" t="s">
        <v>38</v>
      </c>
      <c r="C223" s="4" t="s">
        <v>633</v>
      </c>
      <c r="D223" s="22" t="s">
        <v>630</v>
      </c>
      <c r="E223" s="4" t="s">
        <v>675</v>
      </c>
      <c r="F223" s="22" t="s">
        <v>59</v>
      </c>
      <c r="G223" s="22" t="s">
        <v>98</v>
      </c>
      <c r="H223" s="21">
        <v>46052</v>
      </c>
      <c r="I223" s="5">
        <v>110000</v>
      </c>
      <c r="J223" s="56">
        <v>99999.999999999985</v>
      </c>
      <c r="K223" s="108">
        <v>46051</v>
      </c>
      <c r="L223" s="68">
        <v>46058</v>
      </c>
      <c r="M223" s="26" t="s">
        <v>916</v>
      </c>
      <c r="N223" s="55" t="s">
        <v>100</v>
      </c>
      <c r="O223" s="57">
        <v>0.5</v>
      </c>
      <c r="P223" s="56">
        <v>49999.999999999993</v>
      </c>
      <c r="Q223" s="26"/>
      <c r="R223" s="56">
        <v>49999.999999999993</v>
      </c>
      <c r="S223" s="18" t="s">
        <v>112</v>
      </c>
    </row>
    <row r="224" spans="1:19" ht="15" customHeight="1">
      <c r="A224" s="16">
        <v>46058</v>
      </c>
      <c r="B224" s="96" t="s">
        <v>718</v>
      </c>
      <c r="C224" s="4" t="s">
        <v>719</v>
      </c>
      <c r="D224" s="45" t="s">
        <v>720</v>
      </c>
      <c r="E224" s="4" t="s">
        <v>722</v>
      </c>
      <c r="F224" s="22" t="s">
        <v>59</v>
      </c>
      <c r="G224" s="18" t="s">
        <v>18</v>
      </c>
      <c r="H224" s="21">
        <v>46058</v>
      </c>
      <c r="I224" s="5">
        <v>2200000</v>
      </c>
      <c r="J224" s="56">
        <f t="shared" ref="J224" si="141">I224/1.1</f>
        <v>1999999.9999999998</v>
      </c>
      <c r="K224" s="122"/>
      <c r="L224" s="68">
        <v>46058</v>
      </c>
      <c r="M224" s="26" t="s">
        <v>917</v>
      </c>
      <c r="N224" s="55" t="s">
        <v>97</v>
      </c>
      <c r="O224" s="57">
        <v>0.5</v>
      </c>
      <c r="P224" s="56">
        <f t="shared" ref="P224" si="142">J224*O224</f>
        <v>999999.99999999988</v>
      </c>
      <c r="Q224" s="26"/>
      <c r="R224" s="56">
        <f t="shared" ref="R224" si="143">J224-P224</f>
        <v>999999.99999999988</v>
      </c>
      <c r="S224" s="18" t="s">
        <v>924</v>
      </c>
    </row>
    <row r="225" spans="1:19" ht="15" customHeight="1">
      <c r="A225" s="16">
        <v>46058</v>
      </c>
      <c r="B225" s="96" t="s">
        <v>38</v>
      </c>
      <c r="C225" s="4" t="s">
        <v>724</v>
      </c>
      <c r="D225" s="45" t="s">
        <v>725</v>
      </c>
      <c r="E225" s="4" t="s">
        <v>736</v>
      </c>
      <c r="F225" s="22" t="s">
        <v>59</v>
      </c>
      <c r="G225" s="18" t="s">
        <v>18</v>
      </c>
      <c r="H225" s="21">
        <v>46059</v>
      </c>
      <c r="I225" s="5">
        <v>550000</v>
      </c>
      <c r="J225" s="56">
        <f t="shared" ref="J225:J226" si="144">I225/1.1</f>
        <v>499999.99999999994</v>
      </c>
      <c r="K225" s="122"/>
      <c r="L225" s="68">
        <v>46058</v>
      </c>
      <c r="M225" s="26" t="s">
        <v>42</v>
      </c>
      <c r="N225" s="55" t="s">
        <v>918</v>
      </c>
      <c r="O225" s="57">
        <v>0.5</v>
      </c>
      <c r="P225" s="56">
        <f t="shared" ref="P225:P226" si="145">J225*O225</f>
        <v>249999.99999999997</v>
      </c>
      <c r="Q225" s="26"/>
      <c r="R225" s="56">
        <f t="shared" ref="R225:R226" si="146">J225-P225</f>
        <v>249999.99999999997</v>
      </c>
      <c r="S225" s="18" t="s">
        <v>108</v>
      </c>
    </row>
    <row r="226" spans="1:19" ht="15" customHeight="1">
      <c r="A226" s="16">
        <v>46059</v>
      </c>
      <c r="B226" s="96" t="s">
        <v>38</v>
      </c>
      <c r="C226" s="4" t="s">
        <v>142</v>
      </c>
      <c r="D226" s="18" t="s">
        <v>726</v>
      </c>
      <c r="E226" s="4"/>
      <c r="F226" s="4" t="s">
        <v>17</v>
      </c>
      <c r="G226" s="18" t="s">
        <v>24</v>
      </c>
      <c r="H226" s="21"/>
      <c r="I226" s="5">
        <v>110000</v>
      </c>
      <c r="J226" s="5">
        <f t="shared" si="144"/>
        <v>99999.999999999985</v>
      </c>
      <c r="L226" s="68">
        <v>46059</v>
      </c>
      <c r="M226" s="26" t="s">
        <v>43</v>
      </c>
      <c r="N226" s="74" t="s">
        <v>918</v>
      </c>
      <c r="O226" s="80">
        <v>0.5</v>
      </c>
      <c r="P226" s="76">
        <f t="shared" si="145"/>
        <v>49999.999999999993</v>
      </c>
      <c r="Q226" s="71"/>
      <c r="R226" s="76">
        <f t="shared" si="146"/>
        <v>49999.999999999993</v>
      </c>
      <c r="S226" s="18" t="s">
        <v>727</v>
      </c>
    </row>
    <row r="227" spans="1:19" ht="15" customHeight="1">
      <c r="A227" s="16">
        <v>46059</v>
      </c>
      <c r="B227" s="96" t="s">
        <v>38</v>
      </c>
      <c r="C227" s="4" t="s">
        <v>648</v>
      </c>
      <c r="D227" s="22" t="s">
        <v>649</v>
      </c>
      <c r="F227" s="22" t="s">
        <v>59</v>
      </c>
      <c r="G227" s="22" t="s">
        <v>98</v>
      </c>
      <c r="I227" s="5">
        <v>110000</v>
      </c>
      <c r="J227" s="56">
        <v>99999.999999999985</v>
      </c>
      <c r="K227" s="108">
        <v>46052</v>
      </c>
      <c r="L227" s="68">
        <v>46059</v>
      </c>
      <c r="M227" s="26" t="s">
        <v>919</v>
      </c>
      <c r="N227" s="55" t="s">
        <v>908</v>
      </c>
      <c r="O227" s="57">
        <v>0.5</v>
      </c>
      <c r="P227" s="56">
        <v>49999.999999999993</v>
      </c>
      <c r="Q227" s="26"/>
      <c r="R227" s="56">
        <v>49999.999999999993</v>
      </c>
      <c r="S227" s="18" t="s">
        <v>112</v>
      </c>
    </row>
    <row r="228" spans="1:19" ht="15" customHeight="1">
      <c r="A228" s="16">
        <v>46059</v>
      </c>
      <c r="B228" s="96" t="s">
        <v>38</v>
      </c>
      <c r="C228" s="4" t="s">
        <v>61</v>
      </c>
      <c r="D228" s="45" t="s">
        <v>645</v>
      </c>
      <c r="E228" s="4" t="s">
        <v>674</v>
      </c>
      <c r="F228" s="22" t="s">
        <v>59</v>
      </c>
      <c r="G228" s="18" t="s">
        <v>89</v>
      </c>
      <c r="H228" s="21">
        <v>46052</v>
      </c>
      <c r="I228" s="5">
        <v>550000</v>
      </c>
      <c r="J228" s="56">
        <f>I228/1.1</f>
        <v>499999.99999999994</v>
      </c>
      <c r="K228" s="108">
        <v>46052</v>
      </c>
      <c r="L228" s="68">
        <v>46059</v>
      </c>
      <c r="M228" s="26" t="s">
        <v>916</v>
      </c>
      <c r="N228" s="55" t="s">
        <v>908</v>
      </c>
      <c r="O228" s="57">
        <v>0.5</v>
      </c>
      <c r="P228" s="56">
        <v>49999.999999999993</v>
      </c>
      <c r="Q228" s="71"/>
      <c r="R228" s="56">
        <v>49999.999999999993</v>
      </c>
      <c r="S228" s="18" t="s">
        <v>112</v>
      </c>
    </row>
    <row r="229" spans="1:19" s="23" customFormat="1" ht="15" customHeight="1">
      <c r="A229" s="19">
        <v>46059</v>
      </c>
      <c r="B229" s="70" t="s">
        <v>38</v>
      </c>
      <c r="C229" s="9" t="s">
        <v>650</v>
      </c>
      <c r="D229" s="30" t="s">
        <v>651</v>
      </c>
      <c r="F229" s="30" t="s">
        <v>59</v>
      </c>
      <c r="G229" s="30" t="s">
        <v>98</v>
      </c>
      <c r="I229" s="10">
        <v>110000</v>
      </c>
      <c r="J229" s="87">
        <v>99999.999999999985</v>
      </c>
      <c r="K229" s="109">
        <v>46052</v>
      </c>
      <c r="L229" s="58">
        <v>46059</v>
      </c>
      <c r="M229" s="40" t="s">
        <v>101</v>
      </c>
      <c r="N229" s="86" t="s">
        <v>920</v>
      </c>
      <c r="O229" s="88">
        <v>0.5</v>
      </c>
      <c r="P229" s="87">
        <v>49999.999999999993</v>
      </c>
      <c r="Q229" s="71"/>
      <c r="R229" s="87">
        <v>49999.999999999993</v>
      </c>
      <c r="S229" s="18" t="s">
        <v>112</v>
      </c>
    </row>
    <row r="230" spans="1:19" ht="15" customHeight="1">
      <c r="A230" s="16">
        <v>46059</v>
      </c>
      <c r="B230" s="43" t="s">
        <v>646</v>
      </c>
      <c r="C230" s="4" t="s">
        <v>154</v>
      </c>
      <c r="D230" s="22" t="s">
        <v>647</v>
      </c>
      <c r="F230" s="22" t="s">
        <v>59</v>
      </c>
      <c r="G230" s="18" t="s">
        <v>89</v>
      </c>
      <c r="I230" s="5">
        <v>550000</v>
      </c>
      <c r="J230" s="56">
        <v>99999.999999999985</v>
      </c>
      <c r="K230" s="108">
        <v>46052</v>
      </c>
      <c r="L230" s="68">
        <v>46059</v>
      </c>
      <c r="M230" s="26" t="s">
        <v>919</v>
      </c>
      <c r="N230" s="55" t="s">
        <v>908</v>
      </c>
      <c r="O230" s="57">
        <v>0.5</v>
      </c>
      <c r="P230" s="56">
        <v>49999.999999999993</v>
      </c>
      <c r="Q230" s="71"/>
      <c r="R230" s="56">
        <v>49999.999999999993</v>
      </c>
      <c r="S230" s="18" t="s">
        <v>923</v>
      </c>
    </row>
    <row r="231" spans="1:19" ht="15" customHeight="1">
      <c r="A231" s="16">
        <v>46059</v>
      </c>
      <c r="B231" s="96" t="s">
        <v>52</v>
      </c>
      <c r="C231" s="4" t="s">
        <v>657</v>
      </c>
      <c r="D231" s="22" t="s">
        <v>730</v>
      </c>
      <c r="F231" s="22" t="s">
        <v>59</v>
      </c>
      <c r="G231" s="22" t="s">
        <v>98</v>
      </c>
      <c r="I231" s="5">
        <v>110000</v>
      </c>
      <c r="J231" s="56">
        <v>99999.999999999985</v>
      </c>
      <c r="K231" s="108">
        <v>46053</v>
      </c>
      <c r="L231" s="68">
        <v>46059</v>
      </c>
      <c r="M231" s="26" t="s">
        <v>919</v>
      </c>
      <c r="N231" s="55" t="s">
        <v>908</v>
      </c>
      <c r="O231" s="57">
        <v>0.5</v>
      </c>
      <c r="P231" s="56">
        <v>49999.999999999993</v>
      </c>
      <c r="Q231" s="71"/>
      <c r="R231" s="56">
        <v>49999.999999999993</v>
      </c>
      <c r="S231" s="18" t="s">
        <v>112</v>
      </c>
    </row>
    <row r="232" spans="1:19" ht="15" customHeight="1">
      <c r="A232" s="16">
        <v>46059</v>
      </c>
      <c r="B232" s="96" t="s">
        <v>38</v>
      </c>
      <c r="C232" s="4" t="s">
        <v>40</v>
      </c>
      <c r="D232" s="45" t="s">
        <v>656</v>
      </c>
      <c r="E232" s="4" t="s">
        <v>672</v>
      </c>
      <c r="F232" s="22" t="s">
        <v>59</v>
      </c>
      <c r="G232" s="18" t="s">
        <v>89</v>
      </c>
      <c r="H232" s="21">
        <v>46054</v>
      </c>
      <c r="I232" s="5">
        <v>1100000</v>
      </c>
      <c r="J232" s="56">
        <v>99999.999999999985</v>
      </c>
      <c r="K232" s="108">
        <v>46053</v>
      </c>
      <c r="L232" s="68">
        <v>46059</v>
      </c>
      <c r="M232" s="26" t="s">
        <v>916</v>
      </c>
      <c r="N232" s="55" t="s">
        <v>908</v>
      </c>
      <c r="O232" s="57">
        <v>0.5</v>
      </c>
      <c r="P232" s="56">
        <v>49999.999999999993</v>
      </c>
      <c r="Q232" s="71"/>
      <c r="R232" s="56">
        <v>49999.999999999993</v>
      </c>
      <c r="S232" s="18" t="s">
        <v>112</v>
      </c>
    </row>
    <row r="233" spans="1:19" ht="15" customHeight="1">
      <c r="A233" s="16">
        <v>46059</v>
      </c>
      <c r="B233" s="96" t="s">
        <v>734</v>
      </c>
      <c r="C233" s="4" t="s">
        <v>735</v>
      </c>
      <c r="D233" s="18" t="s">
        <v>733</v>
      </c>
      <c r="E233" s="4"/>
      <c r="F233" s="4" t="s">
        <v>17</v>
      </c>
      <c r="G233" s="18" t="s">
        <v>24</v>
      </c>
      <c r="H233" s="21"/>
      <c r="I233" s="5">
        <v>220000</v>
      </c>
      <c r="J233" s="5">
        <f t="shared" ref="J233" si="147">I233/1.1</f>
        <v>199999.99999999997</v>
      </c>
      <c r="L233" s="68">
        <v>46059</v>
      </c>
      <c r="M233" s="26" t="s">
        <v>912</v>
      </c>
      <c r="N233" s="18" t="s">
        <v>907</v>
      </c>
      <c r="O233" s="31">
        <v>0.5</v>
      </c>
      <c r="P233" s="56">
        <f t="shared" ref="P233" si="148">J233*O233</f>
        <v>99999.999999999985</v>
      </c>
      <c r="Q233" s="71"/>
      <c r="R233" s="25">
        <f t="shared" ref="R233" si="149">J233-P233</f>
        <v>99999.999999999985</v>
      </c>
      <c r="S233" s="18" t="s">
        <v>117</v>
      </c>
    </row>
    <row r="234" spans="1:19" ht="15" customHeight="1">
      <c r="A234" s="16">
        <v>46059</v>
      </c>
      <c r="B234" s="96" t="s">
        <v>38</v>
      </c>
      <c r="C234" s="4" t="s">
        <v>143</v>
      </c>
      <c r="D234" s="45" t="s">
        <v>732</v>
      </c>
      <c r="E234" s="4"/>
      <c r="F234" s="22" t="s">
        <v>59</v>
      </c>
      <c r="G234" s="18" t="s">
        <v>89</v>
      </c>
      <c r="H234" s="21">
        <v>46059</v>
      </c>
      <c r="I234" s="5">
        <v>1100000</v>
      </c>
      <c r="J234" s="56">
        <f t="shared" ref="J234" si="150">I234/1.1</f>
        <v>999999.99999999988</v>
      </c>
      <c r="K234" s="122"/>
      <c r="L234" s="68">
        <v>46059</v>
      </c>
      <c r="M234" s="26" t="s">
        <v>909</v>
      </c>
      <c r="N234" s="55" t="s">
        <v>97</v>
      </c>
      <c r="O234" s="57">
        <v>0.5</v>
      </c>
      <c r="P234" s="56">
        <f t="shared" ref="P234:P235" si="151">J234*O234</f>
        <v>499999.99999999994</v>
      </c>
      <c r="Q234" s="71"/>
      <c r="R234" s="56">
        <f t="shared" ref="R234:R235" si="152">J234-P234</f>
        <v>499999.99999999994</v>
      </c>
      <c r="S234" s="18" t="s">
        <v>110</v>
      </c>
    </row>
    <row r="235" spans="1:19" ht="15" customHeight="1">
      <c r="A235" s="16">
        <v>46059</v>
      </c>
      <c r="B235" s="96" t="s">
        <v>737</v>
      </c>
      <c r="C235" s="4" t="s">
        <v>738</v>
      </c>
      <c r="D235" s="4" t="s">
        <v>845</v>
      </c>
      <c r="E235" s="4"/>
      <c r="F235" s="22" t="s">
        <v>59</v>
      </c>
      <c r="G235" s="18" t="s">
        <v>89</v>
      </c>
      <c r="H235" s="21"/>
      <c r="I235" s="5">
        <v>2200000</v>
      </c>
      <c r="J235" s="56">
        <f t="shared" ref="J235" si="153">I235/1.1</f>
        <v>1999999.9999999998</v>
      </c>
      <c r="K235" s="122"/>
      <c r="L235" s="68">
        <v>46059</v>
      </c>
      <c r="M235" s="26" t="s">
        <v>909</v>
      </c>
      <c r="N235" s="18" t="s">
        <v>907</v>
      </c>
      <c r="O235" s="6">
        <v>0.5</v>
      </c>
      <c r="P235" s="56">
        <f t="shared" si="151"/>
        <v>999999.99999999988</v>
      </c>
      <c r="Q235" s="71"/>
      <c r="R235" s="5">
        <f t="shared" si="152"/>
        <v>999999.99999999988</v>
      </c>
      <c r="S235" s="18" t="s">
        <v>110</v>
      </c>
    </row>
    <row r="236" spans="1:19" ht="15" customHeight="1">
      <c r="A236" s="16">
        <v>46060</v>
      </c>
      <c r="B236" s="96" t="s">
        <v>49</v>
      </c>
      <c r="C236" s="4" t="s">
        <v>742</v>
      </c>
      <c r="D236" s="22" t="s">
        <v>137</v>
      </c>
      <c r="E236" s="4"/>
      <c r="F236" s="22" t="s">
        <v>59</v>
      </c>
      <c r="G236" s="18" t="s">
        <v>89</v>
      </c>
      <c r="H236" s="21"/>
      <c r="I236" s="5">
        <v>2200000</v>
      </c>
      <c r="J236" s="56">
        <f t="shared" ref="J236" si="154">I236/1.1</f>
        <v>1999999.9999999998</v>
      </c>
      <c r="K236" s="122"/>
      <c r="L236" s="68">
        <v>46060</v>
      </c>
      <c r="M236" s="26" t="s">
        <v>1073</v>
      </c>
      <c r="N236" s="55" t="s">
        <v>907</v>
      </c>
      <c r="O236" s="57">
        <v>0.5</v>
      </c>
      <c r="P236" s="56">
        <f t="shared" ref="P236" si="155">J236*O236</f>
        <v>999999.99999999988</v>
      </c>
      <c r="Q236" s="71"/>
      <c r="R236" s="56">
        <f t="shared" ref="R236" si="156">J236-P236</f>
        <v>999999.99999999988</v>
      </c>
      <c r="S236" s="15" t="s">
        <v>1072</v>
      </c>
    </row>
    <row r="237" spans="1:19" ht="15" customHeight="1">
      <c r="A237" s="16">
        <v>46062</v>
      </c>
      <c r="B237" s="96" t="s">
        <v>38</v>
      </c>
      <c r="C237" s="4" t="s">
        <v>58</v>
      </c>
      <c r="D237" s="18" t="s">
        <v>723</v>
      </c>
      <c r="E237" s="4" t="s">
        <v>1122</v>
      </c>
      <c r="F237" s="22" t="s">
        <v>59</v>
      </c>
      <c r="G237" s="18" t="s">
        <v>89</v>
      </c>
      <c r="H237" s="21">
        <v>46058</v>
      </c>
      <c r="I237" s="5">
        <v>550000</v>
      </c>
      <c r="J237" s="56">
        <f>I237/1.1</f>
        <v>499999.99999999994</v>
      </c>
      <c r="K237" s="108">
        <v>46058</v>
      </c>
      <c r="L237" s="68">
        <v>46062</v>
      </c>
      <c r="M237" s="26" t="s">
        <v>916</v>
      </c>
      <c r="N237" s="55" t="s">
        <v>908</v>
      </c>
      <c r="O237" s="57">
        <v>0.5</v>
      </c>
      <c r="P237" s="56">
        <v>49999.999999999993</v>
      </c>
      <c r="Q237" s="71"/>
      <c r="R237" s="56">
        <v>49999.999999999993</v>
      </c>
      <c r="S237" s="18" t="s">
        <v>925</v>
      </c>
    </row>
    <row r="238" spans="1:19" ht="15" customHeight="1">
      <c r="A238" s="16">
        <v>46062</v>
      </c>
      <c r="B238" s="96" t="s">
        <v>38</v>
      </c>
      <c r="C238" s="4" t="s">
        <v>743</v>
      </c>
      <c r="D238" s="18" t="s">
        <v>744</v>
      </c>
      <c r="E238" s="4"/>
      <c r="F238" s="4" t="s">
        <v>17</v>
      </c>
      <c r="G238" s="18" t="s">
        <v>24</v>
      </c>
      <c r="H238" s="21"/>
      <c r="I238" s="5">
        <v>110000</v>
      </c>
      <c r="J238" s="5">
        <f t="shared" ref="J238:J240" si="157">I238/1.1</f>
        <v>99999.999999999985</v>
      </c>
      <c r="L238" s="68">
        <v>46062</v>
      </c>
      <c r="M238" s="26" t="s">
        <v>46</v>
      </c>
      <c r="N238" s="74" t="s">
        <v>907</v>
      </c>
      <c r="O238" s="80">
        <v>0.5</v>
      </c>
      <c r="P238" s="56">
        <f t="shared" ref="P238:P241" si="158">J238*O238</f>
        <v>49999.999999999993</v>
      </c>
      <c r="Q238" s="71"/>
      <c r="R238" s="76">
        <f t="shared" ref="R238:R241" si="159">J238-P238</f>
        <v>49999.999999999993</v>
      </c>
      <c r="S238" s="18" t="s">
        <v>1049</v>
      </c>
    </row>
    <row r="239" spans="1:19" s="32" customFormat="1" ht="15" customHeight="1">
      <c r="A239" s="16">
        <v>46062</v>
      </c>
      <c r="B239" s="62" t="s">
        <v>50</v>
      </c>
      <c r="C239" s="4" t="s">
        <v>82</v>
      </c>
      <c r="D239" s="55" t="s">
        <v>167</v>
      </c>
      <c r="E239" s="4"/>
      <c r="F239" s="55" t="s">
        <v>17</v>
      </c>
      <c r="G239" s="18" t="s">
        <v>77</v>
      </c>
      <c r="H239" s="4"/>
      <c r="I239" s="5">
        <v>1000000</v>
      </c>
      <c r="J239" s="56">
        <f t="shared" si="157"/>
        <v>909090.90909090906</v>
      </c>
      <c r="K239" s="122"/>
      <c r="L239" s="68">
        <v>46062</v>
      </c>
      <c r="M239" s="26" t="s">
        <v>913</v>
      </c>
      <c r="N239" s="18" t="s">
        <v>907</v>
      </c>
      <c r="O239" s="6">
        <v>0.5</v>
      </c>
      <c r="P239" s="56">
        <f t="shared" si="158"/>
        <v>454545.45454545453</v>
      </c>
      <c r="Q239" s="71"/>
      <c r="R239" s="5">
        <f t="shared" si="159"/>
        <v>454545.45454545453</v>
      </c>
      <c r="S239" s="18" t="s">
        <v>842</v>
      </c>
    </row>
    <row r="240" spans="1:19" ht="15" customHeight="1">
      <c r="A240" s="16">
        <v>46062</v>
      </c>
      <c r="B240" s="96" t="s">
        <v>50</v>
      </c>
      <c r="C240" s="4" t="s">
        <v>745</v>
      </c>
      <c r="D240" s="22" t="s">
        <v>746</v>
      </c>
      <c r="E240" s="4"/>
      <c r="F240" s="22" t="s">
        <v>59</v>
      </c>
      <c r="G240" s="18" t="s">
        <v>89</v>
      </c>
      <c r="H240" s="21"/>
      <c r="I240" s="5">
        <v>550000</v>
      </c>
      <c r="J240" s="56">
        <f t="shared" si="157"/>
        <v>499999.99999999994</v>
      </c>
      <c r="K240" s="122"/>
      <c r="L240" s="68">
        <v>46062</v>
      </c>
      <c r="M240" s="26" t="s">
        <v>917</v>
      </c>
      <c r="N240" s="18" t="s">
        <v>918</v>
      </c>
      <c r="O240" s="6">
        <v>0.5</v>
      </c>
      <c r="P240" s="56">
        <f t="shared" si="158"/>
        <v>249999.99999999997</v>
      </c>
      <c r="Q240" s="71"/>
      <c r="R240" s="5">
        <f t="shared" si="159"/>
        <v>249999.99999999997</v>
      </c>
      <c r="S240" s="18" t="s">
        <v>741</v>
      </c>
    </row>
    <row r="241" spans="1:19" ht="15" customHeight="1">
      <c r="A241" s="16">
        <v>46063</v>
      </c>
      <c r="B241" s="96" t="s">
        <v>50</v>
      </c>
      <c r="C241" s="4" t="s">
        <v>748</v>
      </c>
      <c r="D241" s="22" t="s">
        <v>747</v>
      </c>
      <c r="E241" s="4"/>
      <c r="F241" s="22" t="s">
        <v>59</v>
      </c>
      <c r="G241" s="18" t="s">
        <v>89</v>
      </c>
      <c r="H241" s="21"/>
      <c r="I241" s="5">
        <v>550000</v>
      </c>
      <c r="J241" s="56">
        <f t="shared" ref="J241" si="160">I241/1.1</f>
        <v>499999.99999999994</v>
      </c>
      <c r="K241" s="122"/>
      <c r="L241" s="68">
        <v>46063</v>
      </c>
      <c r="M241" s="26" t="s">
        <v>909</v>
      </c>
      <c r="N241" s="18" t="s">
        <v>907</v>
      </c>
      <c r="O241" s="6">
        <v>0.5</v>
      </c>
      <c r="P241" s="56">
        <f t="shared" si="158"/>
        <v>249999.99999999997</v>
      </c>
      <c r="Q241" s="71"/>
      <c r="R241" s="5">
        <f t="shared" si="159"/>
        <v>249999.99999999997</v>
      </c>
      <c r="S241" s="18" t="s">
        <v>113</v>
      </c>
    </row>
    <row r="242" spans="1:19" s="23" customFormat="1" ht="15" customHeight="1">
      <c r="A242" s="19">
        <v>46063</v>
      </c>
      <c r="B242" s="70" t="s">
        <v>38</v>
      </c>
      <c r="C242" s="9" t="s">
        <v>58</v>
      </c>
      <c r="D242" s="20" t="s">
        <v>721</v>
      </c>
      <c r="F242" s="30" t="s">
        <v>59</v>
      </c>
      <c r="G242" s="20" t="s">
        <v>89</v>
      </c>
      <c r="I242" s="10">
        <v>550000</v>
      </c>
      <c r="J242" s="87">
        <f>I242/1.1</f>
        <v>499999.99999999994</v>
      </c>
      <c r="K242" s="109">
        <v>46058</v>
      </c>
      <c r="L242" s="58">
        <v>46062</v>
      </c>
      <c r="M242" s="40" t="s">
        <v>916</v>
      </c>
      <c r="N242" s="86" t="s">
        <v>908</v>
      </c>
      <c r="O242" s="88">
        <v>0.5</v>
      </c>
      <c r="P242" s="87">
        <v>49999.999999999993</v>
      </c>
      <c r="Q242" s="71"/>
      <c r="R242" s="87">
        <v>49999.999999999993</v>
      </c>
      <c r="S242" s="18" t="s">
        <v>926</v>
      </c>
    </row>
    <row r="243" spans="1:19" ht="15" customHeight="1">
      <c r="A243" s="16">
        <v>46063</v>
      </c>
      <c r="B243" s="96" t="s">
        <v>749</v>
      </c>
      <c r="C243" s="4" t="s">
        <v>79</v>
      </c>
      <c r="D243" s="18" t="s">
        <v>750</v>
      </c>
      <c r="E243" s="4"/>
      <c r="F243" s="4" t="s">
        <v>17</v>
      </c>
      <c r="G243" s="18" t="s">
        <v>24</v>
      </c>
      <c r="H243" s="21"/>
      <c r="I243" s="5">
        <v>110000</v>
      </c>
      <c r="J243" s="5">
        <f t="shared" ref="J243:J244" si="161">I243/1.1</f>
        <v>99999.999999999985</v>
      </c>
      <c r="L243" s="68">
        <v>46063</v>
      </c>
      <c r="M243" s="26" t="s">
        <v>43</v>
      </c>
      <c r="N243" s="74" t="s">
        <v>907</v>
      </c>
      <c r="O243" s="80">
        <v>0.5</v>
      </c>
      <c r="P243" s="76">
        <f t="shared" ref="P243:P244" si="162">J243*O243</f>
        <v>49999.999999999993</v>
      </c>
      <c r="Q243" s="71"/>
      <c r="R243" s="76">
        <f t="shared" ref="R243:R244" si="163">J243-P243</f>
        <v>49999.999999999993</v>
      </c>
      <c r="S243" s="15" t="s">
        <v>1074</v>
      </c>
    </row>
    <row r="244" spans="1:19" ht="15" customHeight="1">
      <c r="A244" s="16">
        <v>46063</v>
      </c>
      <c r="B244" s="96" t="s">
        <v>38</v>
      </c>
      <c r="C244" s="4" t="s">
        <v>751</v>
      </c>
      <c r="D244" s="45" t="s">
        <v>752</v>
      </c>
      <c r="E244" s="4"/>
      <c r="F244" s="22" t="s">
        <v>59</v>
      </c>
      <c r="G244" s="18" t="s">
        <v>89</v>
      </c>
      <c r="H244" s="21"/>
      <c r="I244" s="5">
        <v>1100000</v>
      </c>
      <c r="J244" s="56">
        <f t="shared" si="161"/>
        <v>999999.99999999988</v>
      </c>
      <c r="K244" s="122"/>
      <c r="L244" s="68">
        <v>46063</v>
      </c>
      <c r="M244" s="26" t="s">
        <v>43</v>
      </c>
      <c r="N244" s="55" t="s">
        <v>918</v>
      </c>
      <c r="O244" s="57">
        <v>0.5</v>
      </c>
      <c r="P244" s="56">
        <f t="shared" si="162"/>
        <v>499999.99999999994</v>
      </c>
      <c r="Q244" s="71"/>
      <c r="R244" s="56">
        <f t="shared" si="163"/>
        <v>499999.99999999994</v>
      </c>
      <c r="S244" s="18" t="s">
        <v>1058</v>
      </c>
    </row>
    <row r="245" spans="1:19" ht="15" customHeight="1">
      <c r="A245" s="16">
        <v>46063</v>
      </c>
      <c r="B245" s="96" t="s">
        <v>49</v>
      </c>
      <c r="C245" s="4" t="s">
        <v>691</v>
      </c>
      <c r="D245" s="22" t="s">
        <v>692</v>
      </c>
      <c r="F245" s="22" t="s">
        <v>59</v>
      </c>
      <c r="G245" s="18" t="s">
        <v>89</v>
      </c>
      <c r="I245" s="5">
        <v>2200000</v>
      </c>
      <c r="J245" s="56">
        <f>I245/1.1</f>
        <v>1999999.9999999998</v>
      </c>
      <c r="K245" s="108">
        <v>46056</v>
      </c>
      <c r="L245" s="68">
        <v>46063</v>
      </c>
      <c r="M245" s="26" t="s">
        <v>919</v>
      </c>
      <c r="N245" s="55" t="s">
        <v>908</v>
      </c>
      <c r="O245" s="57">
        <v>0.5</v>
      </c>
      <c r="P245" s="56">
        <v>49999.999999999993</v>
      </c>
      <c r="Q245" s="71"/>
      <c r="R245" s="56">
        <v>49999.999999999993</v>
      </c>
      <c r="S245" s="18" t="s">
        <v>923</v>
      </c>
    </row>
    <row r="246" spans="1:19" ht="15" customHeight="1">
      <c r="A246" s="16">
        <v>46063</v>
      </c>
      <c r="B246" s="96" t="s">
        <v>50</v>
      </c>
      <c r="C246" s="4" t="s">
        <v>51</v>
      </c>
      <c r="D246" s="22" t="s">
        <v>695</v>
      </c>
      <c r="F246" s="22" t="s">
        <v>59</v>
      </c>
      <c r="G246" s="18" t="s">
        <v>89</v>
      </c>
      <c r="I246" s="5">
        <v>550000</v>
      </c>
      <c r="J246" s="56">
        <f t="shared" ref="J246" si="164">I246/1.1</f>
        <v>499999.99999999994</v>
      </c>
      <c r="K246" s="108">
        <v>46056</v>
      </c>
      <c r="L246" s="68">
        <v>46063</v>
      </c>
      <c r="M246" s="26" t="s">
        <v>101</v>
      </c>
      <c r="N246" s="55" t="s">
        <v>908</v>
      </c>
      <c r="O246" s="57">
        <v>0.5</v>
      </c>
      <c r="P246" s="56">
        <v>49999.999999999993</v>
      </c>
      <c r="Q246" s="71"/>
      <c r="R246" s="56">
        <v>49999.999999999993</v>
      </c>
      <c r="S246" s="18" t="s">
        <v>923</v>
      </c>
    </row>
    <row r="247" spans="1:19" ht="15" customHeight="1">
      <c r="A247" s="16">
        <v>46063</v>
      </c>
      <c r="B247" s="96" t="s">
        <v>701</v>
      </c>
      <c r="C247" s="4" t="s">
        <v>143</v>
      </c>
      <c r="D247" s="22" t="s">
        <v>702</v>
      </c>
      <c r="F247" s="22" t="s">
        <v>59</v>
      </c>
      <c r="G247" s="22" t="s">
        <v>98</v>
      </c>
      <c r="I247" s="5">
        <v>220000</v>
      </c>
      <c r="J247" s="56">
        <v>99999.999999999985</v>
      </c>
      <c r="K247" s="108">
        <v>46056</v>
      </c>
      <c r="L247" s="68">
        <v>46063</v>
      </c>
      <c r="M247" s="26" t="s">
        <v>101</v>
      </c>
      <c r="N247" s="55" t="s">
        <v>908</v>
      </c>
      <c r="O247" s="57">
        <v>0.5</v>
      </c>
      <c r="P247" s="56">
        <v>49999.999999999993</v>
      </c>
      <c r="Q247" s="71"/>
      <c r="R247" s="56">
        <v>49999.999999999993</v>
      </c>
      <c r="S247" s="18" t="s">
        <v>112</v>
      </c>
    </row>
    <row r="248" spans="1:19" s="32" customFormat="1" ht="15" customHeight="1">
      <c r="A248" s="16">
        <v>46063</v>
      </c>
      <c r="B248" s="62" t="s">
        <v>49</v>
      </c>
      <c r="C248" s="4" t="s">
        <v>79</v>
      </c>
      <c r="D248" s="55" t="s">
        <v>753</v>
      </c>
      <c r="E248" s="4"/>
      <c r="F248" s="55" t="s">
        <v>17</v>
      </c>
      <c r="G248" s="18" t="s">
        <v>754</v>
      </c>
      <c r="H248" s="4"/>
      <c r="I248" s="5">
        <v>2200000</v>
      </c>
      <c r="J248" s="56">
        <f t="shared" ref="J248:J249" si="165">I248/1.1</f>
        <v>1999999.9999999998</v>
      </c>
      <c r="K248" s="122"/>
      <c r="L248" s="68">
        <v>46063</v>
      </c>
      <c r="M248" s="26" t="s">
        <v>913</v>
      </c>
      <c r="N248" s="55" t="s">
        <v>907</v>
      </c>
      <c r="O248" s="57">
        <v>0.5</v>
      </c>
      <c r="P248" s="56">
        <f t="shared" ref="P248:P249" si="166">J248*O248</f>
        <v>999999.99999999988</v>
      </c>
      <c r="Q248" s="26"/>
      <c r="R248" s="56">
        <f t="shared" ref="R248:R249" si="167">J248-P248</f>
        <v>999999.99999999988</v>
      </c>
      <c r="S248" s="18" t="s">
        <v>885</v>
      </c>
    </row>
    <row r="249" spans="1:19" ht="15" customHeight="1">
      <c r="A249" s="16">
        <v>46063</v>
      </c>
      <c r="B249" s="96" t="s">
        <v>38</v>
      </c>
      <c r="C249" s="4" t="s">
        <v>44</v>
      </c>
      <c r="D249" s="45" t="s">
        <v>1136</v>
      </c>
      <c r="E249" s="4" t="s">
        <v>762</v>
      </c>
      <c r="F249" s="22" t="s">
        <v>59</v>
      </c>
      <c r="G249" s="18" t="s">
        <v>89</v>
      </c>
      <c r="H249" s="21">
        <v>46063</v>
      </c>
      <c r="I249" s="5">
        <v>550000</v>
      </c>
      <c r="J249" s="56">
        <f t="shared" si="165"/>
        <v>499999.99999999994</v>
      </c>
      <c r="K249" s="122"/>
      <c r="L249" s="68">
        <v>46063</v>
      </c>
      <c r="M249" s="26" t="s">
        <v>909</v>
      </c>
      <c r="N249" s="55" t="s">
        <v>907</v>
      </c>
      <c r="O249" s="57">
        <v>0.5</v>
      </c>
      <c r="P249" s="56">
        <f t="shared" si="166"/>
        <v>249999.99999999997</v>
      </c>
      <c r="Q249" s="26"/>
      <c r="R249" s="56">
        <f t="shared" si="167"/>
        <v>249999.99999999997</v>
      </c>
      <c r="S249" s="18" t="s">
        <v>113</v>
      </c>
    </row>
    <row r="250" spans="1:19" ht="15" customHeight="1">
      <c r="A250" s="16">
        <v>46063</v>
      </c>
      <c r="B250" s="96" t="s">
        <v>38</v>
      </c>
      <c r="C250" s="4" t="s">
        <v>57</v>
      </c>
      <c r="D250" s="45" t="s">
        <v>758</v>
      </c>
      <c r="E250" s="4" t="s">
        <v>763</v>
      </c>
      <c r="F250" s="22" t="s">
        <v>59</v>
      </c>
      <c r="G250" s="18" t="s">
        <v>89</v>
      </c>
      <c r="H250" s="21">
        <v>46063</v>
      </c>
      <c r="I250" s="5">
        <v>550000</v>
      </c>
      <c r="J250" s="56">
        <f t="shared" ref="J250:J251" si="168">I250/1.1</f>
        <v>499999.99999999994</v>
      </c>
      <c r="K250" s="122"/>
      <c r="L250" s="68">
        <v>46063</v>
      </c>
      <c r="M250" s="26" t="s">
        <v>909</v>
      </c>
      <c r="N250" s="55" t="s">
        <v>918</v>
      </c>
      <c r="O250" s="57">
        <v>0.5</v>
      </c>
      <c r="P250" s="56">
        <f t="shared" ref="P250:P252" si="169">J250*O250</f>
        <v>249999.99999999997</v>
      </c>
      <c r="Q250" s="26"/>
      <c r="R250" s="56">
        <f t="shared" ref="R250:R252" si="170">J250-P250</f>
        <v>249999.99999999997</v>
      </c>
      <c r="S250" s="18" t="s">
        <v>113</v>
      </c>
    </row>
    <row r="251" spans="1:19" s="32" customFormat="1" ht="15" customHeight="1">
      <c r="A251" s="16">
        <v>46063</v>
      </c>
      <c r="B251" s="96" t="s">
        <v>49</v>
      </c>
      <c r="C251" s="4" t="s">
        <v>79</v>
      </c>
      <c r="D251" s="55" t="s">
        <v>248</v>
      </c>
      <c r="E251" s="4"/>
      <c r="F251" s="55" t="s">
        <v>17</v>
      </c>
      <c r="G251" s="18" t="s">
        <v>754</v>
      </c>
      <c r="H251" s="4"/>
      <c r="I251" s="5">
        <v>5500000</v>
      </c>
      <c r="J251" s="56">
        <f t="shared" si="168"/>
        <v>5000000</v>
      </c>
      <c r="K251" s="108"/>
      <c r="L251" s="68">
        <v>46063</v>
      </c>
      <c r="M251" s="26" t="s">
        <v>921</v>
      </c>
      <c r="N251" s="18" t="s">
        <v>918</v>
      </c>
      <c r="O251" s="6">
        <v>0.5</v>
      </c>
      <c r="P251" s="56">
        <f t="shared" si="169"/>
        <v>2500000</v>
      </c>
      <c r="Q251" s="26"/>
      <c r="R251" s="5">
        <f t="shared" si="170"/>
        <v>2500000</v>
      </c>
      <c r="S251" s="18" t="s">
        <v>886</v>
      </c>
    </row>
    <row r="252" spans="1:19" s="32" customFormat="1" ht="15" customHeight="1">
      <c r="A252" s="16">
        <v>46063</v>
      </c>
      <c r="B252" s="96" t="s">
        <v>755</v>
      </c>
      <c r="C252" s="4" t="s">
        <v>756</v>
      </c>
      <c r="D252" s="55" t="s">
        <v>846</v>
      </c>
      <c r="E252" s="4"/>
      <c r="F252" s="55" t="s">
        <v>17</v>
      </c>
      <c r="G252" s="18" t="s">
        <v>754</v>
      </c>
      <c r="H252" s="4"/>
      <c r="I252" s="5">
        <v>9900000</v>
      </c>
      <c r="J252" s="56">
        <f t="shared" ref="J252:J253" si="171">I252/1.1</f>
        <v>9000000</v>
      </c>
      <c r="K252" s="108"/>
      <c r="L252" s="68">
        <v>46063</v>
      </c>
      <c r="M252" s="26" t="s">
        <v>909</v>
      </c>
      <c r="N252" s="18" t="s">
        <v>907</v>
      </c>
      <c r="O252" s="6">
        <v>0.5</v>
      </c>
      <c r="P252" s="56">
        <f t="shared" si="169"/>
        <v>4500000</v>
      </c>
      <c r="Q252" s="26"/>
      <c r="R252" s="5">
        <f t="shared" si="170"/>
        <v>4500000</v>
      </c>
      <c r="S252" s="18" t="s">
        <v>927</v>
      </c>
    </row>
    <row r="253" spans="1:19" ht="15" customHeight="1">
      <c r="A253" s="16">
        <v>46063</v>
      </c>
      <c r="B253" s="96" t="s">
        <v>38</v>
      </c>
      <c r="C253" s="4" t="s">
        <v>757</v>
      </c>
      <c r="D253" s="45" t="s">
        <v>760</v>
      </c>
      <c r="E253" s="4" t="s">
        <v>761</v>
      </c>
      <c r="F253" s="22" t="s">
        <v>59</v>
      </c>
      <c r="G253" s="18" t="s">
        <v>89</v>
      </c>
      <c r="H253" s="21">
        <v>46063</v>
      </c>
      <c r="I253" s="5">
        <v>550000</v>
      </c>
      <c r="J253" s="56">
        <f t="shared" si="171"/>
        <v>499999.99999999994</v>
      </c>
      <c r="K253" s="122"/>
      <c r="L253" s="68">
        <v>46063</v>
      </c>
      <c r="M253" s="26" t="s">
        <v>913</v>
      </c>
      <c r="N253" s="55" t="s">
        <v>907</v>
      </c>
      <c r="O253" s="57">
        <v>0.5</v>
      </c>
      <c r="P253" s="56">
        <f t="shared" ref="P253:P276" si="172">J253*O253</f>
        <v>249999.99999999997</v>
      </c>
      <c r="Q253" s="26"/>
      <c r="R253" s="56">
        <f t="shared" ref="R253:R254" si="173">J253-P253</f>
        <v>249999.99999999997</v>
      </c>
      <c r="S253" s="18" t="s">
        <v>759</v>
      </c>
    </row>
    <row r="254" spans="1:19" ht="15" customHeight="1">
      <c r="A254" s="16">
        <v>46063</v>
      </c>
      <c r="B254" s="96" t="s">
        <v>768</v>
      </c>
      <c r="C254" s="4" t="s">
        <v>769</v>
      </c>
      <c r="D254" s="22" t="s">
        <v>764</v>
      </c>
      <c r="E254" s="4" t="s">
        <v>847</v>
      </c>
      <c r="F254" s="22" t="s">
        <v>59</v>
      </c>
      <c r="G254" s="18" t="s">
        <v>89</v>
      </c>
      <c r="H254" s="21"/>
      <c r="I254" s="5">
        <v>550000</v>
      </c>
      <c r="J254" s="56">
        <f t="shared" ref="J254" si="174">I254/1.1</f>
        <v>499999.99999999994</v>
      </c>
      <c r="K254" s="122"/>
      <c r="L254" s="68">
        <v>46063</v>
      </c>
      <c r="M254" s="26" t="s">
        <v>909</v>
      </c>
      <c r="N254" s="18" t="s">
        <v>907</v>
      </c>
      <c r="O254" s="6">
        <v>0.5</v>
      </c>
      <c r="P254" s="56">
        <f t="shared" si="172"/>
        <v>249999.99999999997</v>
      </c>
      <c r="Q254" s="26"/>
      <c r="R254" s="5">
        <f t="shared" si="173"/>
        <v>249999.99999999997</v>
      </c>
      <c r="S254" s="18" t="s">
        <v>114</v>
      </c>
    </row>
    <row r="255" spans="1:19" ht="15" customHeight="1">
      <c r="A255" s="16">
        <v>46064</v>
      </c>
      <c r="B255" s="96" t="s">
        <v>701</v>
      </c>
      <c r="C255" s="4" t="s">
        <v>708</v>
      </c>
      <c r="D255" s="22" t="s">
        <v>709</v>
      </c>
      <c r="F255" s="22" t="s">
        <v>59</v>
      </c>
      <c r="G255" s="22" t="s">
        <v>98</v>
      </c>
      <c r="I255" s="5">
        <v>110000</v>
      </c>
      <c r="J255" s="56">
        <v>99999.999999999985</v>
      </c>
      <c r="K255" s="108">
        <v>46057</v>
      </c>
      <c r="L255" s="68">
        <v>46064</v>
      </c>
      <c r="M255" s="26" t="s">
        <v>916</v>
      </c>
      <c r="N255" s="55" t="s">
        <v>908</v>
      </c>
      <c r="O255" s="57">
        <v>0.5</v>
      </c>
      <c r="P255" s="56">
        <f t="shared" si="172"/>
        <v>49999.999999999993</v>
      </c>
      <c r="Q255" s="26"/>
      <c r="R255" s="56">
        <v>49999.999999999993</v>
      </c>
      <c r="S255" s="18" t="s">
        <v>112</v>
      </c>
    </row>
    <row r="256" spans="1:19" ht="15" customHeight="1">
      <c r="A256" s="16">
        <v>46064</v>
      </c>
      <c r="B256" s="96" t="s">
        <v>38</v>
      </c>
      <c r="C256" s="4" t="s">
        <v>711</v>
      </c>
      <c r="D256" s="22" t="s">
        <v>712</v>
      </c>
      <c r="F256" s="22" t="s">
        <v>59</v>
      </c>
      <c r="G256" s="22" t="s">
        <v>98</v>
      </c>
      <c r="I256" s="5">
        <v>220000</v>
      </c>
      <c r="J256" s="56">
        <v>99999.999999999985</v>
      </c>
      <c r="K256" s="108">
        <v>46057</v>
      </c>
      <c r="L256" s="68">
        <v>46064</v>
      </c>
      <c r="M256" s="26" t="s">
        <v>919</v>
      </c>
      <c r="N256" s="55" t="s">
        <v>908</v>
      </c>
      <c r="O256" s="57">
        <v>0.5</v>
      </c>
      <c r="P256" s="56">
        <f t="shared" si="172"/>
        <v>49999.999999999993</v>
      </c>
      <c r="Q256" s="26"/>
      <c r="R256" s="56">
        <v>49999.999999999993</v>
      </c>
      <c r="S256" s="18" t="s">
        <v>112</v>
      </c>
    </row>
    <row r="257" spans="1:20" ht="15" customHeight="1">
      <c r="A257" s="16">
        <v>46064</v>
      </c>
      <c r="B257" s="96" t="s">
        <v>770</v>
      </c>
      <c r="C257" s="4" t="s">
        <v>111</v>
      </c>
      <c r="D257" s="22" t="s">
        <v>771</v>
      </c>
      <c r="E257" s="4"/>
      <c r="F257" s="22" t="s">
        <v>59</v>
      </c>
      <c r="G257" s="18" t="s">
        <v>89</v>
      </c>
      <c r="H257" s="21"/>
      <c r="I257" s="5">
        <v>1100000</v>
      </c>
      <c r="J257" s="56">
        <f t="shared" ref="J257" si="175">I257/1.1</f>
        <v>999999.99999999988</v>
      </c>
      <c r="K257" s="122"/>
      <c r="L257" s="68">
        <v>46064</v>
      </c>
      <c r="M257" s="26" t="s">
        <v>1076</v>
      </c>
      <c r="N257" s="55" t="s">
        <v>907</v>
      </c>
      <c r="O257" s="57">
        <v>0.5</v>
      </c>
      <c r="P257" s="56">
        <f t="shared" si="172"/>
        <v>499999.99999999994</v>
      </c>
      <c r="Q257" s="26"/>
      <c r="R257" s="56">
        <f t="shared" ref="R257" si="176">J257-P257</f>
        <v>499999.99999999994</v>
      </c>
      <c r="S257" s="15" t="s">
        <v>1075</v>
      </c>
    </row>
    <row r="258" spans="1:20" ht="15" customHeight="1">
      <c r="A258" s="16">
        <v>46065</v>
      </c>
      <c r="B258" s="96" t="s">
        <v>50</v>
      </c>
      <c r="C258" s="4" t="s">
        <v>82</v>
      </c>
      <c r="D258" s="22" t="s">
        <v>717</v>
      </c>
      <c r="F258" s="22" t="s">
        <v>59</v>
      </c>
      <c r="G258" s="22" t="s">
        <v>98</v>
      </c>
      <c r="I258" s="5">
        <v>220000</v>
      </c>
      <c r="J258" s="56">
        <v>99999.999999999985</v>
      </c>
      <c r="K258" s="108">
        <v>46058</v>
      </c>
      <c r="L258" s="68">
        <v>46065</v>
      </c>
      <c r="M258" s="26" t="s">
        <v>919</v>
      </c>
      <c r="N258" s="55" t="s">
        <v>908</v>
      </c>
      <c r="O258" s="57">
        <v>0.5</v>
      </c>
      <c r="P258" s="56">
        <f t="shared" si="172"/>
        <v>49999.999999999993</v>
      </c>
      <c r="Q258" s="26"/>
      <c r="R258" s="56">
        <v>49999.999999999993</v>
      </c>
      <c r="S258" s="18" t="s">
        <v>112</v>
      </c>
    </row>
    <row r="259" spans="1:20" ht="15" customHeight="1">
      <c r="A259" s="16">
        <v>46065</v>
      </c>
      <c r="B259" s="96" t="s">
        <v>772</v>
      </c>
      <c r="C259" s="4" t="s">
        <v>773</v>
      </c>
      <c r="D259" s="45" t="s">
        <v>774</v>
      </c>
      <c r="E259" s="4" t="s">
        <v>776</v>
      </c>
      <c r="F259" s="22" t="s">
        <v>59</v>
      </c>
      <c r="G259" s="18" t="s">
        <v>89</v>
      </c>
      <c r="H259" s="21">
        <v>46065</v>
      </c>
      <c r="I259" s="5">
        <v>550000</v>
      </c>
      <c r="J259" s="56">
        <f t="shared" ref="J259:J260" si="177">I259/1.1</f>
        <v>499999.99999999994</v>
      </c>
      <c r="K259" s="122"/>
      <c r="L259" s="68">
        <v>46065</v>
      </c>
      <c r="M259" s="26" t="s">
        <v>913</v>
      </c>
      <c r="N259" s="55" t="s">
        <v>907</v>
      </c>
      <c r="O259" s="57">
        <v>0.5</v>
      </c>
      <c r="P259" s="56">
        <f t="shared" si="172"/>
        <v>249999.99999999997</v>
      </c>
      <c r="Q259" s="26"/>
      <c r="R259" s="56">
        <f t="shared" ref="R259:R260" si="178">J259-P259</f>
        <v>249999.99999999997</v>
      </c>
      <c r="S259" s="18" t="s">
        <v>928</v>
      </c>
    </row>
    <row r="260" spans="1:20" ht="15" customHeight="1">
      <c r="A260" s="16">
        <v>46065</v>
      </c>
      <c r="B260" s="96" t="s">
        <v>49</v>
      </c>
      <c r="C260" s="4" t="s">
        <v>66</v>
      </c>
      <c r="D260" s="22" t="s">
        <v>605</v>
      </c>
      <c r="E260" s="4"/>
      <c r="F260" s="22" t="s">
        <v>59</v>
      </c>
      <c r="G260" s="18" t="s">
        <v>775</v>
      </c>
      <c r="H260" s="21"/>
      <c r="I260" s="5">
        <v>3300000</v>
      </c>
      <c r="J260" s="56">
        <f t="shared" si="177"/>
        <v>2999999.9999999995</v>
      </c>
      <c r="K260" s="122"/>
      <c r="L260" s="68">
        <v>46065</v>
      </c>
      <c r="M260" s="26" t="s">
        <v>921</v>
      </c>
      <c r="N260" s="55" t="s">
        <v>907</v>
      </c>
      <c r="O260" s="57">
        <v>0.5</v>
      </c>
      <c r="P260" s="56">
        <f t="shared" si="172"/>
        <v>1499999.9999999998</v>
      </c>
      <c r="Q260" s="26"/>
      <c r="R260" s="56">
        <f t="shared" si="178"/>
        <v>1499999.9999999998</v>
      </c>
      <c r="S260" s="18" t="s">
        <v>777</v>
      </c>
    </row>
    <row r="261" spans="1:20" ht="15" customHeight="1">
      <c r="A261" s="16">
        <v>46065</v>
      </c>
      <c r="B261" s="96" t="s">
        <v>49</v>
      </c>
      <c r="C261" s="4" t="s">
        <v>778</v>
      </c>
      <c r="D261" s="22" t="s">
        <v>520</v>
      </c>
      <c r="E261" s="4"/>
      <c r="F261" s="22" t="s">
        <v>59</v>
      </c>
      <c r="G261" s="18" t="s">
        <v>775</v>
      </c>
      <c r="H261" s="21"/>
      <c r="I261" s="5">
        <v>2200000</v>
      </c>
      <c r="J261" s="56">
        <f t="shared" ref="J261" si="179">I261/1.1</f>
        <v>1999999.9999999998</v>
      </c>
      <c r="K261" s="122"/>
      <c r="L261" s="68">
        <v>46065</v>
      </c>
      <c r="M261" s="26" t="s">
        <v>913</v>
      </c>
      <c r="N261" s="55" t="s">
        <v>97</v>
      </c>
      <c r="O261" s="57">
        <v>0.5</v>
      </c>
      <c r="P261" s="56">
        <f t="shared" si="172"/>
        <v>999999.99999999988</v>
      </c>
      <c r="Q261" s="26"/>
      <c r="R261" s="56">
        <f t="shared" ref="R261" si="180">J261-P261</f>
        <v>999999.99999999988</v>
      </c>
      <c r="S261" s="18" t="s">
        <v>779</v>
      </c>
    </row>
    <row r="262" spans="1:20" ht="15" customHeight="1">
      <c r="A262" s="16">
        <v>46065</v>
      </c>
      <c r="B262" s="96" t="s">
        <v>38</v>
      </c>
      <c r="C262" s="18" t="s">
        <v>780</v>
      </c>
      <c r="D262" s="45" t="s">
        <v>781</v>
      </c>
      <c r="E262" s="4"/>
      <c r="F262" s="22" t="s">
        <v>59</v>
      </c>
      <c r="G262" s="18" t="s">
        <v>775</v>
      </c>
      <c r="H262" s="21"/>
      <c r="I262" s="5">
        <v>14850000</v>
      </c>
      <c r="J262" s="56">
        <f t="shared" ref="J262:J263" si="181">I262/1.1</f>
        <v>13499999.999999998</v>
      </c>
      <c r="K262" s="122"/>
      <c r="L262" s="68">
        <v>46065</v>
      </c>
      <c r="M262" s="26" t="s">
        <v>909</v>
      </c>
      <c r="N262" s="55" t="s">
        <v>97</v>
      </c>
      <c r="O262" s="57">
        <v>0.5</v>
      </c>
      <c r="P262" s="56">
        <f t="shared" si="172"/>
        <v>6749999.9999999991</v>
      </c>
      <c r="Q262" s="26"/>
      <c r="R262" s="56">
        <f t="shared" ref="R262:R263" si="182">J262-P262</f>
        <v>6749999.9999999991</v>
      </c>
      <c r="S262" s="18" t="s">
        <v>929</v>
      </c>
    </row>
    <row r="263" spans="1:20" ht="15" customHeight="1">
      <c r="A263" s="16">
        <v>46065</v>
      </c>
      <c r="B263" s="96" t="s">
        <v>848</v>
      </c>
      <c r="C263" s="4" t="s">
        <v>78</v>
      </c>
      <c r="D263" s="22" t="s">
        <v>849</v>
      </c>
      <c r="E263" s="4"/>
      <c r="F263" s="22" t="s">
        <v>59</v>
      </c>
      <c r="G263" s="18" t="s">
        <v>89</v>
      </c>
      <c r="H263" s="21"/>
      <c r="I263" s="5">
        <v>2200000</v>
      </c>
      <c r="J263" s="56">
        <f t="shared" si="181"/>
        <v>1999999.9999999998</v>
      </c>
      <c r="K263" s="122"/>
      <c r="L263" s="68">
        <v>46065</v>
      </c>
      <c r="M263" s="26" t="s">
        <v>917</v>
      </c>
      <c r="N263" s="18" t="s">
        <v>907</v>
      </c>
      <c r="O263" s="31">
        <v>0.5</v>
      </c>
      <c r="P263" s="56">
        <f t="shared" si="172"/>
        <v>999999.99999999988</v>
      </c>
      <c r="Q263" s="26"/>
      <c r="R263" s="25">
        <f t="shared" si="182"/>
        <v>999999.99999999988</v>
      </c>
      <c r="S263" s="18" t="s">
        <v>115</v>
      </c>
    </row>
    <row r="264" spans="1:20" ht="15" customHeight="1">
      <c r="A264" s="16">
        <v>46065</v>
      </c>
      <c r="B264" s="96" t="s">
        <v>129</v>
      </c>
      <c r="C264" s="4" t="s">
        <v>895</v>
      </c>
      <c r="D264" s="22" t="s">
        <v>1079</v>
      </c>
      <c r="E264" s="4"/>
      <c r="F264" s="22" t="s">
        <v>59</v>
      </c>
      <c r="G264" s="18" t="s">
        <v>89</v>
      </c>
      <c r="H264" s="21"/>
      <c r="I264" s="5">
        <v>550000</v>
      </c>
      <c r="J264" s="56">
        <f t="shared" ref="J264:J265" si="183">I264/1.1</f>
        <v>499999.99999999994</v>
      </c>
      <c r="K264" s="122"/>
      <c r="L264" s="68">
        <v>46065</v>
      </c>
      <c r="M264" s="26" t="s">
        <v>1078</v>
      </c>
      <c r="N264" s="55" t="s">
        <v>907</v>
      </c>
      <c r="O264" s="57">
        <v>0.5</v>
      </c>
      <c r="P264" s="56">
        <f t="shared" si="172"/>
        <v>249999.99999999997</v>
      </c>
      <c r="Q264" s="26"/>
      <c r="R264" s="56">
        <f t="shared" ref="R264:R265" si="184">J264-P264</f>
        <v>249999.99999999997</v>
      </c>
      <c r="S264" s="18" t="s">
        <v>1077</v>
      </c>
    </row>
    <row r="265" spans="1:20" ht="15" customHeight="1">
      <c r="A265" s="16">
        <v>46065</v>
      </c>
      <c r="B265" s="96" t="s">
        <v>850</v>
      </c>
      <c r="C265" s="4" t="s">
        <v>851</v>
      </c>
      <c r="D265" s="18" t="s">
        <v>852</v>
      </c>
      <c r="E265" s="4"/>
      <c r="F265" s="4" t="s">
        <v>17</v>
      </c>
      <c r="G265" s="22" t="s">
        <v>98</v>
      </c>
      <c r="H265" s="21"/>
      <c r="I265" s="5">
        <v>110000</v>
      </c>
      <c r="J265" s="5">
        <f t="shared" si="183"/>
        <v>99999.999999999985</v>
      </c>
      <c r="L265" s="68">
        <v>46065</v>
      </c>
      <c r="M265" s="26" t="s">
        <v>913</v>
      </c>
      <c r="N265" s="74" t="s">
        <v>97</v>
      </c>
      <c r="O265" s="80">
        <v>0.5</v>
      </c>
      <c r="P265" s="56">
        <f t="shared" si="172"/>
        <v>49999.999999999993</v>
      </c>
      <c r="Q265" s="26"/>
      <c r="R265" s="76">
        <f t="shared" si="184"/>
        <v>49999.999999999993</v>
      </c>
      <c r="S265" s="18" t="s">
        <v>853</v>
      </c>
    </row>
    <row r="266" spans="1:20" ht="15" customHeight="1">
      <c r="A266" s="16">
        <v>46066</v>
      </c>
      <c r="B266" s="96" t="s">
        <v>38</v>
      </c>
      <c r="C266" s="4" t="s">
        <v>728</v>
      </c>
      <c r="D266" s="45" t="s">
        <v>729</v>
      </c>
      <c r="E266" s="4" t="s">
        <v>731</v>
      </c>
      <c r="F266" s="22" t="s">
        <v>59</v>
      </c>
      <c r="G266" s="18" t="s">
        <v>89</v>
      </c>
      <c r="H266" s="21">
        <v>46059</v>
      </c>
      <c r="I266" s="5">
        <v>550000</v>
      </c>
      <c r="J266" s="56">
        <f>I266/1.1</f>
        <v>499999.99999999994</v>
      </c>
      <c r="K266" s="108">
        <v>46059</v>
      </c>
      <c r="L266" s="68">
        <v>46066</v>
      </c>
      <c r="M266" s="26" t="s">
        <v>916</v>
      </c>
      <c r="N266" s="55" t="s">
        <v>908</v>
      </c>
      <c r="O266" s="57">
        <v>0.5</v>
      </c>
      <c r="P266" s="56">
        <f t="shared" si="172"/>
        <v>249999.99999999997</v>
      </c>
      <c r="Q266" s="26"/>
      <c r="R266" s="56">
        <v>49999.999999999993</v>
      </c>
      <c r="S266" s="18" t="s">
        <v>923</v>
      </c>
    </row>
    <row r="267" spans="1:20" ht="15" customHeight="1">
      <c r="A267" s="16">
        <v>46066</v>
      </c>
      <c r="B267" s="96" t="s">
        <v>848</v>
      </c>
      <c r="C267" s="4" t="s">
        <v>88</v>
      </c>
      <c r="D267" s="4" t="s">
        <v>901</v>
      </c>
      <c r="E267" s="4"/>
      <c r="F267" s="22" t="s">
        <v>59</v>
      </c>
      <c r="G267" s="18" t="s">
        <v>77</v>
      </c>
      <c r="H267" s="21"/>
      <c r="I267" s="5">
        <v>4290000</v>
      </c>
      <c r="J267" s="56">
        <f t="shared" ref="J267:J268" si="185">I267/1.1</f>
        <v>3899999.9999999995</v>
      </c>
      <c r="K267" s="122"/>
      <c r="L267" s="68">
        <v>46066</v>
      </c>
      <c r="M267" s="26" t="s">
        <v>909</v>
      </c>
      <c r="N267" s="18" t="s">
        <v>907</v>
      </c>
      <c r="O267" s="57">
        <v>0.5</v>
      </c>
      <c r="P267" s="56">
        <f t="shared" si="172"/>
        <v>1949999.9999999998</v>
      </c>
      <c r="Q267" s="26"/>
      <c r="R267" s="25">
        <f t="shared" ref="R267:R268" si="186">J267-P267</f>
        <v>1949999.9999999998</v>
      </c>
      <c r="S267" s="18" t="s">
        <v>117</v>
      </c>
    </row>
    <row r="268" spans="1:20" ht="15" customHeight="1">
      <c r="A268" s="16">
        <v>46066</v>
      </c>
      <c r="B268" s="96" t="s">
        <v>848</v>
      </c>
      <c r="C268" s="4" t="s">
        <v>854</v>
      </c>
      <c r="D268" s="22" t="s">
        <v>855</v>
      </c>
      <c r="E268" s="4"/>
      <c r="F268" s="22" t="s">
        <v>59</v>
      </c>
      <c r="G268" s="18" t="s">
        <v>89</v>
      </c>
      <c r="H268" s="21"/>
      <c r="I268" s="5">
        <v>550000</v>
      </c>
      <c r="J268" s="56">
        <f t="shared" si="185"/>
        <v>499999.99999999994</v>
      </c>
      <c r="K268" s="122"/>
      <c r="L268" s="68">
        <v>46066</v>
      </c>
      <c r="M268" s="26" t="s">
        <v>913</v>
      </c>
      <c r="N268" s="18" t="s">
        <v>907</v>
      </c>
      <c r="O268" s="57">
        <v>0.5</v>
      </c>
      <c r="P268" s="56">
        <f t="shared" si="172"/>
        <v>249999.99999999997</v>
      </c>
      <c r="Q268" s="26"/>
      <c r="R268" s="25">
        <f t="shared" si="186"/>
        <v>249999.99999999997</v>
      </c>
      <c r="S268" s="18" t="s">
        <v>902</v>
      </c>
    </row>
    <row r="269" spans="1:20" ht="15" customHeight="1">
      <c r="A269" s="16">
        <v>46066</v>
      </c>
      <c r="B269" s="96" t="s">
        <v>38</v>
      </c>
      <c r="C269" s="4" t="s">
        <v>858</v>
      </c>
      <c r="D269" s="45" t="s">
        <v>857</v>
      </c>
      <c r="E269" s="4" t="s">
        <v>871</v>
      </c>
      <c r="F269" s="22" t="s">
        <v>59</v>
      </c>
      <c r="G269" s="18" t="s">
        <v>89</v>
      </c>
      <c r="H269" s="21">
        <v>46072</v>
      </c>
      <c r="I269" s="5">
        <v>550000</v>
      </c>
      <c r="J269" s="56">
        <f t="shared" ref="J269" si="187">I269/1.1</f>
        <v>499999.99999999994</v>
      </c>
      <c r="K269" s="122"/>
      <c r="L269" s="68">
        <v>46066</v>
      </c>
      <c r="M269" s="26" t="s">
        <v>913</v>
      </c>
      <c r="N269" s="55" t="s">
        <v>907</v>
      </c>
      <c r="O269" s="57">
        <v>0.5</v>
      </c>
      <c r="P269" s="56">
        <f t="shared" si="172"/>
        <v>249999.99999999997</v>
      </c>
      <c r="Q269" s="26"/>
      <c r="R269" s="56">
        <f t="shared" ref="R269" si="188">J269-P269</f>
        <v>249999.99999999997</v>
      </c>
      <c r="S269" s="18" t="s">
        <v>870</v>
      </c>
    </row>
    <row r="270" spans="1:20" ht="15" customHeight="1">
      <c r="A270" s="16">
        <v>46072</v>
      </c>
      <c r="B270" s="96" t="s">
        <v>38</v>
      </c>
      <c r="C270" s="4" t="s">
        <v>887</v>
      </c>
      <c r="D270" s="45" t="s">
        <v>1137</v>
      </c>
      <c r="E270" s="4" t="s">
        <v>888</v>
      </c>
      <c r="F270" s="22" t="s">
        <v>59</v>
      </c>
      <c r="G270" s="18" t="s">
        <v>89</v>
      </c>
      <c r="H270" s="21">
        <v>46072</v>
      </c>
      <c r="I270" s="5">
        <v>1100000</v>
      </c>
      <c r="J270" s="56">
        <f t="shared" ref="J270:J271" si="189">I270/1.1</f>
        <v>999999.99999999988</v>
      </c>
      <c r="L270" s="68">
        <v>46072</v>
      </c>
      <c r="M270" s="26" t="s">
        <v>909</v>
      </c>
      <c r="N270" s="55" t="s">
        <v>907</v>
      </c>
      <c r="O270" s="57">
        <v>0.5</v>
      </c>
      <c r="P270" s="56">
        <f t="shared" si="172"/>
        <v>499999.99999999994</v>
      </c>
      <c r="Q270" s="26"/>
      <c r="R270" s="56">
        <f t="shared" ref="R270:R273" si="190">J270-P270</f>
        <v>499999.99999999994</v>
      </c>
      <c r="S270" s="18" t="s">
        <v>914</v>
      </c>
    </row>
    <row r="271" spans="1:20" ht="15" customHeight="1">
      <c r="A271" s="19">
        <v>46072</v>
      </c>
      <c r="B271" s="70" t="s">
        <v>889</v>
      </c>
      <c r="C271" s="9" t="s">
        <v>890</v>
      </c>
      <c r="D271" s="30" t="s">
        <v>891</v>
      </c>
      <c r="E271" s="9"/>
      <c r="F271" s="30" t="s">
        <v>59</v>
      </c>
      <c r="G271" s="20" t="s">
        <v>77</v>
      </c>
      <c r="H271" s="34"/>
      <c r="I271" s="10">
        <v>2200000</v>
      </c>
      <c r="J271" s="87">
        <f t="shared" si="189"/>
        <v>1999999.9999999998</v>
      </c>
      <c r="K271" s="128"/>
      <c r="L271" s="58">
        <v>46072</v>
      </c>
      <c r="M271" s="40" t="s">
        <v>1090</v>
      </c>
      <c r="N271" s="86" t="s">
        <v>97</v>
      </c>
      <c r="O271" s="88">
        <v>0.5</v>
      </c>
      <c r="P271" s="87">
        <f t="shared" si="172"/>
        <v>999999.99999999988</v>
      </c>
      <c r="Q271" s="40"/>
      <c r="R271" s="87">
        <f t="shared" si="190"/>
        <v>999999.99999999988</v>
      </c>
      <c r="S271" s="20"/>
      <c r="T271" s="23"/>
    </row>
    <row r="272" spans="1:20" ht="15" customHeight="1">
      <c r="A272" s="16">
        <v>46072</v>
      </c>
      <c r="B272" s="96" t="s">
        <v>892</v>
      </c>
      <c r="C272" s="4" t="s">
        <v>893</v>
      </c>
      <c r="D272" s="22" t="s">
        <v>894</v>
      </c>
      <c r="E272" s="4"/>
      <c r="F272" s="22" t="s">
        <v>59</v>
      </c>
      <c r="G272" s="18" t="s">
        <v>89</v>
      </c>
      <c r="H272" s="21"/>
      <c r="I272" s="5">
        <v>1100000</v>
      </c>
      <c r="J272" s="56">
        <f t="shared" ref="J272" si="191">I272/1.1</f>
        <v>999999.99999999988</v>
      </c>
      <c r="K272" s="122"/>
      <c r="L272" s="68">
        <v>46072</v>
      </c>
      <c r="M272" s="125" t="s">
        <v>903</v>
      </c>
      <c r="N272" s="32" t="s">
        <v>19</v>
      </c>
      <c r="O272" s="57">
        <v>0.5</v>
      </c>
      <c r="P272" s="56">
        <f t="shared" si="172"/>
        <v>499999.99999999994</v>
      </c>
      <c r="R272" s="56">
        <f t="shared" si="190"/>
        <v>499999.99999999994</v>
      </c>
      <c r="S272" s="18" t="s">
        <v>911</v>
      </c>
    </row>
    <row r="273" spans="1:19" ht="15" customHeight="1">
      <c r="A273" s="16">
        <v>46072</v>
      </c>
      <c r="B273" s="96" t="s">
        <v>969</v>
      </c>
      <c r="C273" s="4" t="s">
        <v>972</v>
      </c>
      <c r="D273" s="45" t="s">
        <v>910</v>
      </c>
      <c r="E273" s="4" t="s">
        <v>973</v>
      </c>
      <c r="F273" s="22" t="s">
        <v>59</v>
      </c>
      <c r="G273" s="18" t="s">
        <v>89</v>
      </c>
      <c r="H273" s="21">
        <v>46072</v>
      </c>
      <c r="I273" s="5">
        <v>550000</v>
      </c>
      <c r="J273" s="56">
        <f t="shared" ref="J273" si="192">I273/1.1</f>
        <v>499999.99999999994</v>
      </c>
      <c r="K273" s="122"/>
      <c r="L273" s="68">
        <v>46072</v>
      </c>
      <c r="M273" s="125" t="s">
        <v>43</v>
      </c>
      <c r="N273" s="32" t="s">
        <v>19</v>
      </c>
      <c r="O273" s="57">
        <v>0.5</v>
      </c>
      <c r="P273" s="56">
        <f t="shared" si="172"/>
        <v>249999.99999999997</v>
      </c>
      <c r="R273" s="56">
        <f t="shared" si="190"/>
        <v>249999.99999999997</v>
      </c>
      <c r="S273" s="18" t="s">
        <v>979</v>
      </c>
    </row>
    <row r="274" spans="1:19" ht="15" customHeight="1">
      <c r="A274" s="16">
        <v>46073</v>
      </c>
      <c r="B274" s="96" t="s">
        <v>969</v>
      </c>
      <c r="C274" s="4" t="s">
        <v>970</v>
      </c>
      <c r="D274" s="45" t="s">
        <v>975</v>
      </c>
      <c r="E274" s="4" t="s">
        <v>976</v>
      </c>
      <c r="F274" s="22" t="s">
        <v>59</v>
      </c>
      <c r="G274" s="18" t="s">
        <v>992</v>
      </c>
      <c r="H274" s="21">
        <v>46073</v>
      </c>
      <c r="I274" s="5">
        <v>1100000</v>
      </c>
      <c r="J274" s="56">
        <f t="shared" ref="J274" si="193">I274/1.1</f>
        <v>999999.99999999988</v>
      </c>
      <c r="K274" s="122"/>
      <c r="L274" s="68">
        <v>46073</v>
      </c>
      <c r="M274" s="44" t="s">
        <v>971</v>
      </c>
      <c r="N274" s="32" t="s">
        <v>19</v>
      </c>
      <c r="O274" s="57">
        <v>0.5</v>
      </c>
      <c r="P274" s="56">
        <f t="shared" si="172"/>
        <v>499999.99999999994</v>
      </c>
      <c r="R274" s="56">
        <f t="shared" ref="R274" si="194">J274-P274</f>
        <v>499999.99999999994</v>
      </c>
      <c r="S274" s="18" t="s">
        <v>121</v>
      </c>
    </row>
    <row r="275" spans="1:19" ht="15" customHeight="1">
      <c r="A275" s="16">
        <v>46074</v>
      </c>
      <c r="B275" s="96" t="s">
        <v>38</v>
      </c>
      <c r="C275" s="4" t="s">
        <v>987</v>
      </c>
      <c r="D275" s="45" t="s">
        <v>986</v>
      </c>
      <c r="E275" s="4"/>
      <c r="F275" s="22" t="s">
        <v>59</v>
      </c>
      <c r="G275" s="18" t="s">
        <v>89</v>
      </c>
      <c r="H275" s="21"/>
      <c r="I275" s="5">
        <v>550000</v>
      </c>
      <c r="J275" s="56">
        <f t="shared" ref="J275" si="195">I275/1.1</f>
        <v>499999.99999999994</v>
      </c>
      <c r="K275" s="122"/>
      <c r="L275" s="68">
        <v>46074</v>
      </c>
      <c r="M275" s="44" t="s">
        <v>46</v>
      </c>
      <c r="N275" s="32" t="s">
        <v>19</v>
      </c>
      <c r="O275" s="57">
        <v>0.5</v>
      </c>
      <c r="P275" s="56">
        <f t="shared" si="172"/>
        <v>249999.99999999997</v>
      </c>
      <c r="R275" s="56">
        <f t="shared" ref="R275:R276" si="196">J275-P275</f>
        <v>249999.99999999997</v>
      </c>
      <c r="S275" s="18" t="s">
        <v>1032</v>
      </c>
    </row>
    <row r="276" spans="1:19" ht="15" customHeight="1">
      <c r="A276" s="16">
        <v>46076</v>
      </c>
      <c r="B276" s="96" t="s">
        <v>50</v>
      </c>
      <c r="C276" s="4" t="s">
        <v>988</v>
      </c>
      <c r="D276" s="22" t="s">
        <v>1103</v>
      </c>
      <c r="E276" s="4"/>
      <c r="F276" s="22" t="s">
        <v>59</v>
      </c>
      <c r="G276" s="18" t="s">
        <v>89</v>
      </c>
      <c r="H276" s="21"/>
      <c r="I276" s="5">
        <v>1100000</v>
      </c>
      <c r="J276" s="56">
        <f t="shared" ref="J276" si="197">I276/1.1</f>
        <v>999999.99999999988</v>
      </c>
      <c r="K276" s="122"/>
      <c r="L276" s="68">
        <v>46076</v>
      </c>
      <c r="M276" s="26" t="s">
        <v>1104</v>
      </c>
      <c r="N276" s="4" t="s">
        <v>19</v>
      </c>
      <c r="O276" s="6">
        <v>0.5</v>
      </c>
      <c r="P276" s="5">
        <f t="shared" si="172"/>
        <v>499999.99999999994</v>
      </c>
      <c r="Q276" s="14"/>
      <c r="R276" s="5">
        <f t="shared" si="196"/>
        <v>499999.99999999994</v>
      </c>
      <c r="S276" s="4" t="s">
        <v>1105</v>
      </c>
    </row>
    <row r="277" spans="1:19" ht="15" customHeight="1">
      <c r="A277" s="16">
        <v>46076</v>
      </c>
      <c r="B277" s="96" t="s">
        <v>38</v>
      </c>
      <c r="C277" s="4" t="s">
        <v>982</v>
      </c>
      <c r="D277" s="45" t="s">
        <v>983</v>
      </c>
      <c r="E277" s="4" t="s">
        <v>1025</v>
      </c>
      <c r="F277" s="22" t="s">
        <v>59</v>
      </c>
      <c r="G277" s="18" t="s">
        <v>89</v>
      </c>
      <c r="H277" s="21">
        <v>46078</v>
      </c>
      <c r="I277" s="5">
        <v>550000</v>
      </c>
      <c r="J277" s="56">
        <f>I277/1.1</f>
        <v>499999.99999999994</v>
      </c>
      <c r="K277" s="108">
        <v>46073</v>
      </c>
      <c r="L277" s="68">
        <v>46076</v>
      </c>
      <c r="M277" s="26" t="s">
        <v>916</v>
      </c>
      <c r="N277" s="55" t="s">
        <v>908</v>
      </c>
      <c r="O277" s="57">
        <v>0.5</v>
      </c>
      <c r="P277" s="56">
        <f>J277*O277</f>
        <v>249999.99999999997</v>
      </c>
      <c r="Q277" s="26"/>
      <c r="R277" s="56">
        <v>49999.999999999993</v>
      </c>
      <c r="S277" s="18" t="s">
        <v>984</v>
      </c>
    </row>
    <row r="278" spans="1:19" ht="15" customHeight="1">
      <c r="A278" s="16">
        <v>46076</v>
      </c>
      <c r="B278" s="96" t="s">
        <v>38</v>
      </c>
      <c r="C278" s="4" t="s">
        <v>991</v>
      </c>
      <c r="D278" s="45" t="s">
        <v>996</v>
      </c>
      <c r="E278" s="4" t="s">
        <v>1022</v>
      </c>
      <c r="F278" s="22" t="s">
        <v>59</v>
      </c>
      <c r="G278" s="18" t="s">
        <v>152</v>
      </c>
      <c r="H278" s="21">
        <v>46077</v>
      </c>
      <c r="I278" s="5">
        <v>1650000</v>
      </c>
      <c r="J278" s="56">
        <f t="shared" ref="J278" si="198">I278/1.1</f>
        <v>1499999.9999999998</v>
      </c>
      <c r="K278" s="122"/>
      <c r="L278" s="68">
        <v>46076</v>
      </c>
      <c r="M278" s="44" t="s">
        <v>42</v>
      </c>
      <c r="N278" s="32" t="s">
        <v>19</v>
      </c>
      <c r="O278" s="57">
        <v>0.5</v>
      </c>
      <c r="P278" s="56">
        <f t="shared" ref="P278" si="199">J278*O278</f>
        <v>749999.99999999988</v>
      </c>
      <c r="R278" s="56">
        <f t="shared" ref="R278" si="200">J278-P278</f>
        <v>749999.99999999988</v>
      </c>
      <c r="S278" s="18" t="s">
        <v>997</v>
      </c>
    </row>
    <row r="279" spans="1:19" ht="15" customHeight="1">
      <c r="A279" s="16">
        <v>46076</v>
      </c>
      <c r="B279" s="96" t="s">
        <v>993</v>
      </c>
      <c r="C279" s="4" t="s">
        <v>57</v>
      </c>
      <c r="D279" s="45" t="s">
        <v>1138</v>
      </c>
      <c r="E279" s="4" t="s">
        <v>999</v>
      </c>
      <c r="F279" s="22" t="s">
        <v>59</v>
      </c>
      <c r="G279" s="18" t="s">
        <v>89</v>
      </c>
      <c r="H279" s="21">
        <v>46076</v>
      </c>
      <c r="I279" s="5">
        <v>1100000</v>
      </c>
      <c r="J279" s="56">
        <f t="shared" ref="J279" si="201">I279/1.1</f>
        <v>999999.99999999988</v>
      </c>
      <c r="K279" s="122"/>
      <c r="L279" s="68">
        <v>46076</v>
      </c>
      <c r="M279" s="44" t="s">
        <v>42</v>
      </c>
      <c r="N279" s="32" t="s">
        <v>19</v>
      </c>
      <c r="O279" s="57">
        <v>0.5</v>
      </c>
      <c r="P279" s="56">
        <f t="shared" ref="P279" si="202">J279*O279</f>
        <v>499999.99999999994</v>
      </c>
      <c r="R279" s="56">
        <f t="shared" ref="R279" si="203">J279-P279</f>
        <v>499999.99999999994</v>
      </c>
      <c r="S279" s="18" t="s">
        <v>997</v>
      </c>
    </row>
    <row r="280" spans="1:19" ht="15" customHeight="1">
      <c r="A280" s="16">
        <v>46076</v>
      </c>
      <c r="B280" s="96" t="s">
        <v>993</v>
      </c>
      <c r="C280" s="4" t="s">
        <v>994</v>
      </c>
      <c r="D280" s="45" t="s">
        <v>995</v>
      </c>
      <c r="E280" s="4" t="s">
        <v>1002</v>
      </c>
      <c r="F280" s="22" t="s">
        <v>59</v>
      </c>
      <c r="G280" s="18" t="s">
        <v>89</v>
      </c>
      <c r="H280" s="21">
        <v>46076</v>
      </c>
      <c r="I280" s="5">
        <v>550000</v>
      </c>
      <c r="J280" s="56">
        <f t="shared" ref="J280" si="204">I280/1.1</f>
        <v>499999.99999999994</v>
      </c>
      <c r="K280" s="122"/>
      <c r="L280" s="68">
        <v>46076</v>
      </c>
      <c r="M280" s="44" t="s">
        <v>43</v>
      </c>
      <c r="N280" s="32" t="s">
        <v>19</v>
      </c>
      <c r="O280" s="57">
        <v>0.5</v>
      </c>
      <c r="P280" s="56">
        <f t="shared" ref="P280" si="205">J280*O280</f>
        <v>249999.99999999997</v>
      </c>
      <c r="R280" s="56">
        <f t="shared" ref="R280" si="206">J280-P280</f>
        <v>249999.99999999997</v>
      </c>
      <c r="S280" s="18" t="s">
        <v>998</v>
      </c>
    </row>
    <row r="281" spans="1:19" ht="15" customHeight="1">
      <c r="A281" s="16">
        <v>46076</v>
      </c>
      <c r="B281" s="96" t="s">
        <v>765</v>
      </c>
      <c r="C281" s="4" t="s">
        <v>766</v>
      </c>
      <c r="D281" s="22" t="s">
        <v>767</v>
      </c>
      <c r="E281" s="4"/>
      <c r="F281" s="22" t="s">
        <v>59</v>
      </c>
      <c r="G281" s="18" t="s">
        <v>89</v>
      </c>
      <c r="H281" s="21"/>
      <c r="I281" s="5">
        <v>1100000</v>
      </c>
      <c r="J281" s="56">
        <f>I281/1.1</f>
        <v>999999.99999999988</v>
      </c>
      <c r="K281" s="108">
        <v>46064</v>
      </c>
      <c r="L281" s="68">
        <v>46076</v>
      </c>
      <c r="M281" s="26" t="s">
        <v>916</v>
      </c>
      <c r="N281" s="55" t="s">
        <v>908</v>
      </c>
      <c r="O281" s="57">
        <v>0.5</v>
      </c>
      <c r="P281" s="56">
        <f>J281*O281</f>
        <v>499999.99999999994</v>
      </c>
      <c r="Q281" s="26"/>
      <c r="R281" s="56">
        <v>49999.999999999993</v>
      </c>
      <c r="S281" s="18" t="s">
        <v>112</v>
      </c>
    </row>
    <row r="282" spans="1:19" ht="15" customHeight="1">
      <c r="A282" s="16">
        <v>46076</v>
      </c>
      <c r="B282" s="96" t="s">
        <v>1006</v>
      </c>
      <c r="C282" s="4" t="s">
        <v>1007</v>
      </c>
      <c r="D282" s="22" t="s">
        <v>1008</v>
      </c>
      <c r="E282" s="4"/>
      <c r="F282" s="22" t="s">
        <v>59</v>
      </c>
      <c r="G282" s="18" t="s">
        <v>77</v>
      </c>
      <c r="H282" s="21"/>
      <c r="I282" s="5">
        <v>4537500</v>
      </c>
      <c r="J282" s="56">
        <f t="shared" ref="J282" si="207">I282/1.1</f>
        <v>4124999.9999999995</v>
      </c>
      <c r="K282" s="122"/>
      <c r="L282" s="68">
        <v>46076</v>
      </c>
      <c r="M282" s="26" t="s">
        <v>1009</v>
      </c>
      <c r="N282" s="55" t="s">
        <v>97</v>
      </c>
      <c r="O282" s="57">
        <v>0.5</v>
      </c>
      <c r="P282" s="56">
        <f t="shared" ref="P282:P283" si="208">J282*O282</f>
        <v>2062499.9999999998</v>
      </c>
      <c r="Q282" s="26"/>
      <c r="R282" s="56">
        <f t="shared" ref="R282:R283" si="209">J282-P282</f>
        <v>2062499.9999999998</v>
      </c>
      <c r="S282" s="18" t="s">
        <v>1010</v>
      </c>
    </row>
    <row r="283" spans="1:19" ht="15" customHeight="1">
      <c r="A283" s="16">
        <v>46076</v>
      </c>
      <c r="B283" s="96" t="s">
        <v>1000</v>
      </c>
      <c r="C283" s="4" t="s">
        <v>40</v>
      </c>
      <c r="D283" s="45" t="s">
        <v>1001</v>
      </c>
      <c r="E283" s="4" t="s">
        <v>1005</v>
      </c>
      <c r="F283" s="22" t="s">
        <v>59</v>
      </c>
      <c r="G283" s="18" t="s">
        <v>89</v>
      </c>
      <c r="H283" s="21">
        <v>46076</v>
      </c>
      <c r="I283" s="5">
        <v>550000</v>
      </c>
      <c r="J283" s="56">
        <f>I283/1.1</f>
        <v>499999.99999999994</v>
      </c>
      <c r="K283" s="122"/>
      <c r="L283" s="68">
        <v>46076</v>
      </c>
      <c r="M283" s="44" t="s">
        <v>43</v>
      </c>
      <c r="N283" s="32" t="s">
        <v>19</v>
      </c>
      <c r="O283" s="57">
        <v>0.5</v>
      </c>
      <c r="P283" s="56">
        <f t="shared" si="208"/>
        <v>249999.99999999997</v>
      </c>
      <c r="R283" s="56">
        <f t="shared" si="209"/>
        <v>249999.99999999997</v>
      </c>
      <c r="S283" s="18" t="s">
        <v>1003</v>
      </c>
    </row>
    <row r="284" spans="1:19" s="23" customFormat="1" ht="15" customHeight="1">
      <c r="A284" s="19">
        <v>46076</v>
      </c>
      <c r="B284" s="70" t="s">
        <v>856</v>
      </c>
      <c r="C284" s="9" t="s">
        <v>145</v>
      </c>
      <c r="D284" s="39" t="s">
        <v>103</v>
      </c>
      <c r="E284" s="9"/>
      <c r="F284" s="30" t="s">
        <v>59</v>
      </c>
      <c r="G284" s="20" t="s">
        <v>89</v>
      </c>
      <c r="H284" s="34"/>
      <c r="I284" s="10">
        <v>440000</v>
      </c>
      <c r="J284" s="87">
        <f>I284/1.1</f>
        <v>399999.99999999994</v>
      </c>
      <c r="K284" s="109">
        <v>46066</v>
      </c>
      <c r="L284" s="58">
        <v>46073</v>
      </c>
      <c r="M284" s="40" t="s">
        <v>919</v>
      </c>
      <c r="N284" s="86" t="s">
        <v>908</v>
      </c>
      <c r="O284" s="88">
        <v>0.5</v>
      </c>
      <c r="P284" s="87">
        <f>J284*O284</f>
        <v>199999.99999999997</v>
      </c>
      <c r="Q284" s="40"/>
      <c r="R284" s="87">
        <v>49999.999999999993</v>
      </c>
      <c r="S284" s="20" t="s">
        <v>1004</v>
      </c>
    </row>
    <row r="285" spans="1:19" s="23" customFormat="1" ht="15" customHeight="1">
      <c r="A285" s="19">
        <v>46076</v>
      </c>
      <c r="B285" s="70" t="s">
        <v>1011</v>
      </c>
      <c r="C285" s="9" t="s">
        <v>82</v>
      </c>
      <c r="D285" s="30" t="s">
        <v>155</v>
      </c>
      <c r="E285" s="9"/>
      <c r="F285" s="30" t="s">
        <v>59</v>
      </c>
      <c r="G285" s="20" t="s">
        <v>77</v>
      </c>
      <c r="H285" s="34"/>
      <c r="I285" s="10">
        <v>10903310</v>
      </c>
      <c r="J285" s="87">
        <f t="shared" ref="J285:J287" si="210">I285/1.1</f>
        <v>9912100</v>
      </c>
      <c r="K285" s="128"/>
      <c r="L285" s="58">
        <v>46076</v>
      </c>
      <c r="M285" s="40" t="s">
        <v>48</v>
      </c>
      <c r="N285" s="86" t="s">
        <v>97</v>
      </c>
      <c r="O285" s="88">
        <v>0.5</v>
      </c>
      <c r="P285" s="87">
        <f t="shared" ref="P285:P287" si="211">J285*O285</f>
        <v>4956050</v>
      </c>
      <c r="Q285" s="40"/>
      <c r="R285" s="87">
        <f t="shared" ref="R285:R287" si="212">J285-P285</f>
        <v>4956050</v>
      </c>
      <c r="S285" s="20"/>
    </row>
    <row r="286" spans="1:19" ht="15" customHeight="1">
      <c r="A286" s="16">
        <v>46076</v>
      </c>
      <c r="B286" s="96" t="s">
        <v>52</v>
      </c>
      <c r="C286" s="4" t="s">
        <v>1012</v>
      </c>
      <c r="D286" s="45" t="s">
        <v>1013</v>
      </c>
      <c r="E286" s="4" t="s">
        <v>1016</v>
      </c>
      <c r="F286" s="22" t="s">
        <v>59</v>
      </c>
      <c r="G286" s="18" t="s">
        <v>89</v>
      </c>
      <c r="H286" s="21">
        <v>46076</v>
      </c>
      <c r="I286" s="5">
        <v>550000</v>
      </c>
      <c r="J286" s="56">
        <f t="shared" si="210"/>
        <v>499999.99999999994</v>
      </c>
      <c r="K286" s="122"/>
      <c r="L286" s="68">
        <v>46076</v>
      </c>
      <c r="M286" s="44" t="s">
        <v>43</v>
      </c>
      <c r="N286" s="45" t="s">
        <v>1014</v>
      </c>
      <c r="O286" s="57">
        <v>0.5</v>
      </c>
      <c r="P286" s="56">
        <f t="shared" si="211"/>
        <v>249999.99999999997</v>
      </c>
      <c r="R286" s="56">
        <f t="shared" si="212"/>
        <v>249999.99999999997</v>
      </c>
      <c r="S286" s="18" t="s">
        <v>1015</v>
      </c>
    </row>
    <row r="287" spans="1:19" ht="15" customHeight="1">
      <c r="A287" s="16">
        <v>46076</v>
      </c>
      <c r="B287" s="43" t="s">
        <v>1017</v>
      </c>
      <c r="C287" s="22" t="s">
        <v>1018</v>
      </c>
      <c r="D287" s="22" t="s">
        <v>1019</v>
      </c>
      <c r="F287" s="22" t="s">
        <v>59</v>
      </c>
      <c r="G287" s="22" t="s">
        <v>86</v>
      </c>
      <c r="I287" s="5">
        <v>120000</v>
      </c>
      <c r="J287" s="56">
        <f t="shared" si="210"/>
        <v>109090.90909090909</v>
      </c>
      <c r="K287" s="122"/>
      <c r="L287" s="68">
        <v>46076</v>
      </c>
      <c r="M287" s="26" t="s">
        <v>1044</v>
      </c>
      <c r="N287" s="55" t="s">
        <v>97</v>
      </c>
      <c r="O287" s="57">
        <v>0.5</v>
      </c>
      <c r="P287" s="56">
        <f t="shared" si="211"/>
        <v>54545.454545454544</v>
      </c>
      <c r="Q287" s="71"/>
      <c r="R287" s="56">
        <f t="shared" si="212"/>
        <v>54545.454545454544</v>
      </c>
      <c r="S287" s="18" t="s">
        <v>1047</v>
      </c>
    </row>
    <row r="288" spans="1:19" ht="15" customHeight="1">
      <c r="A288" s="16">
        <v>46077</v>
      </c>
      <c r="B288" s="96" t="s">
        <v>52</v>
      </c>
      <c r="C288" s="4" t="s">
        <v>105</v>
      </c>
      <c r="D288" s="45" t="s">
        <v>1024</v>
      </c>
      <c r="E288" s="4" t="s">
        <v>1089</v>
      </c>
      <c r="F288" s="22" t="s">
        <v>59</v>
      </c>
      <c r="G288" s="18" t="s">
        <v>89</v>
      </c>
      <c r="H288" s="21">
        <v>46085</v>
      </c>
      <c r="I288" s="5">
        <v>2200000</v>
      </c>
      <c r="J288" s="56">
        <f t="shared" ref="J288" si="213">I288/1.1</f>
        <v>1999999.9999999998</v>
      </c>
      <c r="K288" s="122"/>
      <c r="L288" s="68">
        <v>46076</v>
      </c>
      <c r="M288" s="26" t="s">
        <v>1027</v>
      </c>
      <c r="N288" s="45" t="s">
        <v>97</v>
      </c>
      <c r="O288" s="57">
        <v>0.5</v>
      </c>
      <c r="P288" s="56">
        <f t="shared" ref="P288" si="214">J288*O288</f>
        <v>999999.99999999988</v>
      </c>
      <c r="R288" s="56">
        <f t="shared" ref="R288" si="215">J288-P288</f>
        <v>999999.99999999988</v>
      </c>
      <c r="S288" s="18" t="s">
        <v>1028</v>
      </c>
    </row>
    <row r="289" spans="1:19" ht="15" customHeight="1">
      <c r="A289" s="16">
        <v>46077</v>
      </c>
      <c r="B289" s="96" t="s">
        <v>50</v>
      </c>
      <c r="C289" s="4" t="s">
        <v>989</v>
      </c>
      <c r="D289" s="22" t="s">
        <v>990</v>
      </c>
      <c r="E289" s="4"/>
      <c r="F289" s="22" t="s">
        <v>59</v>
      </c>
      <c r="G289" s="18" t="s">
        <v>89</v>
      </c>
      <c r="H289" s="21"/>
      <c r="I289" s="5">
        <v>550000</v>
      </c>
      <c r="J289" s="56">
        <f>I289/1.1</f>
        <v>499999.99999999994</v>
      </c>
      <c r="K289" s="108">
        <v>46066</v>
      </c>
      <c r="L289" s="68">
        <v>46077</v>
      </c>
      <c r="M289" s="26" t="s">
        <v>101</v>
      </c>
      <c r="N289" s="55" t="s">
        <v>100</v>
      </c>
      <c r="O289" s="57">
        <v>0.5</v>
      </c>
      <c r="P289" s="56">
        <f t="shared" ref="P289:P291" si="216">J289*O289</f>
        <v>249999.99999999997</v>
      </c>
      <c r="Q289" s="26"/>
      <c r="R289" s="56">
        <v>49999.999999999993</v>
      </c>
      <c r="S289" s="18" t="s">
        <v>41</v>
      </c>
    </row>
    <row r="290" spans="1:19" ht="15" customHeight="1">
      <c r="A290" s="16">
        <v>46077</v>
      </c>
      <c r="B290" s="96" t="s">
        <v>38</v>
      </c>
      <c r="C290" s="4" t="s">
        <v>39</v>
      </c>
      <c r="D290" s="22" t="s">
        <v>725</v>
      </c>
      <c r="E290" s="4"/>
      <c r="F290" s="22" t="s">
        <v>59</v>
      </c>
      <c r="G290" s="18" t="s">
        <v>77</v>
      </c>
      <c r="H290" s="21"/>
      <c r="I290" s="5">
        <v>2200000</v>
      </c>
      <c r="J290" s="56">
        <f t="shared" ref="J290:J291" si="217">I290/1.1</f>
        <v>1999999.9999999998</v>
      </c>
      <c r="K290" s="122"/>
      <c r="L290" s="68">
        <v>46077</v>
      </c>
      <c r="M290" s="26" t="s">
        <v>42</v>
      </c>
      <c r="N290" s="55" t="s">
        <v>99</v>
      </c>
      <c r="O290" s="57">
        <v>0.5</v>
      </c>
      <c r="P290" s="56">
        <f t="shared" si="216"/>
        <v>999999.99999999988</v>
      </c>
      <c r="Q290" s="26"/>
      <c r="R290" s="56">
        <f t="shared" ref="R290:R291" si="218">J290-P290</f>
        <v>999999.99999999988</v>
      </c>
      <c r="S290" s="18" t="s">
        <v>119</v>
      </c>
    </row>
    <row r="291" spans="1:19" ht="15" customHeight="1">
      <c r="A291" s="16">
        <v>46077</v>
      </c>
      <c r="B291" s="96" t="s">
        <v>1020</v>
      </c>
      <c r="C291" s="4" t="s">
        <v>70</v>
      </c>
      <c r="D291" s="22" t="s">
        <v>1021</v>
      </c>
      <c r="F291" s="22" t="s">
        <v>59</v>
      </c>
      <c r="G291" s="18" t="s">
        <v>89</v>
      </c>
      <c r="I291" s="5">
        <v>2200000</v>
      </c>
      <c r="J291" s="56">
        <f t="shared" si="217"/>
        <v>1999999.9999999998</v>
      </c>
      <c r="K291" s="122"/>
      <c r="L291" s="68">
        <v>46077</v>
      </c>
      <c r="M291" s="26" t="s">
        <v>1091</v>
      </c>
      <c r="N291" s="4" t="s">
        <v>19</v>
      </c>
      <c r="O291" s="6">
        <v>0.5</v>
      </c>
      <c r="P291" s="5">
        <f t="shared" si="216"/>
        <v>999999.99999999988</v>
      </c>
      <c r="Q291" s="14"/>
      <c r="R291" s="5">
        <f t="shared" si="218"/>
        <v>999999.99999999988</v>
      </c>
      <c r="S291" s="4" t="s">
        <v>1102</v>
      </c>
    </row>
    <row r="292" spans="1:19" ht="15" customHeight="1">
      <c r="A292" s="16">
        <v>46077</v>
      </c>
      <c r="B292" s="96" t="s">
        <v>38</v>
      </c>
      <c r="C292" s="4" t="s">
        <v>39</v>
      </c>
      <c r="D292" s="22" t="s">
        <v>1066</v>
      </c>
      <c r="E292" s="4"/>
      <c r="F292" s="22" t="s">
        <v>59</v>
      </c>
      <c r="G292" s="18" t="s">
        <v>77</v>
      </c>
      <c r="H292" s="21"/>
      <c r="I292" s="5">
        <v>18700000</v>
      </c>
      <c r="J292" s="56">
        <f t="shared" ref="J292" si="219">I292/1.1</f>
        <v>17000000</v>
      </c>
      <c r="K292" s="122"/>
      <c r="L292" s="68">
        <v>46077</v>
      </c>
      <c r="M292" s="26" t="s">
        <v>42</v>
      </c>
      <c r="N292" s="55" t="s">
        <v>99</v>
      </c>
      <c r="O292" s="57">
        <v>0.5</v>
      </c>
      <c r="P292" s="56">
        <f t="shared" ref="P292" si="220">J292*O292</f>
        <v>8500000</v>
      </c>
      <c r="Q292" s="26"/>
      <c r="R292" s="56">
        <f t="shared" ref="R292" si="221">J292-P292</f>
        <v>8500000</v>
      </c>
      <c r="S292" s="18" t="s">
        <v>1067</v>
      </c>
    </row>
    <row r="293" spans="1:19" ht="15" customHeight="1">
      <c r="A293" s="16">
        <v>46077</v>
      </c>
      <c r="B293" s="96" t="s">
        <v>38</v>
      </c>
      <c r="C293" s="4" t="s">
        <v>145</v>
      </c>
      <c r="D293" s="22" t="s">
        <v>1023</v>
      </c>
      <c r="E293" s="4"/>
      <c r="F293" s="22" t="s">
        <v>59</v>
      </c>
      <c r="G293" s="18" t="s">
        <v>77</v>
      </c>
      <c r="H293" s="21"/>
      <c r="I293" s="5">
        <v>3573900</v>
      </c>
      <c r="J293" s="56">
        <f t="shared" ref="J293:J294" si="222">I293/1.1</f>
        <v>3248999.9999999995</v>
      </c>
      <c r="K293" s="122"/>
      <c r="L293" s="68">
        <v>46077</v>
      </c>
      <c r="M293" s="26" t="s">
        <v>42</v>
      </c>
      <c r="N293" s="55" t="s">
        <v>99</v>
      </c>
      <c r="O293" s="57">
        <v>0.5</v>
      </c>
      <c r="P293" s="56">
        <f t="shared" ref="P293:P294" si="223">J293*O293</f>
        <v>1624499.9999999998</v>
      </c>
      <c r="Q293" s="26"/>
      <c r="R293" s="56">
        <f t="shared" ref="R293:R294" si="224">J293-P293</f>
        <v>1624499.9999999998</v>
      </c>
      <c r="S293" s="18" t="s">
        <v>119</v>
      </c>
    </row>
    <row r="294" spans="1:19" ht="15" customHeight="1">
      <c r="A294" s="16">
        <v>46078</v>
      </c>
      <c r="B294" s="96" t="s">
        <v>52</v>
      </c>
      <c r="C294" s="4" t="s">
        <v>1033</v>
      </c>
      <c r="D294" s="45" t="s">
        <v>1140</v>
      </c>
      <c r="E294" s="4" t="s">
        <v>1040</v>
      </c>
      <c r="F294" s="22" t="s">
        <v>59</v>
      </c>
      <c r="G294" s="18" t="s">
        <v>89</v>
      </c>
      <c r="H294" s="21">
        <v>46078</v>
      </c>
      <c r="I294" s="5">
        <v>550000</v>
      </c>
      <c r="J294" s="56">
        <f t="shared" si="222"/>
        <v>499999.99999999994</v>
      </c>
      <c r="K294" s="122"/>
      <c r="L294" s="68">
        <v>46078</v>
      </c>
      <c r="M294" s="26" t="s">
        <v>1030</v>
      </c>
      <c r="N294" s="45" t="s">
        <v>97</v>
      </c>
      <c r="O294" s="57">
        <v>0.5</v>
      </c>
      <c r="P294" s="56">
        <f t="shared" si="223"/>
        <v>249999.99999999997</v>
      </c>
      <c r="R294" s="56">
        <f t="shared" si="224"/>
        <v>249999.99999999997</v>
      </c>
      <c r="S294" s="18" t="s">
        <v>1029</v>
      </c>
    </row>
    <row r="295" spans="1:19" ht="15" customHeight="1">
      <c r="A295" s="16">
        <v>46078</v>
      </c>
      <c r="B295" s="96" t="s">
        <v>49</v>
      </c>
      <c r="C295" s="4" t="s">
        <v>126</v>
      </c>
      <c r="D295" s="22" t="s">
        <v>692</v>
      </c>
      <c r="F295" s="22" t="s">
        <v>59</v>
      </c>
      <c r="G295" s="18" t="s">
        <v>77</v>
      </c>
      <c r="I295" s="5">
        <v>22440000</v>
      </c>
      <c r="J295" s="56">
        <f>I295/1.1</f>
        <v>20400000</v>
      </c>
      <c r="K295" s="122"/>
      <c r="L295" s="68">
        <v>46078</v>
      </c>
      <c r="M295" s="26" t="s">
        <v>42</v>
      </c>
      <c r="N295" s="45" t="s">
        <v>97</v>
      </c>
      <c r="O295" s="57">
        <v>0.5</v>
      </c>
      <c r="P295" s="56">
        <f t="shared" ref="P295" si="225">J295*O295</f>
        <v>10200000</v>
      </c>
      <c r="R295" s="56">
        <f t="shared" ref="R295" si="226">J295-P295</f>
        <v>10200000</v>
      </c>
      <c r="S295" s="15" t="s">
        <v>1080</v>
      </c>
    </row>
    <row r="296" spans="1:19" ht="15" customHeight="1">
      <c r="A296" s="16">
        <v>46078</v>
      </c>
      <c r="B296" s="96" t="s">
        <v>856</v>
      </c>
      <c r="C296" s="4" t="s">
        <v>859</v>
      </c>
      <c r="D296" s="45" t="s">
        <v>1139</v>
      </c>
      <c r="E296" s="4" t="s">
        <v>869</v>
      </c>
      <c r="F296" s="22" t="s">
        <v>59</v>
      </c>
      <c r="G296" s="18" t="s">
        <v>89</v>
      </c>
      <c r="H296" s="21">
        <v>46066</v>
      </c>
      <c r="I296" s="5">
        <v>550000</v>
      </c>
      <c r="J296" s="56">
        <f>I296/1.1</f>
        <v>499999.99999999994</v>
      </c>
      <c r="K296" s="108">
        <v>46066</v>
      </c>
      <c r="L296" s="68">
        <v>46078</v>
      </c>
      <c r="M296" s="26" t="s">
        <v>916</v>
      </c>
      <c r="N296" s="55" t="s">
        <v>908</v>
      </c>
      <c r="O296" s="57">
        <v>0.5</v>
      </c>
      <c r="P296" s="56">
        <f>J296*O296</f>
        <v>249999.99999999997</v>
      </c>
      <c r="Q296" s="26"/>
      <c r="R296" s="56">
        <v>49999.999999999993</v>
      </c>
      <c r="S296" s="18" t="s">
        <v>923</v>
      </c>
    </row>
    <row r="297" spans="1:19" ht="15" customHeight="1">
      <c r="A297" s="16">
        <v>46078</v>
      </c>
      <c r="B297" s="96" t="s">
        <v>50</v>
      </c>
      <c r="C297" s="4" t="s">
        <v>860</v>
      </c>
      <c r="D297" s="22" t="s">
        <v>861</v>
      </c>
      <c r="E297" s="4"/>
      <c r="F297" s="22" t="s">
        <v>59</v>
      </c>
      <c r="G297" s="18" t="s">
        <v>89</v>
      </c>
      <c r="H297" s="21"/>
      <c r="I297" s="5">
        <v>550000</v>
      </c>
      <c r="J297" s="56">
        <f t="shared" ref="J297:J298" si="227">I297/1.1</f>
        <v>499999.99999999994</v>
      </c>
      <c r="K297" s="108">
        <v>46066</v>
      </c>
      <c r="L297" s="68">
        <v>46078</v>
      </c>
      <c r="M297" s="26" t="s">
        <v>916</v>
      </c>
      <c r="N297" s="55" t="s">
        <v>908</v>
      </c>
      <c r="O297" s="57">
        <v>0.5</v>
      </c>
      <c r="P297" s="56">
        <f>J297*O297</f>
        <v>249999.99999999997</v>
      </c>
      <c r="Q297" s="26"/>
      <c r="R297" s="56">
        <v>49999.999999999993</v>
      </c>
      <c r="S297" s="18" t="s">
        <v>112</v>
      </c>
    </row>
    <row r="298" spans="1:19" ht="15" customHeight="1">
      <c r="A298" s="16">
        <v>46078</v>
      </c>
      <c r="B298" s="96" t="s">
        <v>50</v>
      </c>
      <c r="C298" s="4" t="s">
        <v>51</v>
      </c>
      <c r="D298" s="18" t="s">
        <v>144</v>
      </c>
      <c r="E298" s="4"/>
      <c r="F298" s="4" t="s">
        <v>17</v>
      </c>
      <c r="G298" s="22" t="s">
        <v>98</v>
      </c>
      <c r="H298" s="21"/>
      <c r="I298" s="5">
        <v>110000</v>
      </c>
      <c r="J298" s="5">
        <f t="shared" si="227"/>
        <v>99999.999999999985</v>
      </c>
      <c r="K298" s="108">
        <v>46066</v>
      </c>
      <c r="L298" s="68">
        <v>46078</v>
      </c>
      <c r="M298" s="26" t="s">
        <v>916</v>
      </c>
      <c r="N298" s="55" t="s">
        <v>100</v>
      </c>
      <c r="O298" s="57">
        <v>0.5</v>
      </c>
      <c r="P298" s="56">
        <f>J298*O298</f>
        <v>49999.999999999993</v>
      </c>
      <c r="Q298" s="26"/>
      <c r="R298" s="56">
        <v>49999.999999999993</v>
      </c>
      <c r="S298" s="18" t="s">
        <v>906</v>
      </c>
    </row>
    <row r="299" spans="1:19" ht="15" customHeight="1">
      <c r="A299" s="16">
        <v>46078</v>
      </c>
      <c r="B299" s="96" t="s">
        <v>38</v>
      </c>
      <c r="C299" s="4" t="s">
        <v>862</v>
      </c>
      <c r="D299" s="45" t="s">
        <v>863</v>
      </c>
      <c r="E299" s="4" t="s">
        <v>1108</v>
      </c>
      <c r="F299" s="22" t="s">
        <v>59</v>
      </c>
      <c r="G299" s="18" t="s">
        <v>89</v>
      </c>
      <c r="H299" s="21">
        <v>46101</v>
      </c>
      <c r="I299" s="5">
        <v>550000</v>
      </c>
      <c r="J299" s="56">
        <f t="shared" ref="J299:J300" si="228">I299/1.1</f>
        <v>499999.99999999994</v>
      </c>
      <c r="K299" s="108">
        <v>46067</v>
      </c>
      <c r="L299" s="68">
        <v>46078</v>
      </c>
      <c r="M299" s="26" t="s">
        <v>916</v>
      </c>
      <c r="N299" s="55" t="s">
        <v>908</v>
      </c>
      <c r="O299" s="57">
        <v>0.5</v>
      </c>
      <c r="P299" s="56">
        <f>J299*O299</f>
        <v>249999.99999999997</v>
      </c>
      <c r="Q299" s="26"/>
      <c r="R299" s="56">
        <v>49999.999999999993</v>
      </c>
      <c r="S299" s="18" t="s">
        <v>906</v>
      </c>
    </row>
    <row r="300" spans="1:19" ht="15" customHeight="1">
      <c r="A300" s="16">
        <v>46078</v>
      </c>
      <c r="B300" s="96" t="s">
        <v>50</v>
      </c>
      <c r="C300" s="4" t="s">
        <v>864</v>
      </c>
      <c r="D300" s="18" t="s">
        <v>865</v>
      </c>
      <c r="E300" s="4"/>
      <c r="F300" s="4" t="s">
        <v>17</v>
      </c>
      <c r="G300" s="22" t="s">
        <v>98</v>
      </c>
      <c r="H300" s="21"/>
      <c r="I300" s="5">
        <v>220000</v>
      </c>
      <c r="J300" s="5">
        <f t="shared" si="228"/>
        <v>199999.99999999997</v>
      </c>
      <c r="K300" s="108">
        <v>46071</v>
      </c>
      <c r="L300" s="68">
        <v>46078</v>
      </c>
      <c r="M300" s="26" t="s">
        <v>916</v>
      </c>
      <c r="N300" s="55" t="s">
        <v>908</v>
      </c>
      <c r="O300" s="57">
        <v>0.5</v>
      </c>
      <c r="P300" s="56">
        <f>J300*O300</f>
        <v>99999.999999999985</v>
      </c>
      <c r="Q300" s="26"/>
      <c r="R300" s="56">
        <v>49999.999999999993</v>
      </c>
      <c r="S300" s="18" t="s">
        <v>906</v>
      </c>
    </row>
    <row r="301" spans="1:19" ht="15" customHeight="1">
      <c r="A301" s="16">
        <v>46078</v>
      </c>
      <c r="B301" s="96" t="s">
        <v>1038</v>
      </c>
      <c r="C301" s="4" t="s">
        <v>36</v>
      </c>
      <c r="D301" s="22" t="s">
        <v>1039</v>
      </c>
      <c r="F301" s="22" t="s">
        <v>59</v>
      </c>
      <c r="G301" s="18" t="s">
        <v>77</v>
      </c>
      <c r="I301" s="5">
        <v>2541000</v>
      </c>
      <c r="J301" s="56">
        <f>I301/1.1</f>
        <v>2310000</v>
      </c>
      <c r="K301" s="122"/>
      <c r="L301" s="68">
        <v>46078</v>
      </c>
      <c r="M301" s="26" t="s">
        <v>1093</v>
      </c>
      <c r="N301" s="4" t="s">
        <v>19</v>
      </c>
      <c r="O301" s="6">
        <v>0.5</v>
      </c>
      <c r="P301" s="5">
        <f t="shared" ref="P301" si="229">J301*O301</f>
        <v>1155000</v>
      </c>
      <c r="Q301" s="14"/>
      <c r="R301" s="5">
        <f t="shared" ref="R301" si="230">J301-P301</f>
        <v>1155000</v>
      </c>
      <c r="S301" s="4" t="s">
        <v>1101</v>
      </c>
    </row>
    <row r="302" spans="1:19" ht="15" customHeight="1">
      <c r="A302" s="16">
        <v>46078</v>
      </c>
      <c r="B302" s="96" t="s">
        <v>1026</v>
      </c>
      <c r="C302" s="4" t="s">
        <v>68</v>
      </c>
      <c r="D302" s="45" t="s">
        <v>570</v>
      </c>
      <c r="F302" s="22" t="s">
        <v>59</v>
      </c>
      <c r="G302" s="18" t="s">
        <v>77</v>
      </c>
      <c r="I302" s="5">
        <v>16500000</v>
      </c>
      <c r="J302" s="56">
        <f>I302/1.1</f>
        <v>14999999.999999998</v>
      </c>
      <c r="K302" s="122"/>
      <c r="L302" s="68">
        <v>46078</v>
      </c>
      <c r="M302" s="26" t="s">
        <v>1041</v>
      </c>
      <c r="N302" s="45" t="s">
        <v>97</v>
      </c>
      <c r="O302" s="57">
        <v>0.5</v>
      </c>
      <c r="P302" s="56">
        <f t="shared" ref="P302:P304" si="231">J302*O302</f>
        <v>7499999.9999999991</v>
      </c>
      <c r="R302" s="56">
        <f t="shared" ref="R302:R304" si="232">J302-P302</f>
        <v>7499999.9999999991</v>
      </c>
      <c r="S302" s="18" t="s">
        <v>1042</v>
      </c>
    </row>
    <row r="303" spans="1:19" s="53" customFormat="1" ht="15" customHeight="1">
      <c r="A303" s="19">
        <v>46078</v>
      </c>
      <c r="B303" s="72" t="s">
        <v>47</v>
      </c>
      <c r="C303" s="20" t="s">
        <v>150</v>
      </c>
      <c r="D303" s="86" t="s">
        <v>196</v>
      </c>
      <c r="E303" s="20" t="s">
        <v>198</v>
      </c>
      <c r="F303" s="86" t="s">
        <v>17</v>
      </c>
      <c r="G303" s="20" t="s">
        <v>18</v>
      </c>
      <c r="H303" s="50">
        <v>46024</v>
      </c>
      <c r="I303" s="67">
        <v>-1100000</v>
      </c>
      <c r="J303" s="87">
        <f t="shared" ref="J303:J304" si="233">I303/1.1</f>
        <v>-999999.99999999988</v>
      </c>
      <c r="K303" s="129"/>
      <c r="L303" s="58">
        <v>46024</v>
      </c>
      <c r="M303" s="40" t="s">
        <v>107</v>
      </c>
      <c r="N303" s="89" t="s">
        <v>19</v>
      </c>
      <c r="O303" s="101">
        <v>0.5</v>
      </c>
      <c r="P303" s="91">
        <f t="shared" si="231"/>
        <v>-499999.99999999994</v>
      </c>
      <c r="Q303" s="72"/>
      <c r="R303" s="91">
        <f t="shared" si="232"/>
        <v>-499999.99999999994</v>
      </c>
      <c r="S303" s="20" t="s">
        <v>1043</v>
      </c>
    </row>
    <row r="304" spans="1:19" ht="15" customHeight="1">
      <c r="A304" s="16">
        <v>46078</v>
      </c>
      <c r="B304" s="96" t="s">
        <v>1048</v>
      </c>
      <c r="C304" s="4" t="s">
        <v>87</v>
      </c>
      <c r="D304" s="22" t="s">
        <v>1100</v>
      </c>
      <c r="E304" s="4"/>
      <c r="F304" s="22" t="s">
        <v>59</v>
      </c>
      <c r="G304" s="18" t="s">
        <v>89</v>
      </c>
      <c r="H304" s="21"/>
      <c r="I304" s="5">
        <v>550000</v>
      </c>
      <c r="J304" s="56">
        <f t="shared" si="233"/>
        <v>499999.99999999994</v>
      </c>
      <c r="K304" s="122"/>
      <c r="L304" s="68">
        <v>46078</v>
      </c>
      <c r="M304" s="26" t="s">
        <v>42</v>
      </c>
      <c r="N304" s="4" t="s">
        <v>19</v>
      </c>
      <c r="O304" s="6">
        <v>0.5</v>
      </c>
      <c r="P304" s="5">
        <f t="shared" si="231"/>
        <v>249999.99999999997</v>
      </c>
      <c r="Q304" s="14"/>
      <c r="R304" s="5">
        <f t="shared" si="232"/>
        <v>249999.99999999997</v>
      </c>
      <c r="S304" s="4" t="s">
        <v>120</v>
      </c>
    </row>
    <row r="305" spans="1:19" ht="15" customHeight="1">
      <c r="A305" s="16">
        <v>46078</v>
      </c>
      <c r="B305" s="96" t="s">
        <v>1034</v>
      </c>
      <c r="C305" s="4" t="s">
        <v>1035</v>
      </c>
      <c r="D305" s="45" t="s">
        <v>1036</v>
      </c>
      <c r="E305" s="4" t="s">
        <v>1121</v>
      </c>
      <c r="F305" s="22" t="s">
        <v>59</v>
      </c>
      <c r="G305" s="18" t="s">
        <v>89</v>
      </c>
      <c r="H305" s="21">
        <v>46078</v>
      </c>
      <c r="I305" s="5">
        <v>550000</v>
      </c>
      <c r="J305" s="56">
        <f>I305/1.1</f>
        <v>499999.99999999994</v>
      </c>
      <c r="K305" s="122"/>
      <c r="L305" s="68">
        <v>46078</v>
      </c>
      <c r="M305" s="44" t="s">
        <v>43</v>
      </c>
      <c r="N305" s="45" t="s">
        <v>104</v>
      </c>
      <c r="O305" s="57">
        <v>0.5</v>
      </c>
      <c r="P305" s="56">
        <f>J305*O305</f>
        <v>249999.99999999997</v>
      </c>
      <c r="R305" s="56">
        <f>J305-P305</f>
        <v>249999.99999999997</v>
      </c>
      <c r="S305" s="18" t="s">
        <v>1037</v>
      </c>
    </row>
    <row r="306" spans="1:19" ht="15" customHeight="1">
      <c r="A306" s="16">
        <v>46079</v>
      </c>
      <c r="B306" s="96" t="s">
        <v>1050</v>
      </c>
      <c r="C306" s="4" t="s">
        <v>1051</v>
      </c>
      <c r="D306" s="22" t="s">
        <v>1052</v>
      </c>
      <c r="E306" s="4"/>
      <c r="F306" s="22" t="s">
        <v>59</v>
      </c>
      <c r="G306" s="18" t="s">
        <v>89</v>
      </c>
      <c r="H306" s="21"/>
      <c r="I306" s="5">
        <v>550000</v>
      </c>
      <c r="J306" s="56">
        <f t="shared" ref="J306:J307" si="234">I306/1.1</f>
        <v>499999.99999999994</v>
      </c>
      <c r="K306" s="122"/>
      <c r="L306" s="68">
        <v>46079</v>
      </c>
      <c r="M306" s="130" t="s">
        <v>140</v>
      </c>
      <c r="N306" s="45" t="s">
        <v>97</v>
      </c>
      <c r="O306" s="57">
        <v>0.5</v>
      </c>
      <c r="P306" s="56">
        <f t="shared" ref="P306:P308" si="235">J306*O306</f>
        <v>249999.99999999997</v>
      </c>
      <c r="R306" s="56">
        <f t="shared" ref="R306:R308" si="236">J306-P306</f>
        <v>249999.99999999997</v>
      </c>
      <c r="S306" s="18"/>
    </row>
    <row r="307" spans="1:19" ht="15" customHeight="1">
      <c r="A307" s="16">
        <v>46079</v>
      </c>
      <c r="B307" s="96" t="s">
        <v>50</v>
      </c>
      <c r="C307" s="4" t="s">
        <v>102</v>
      </c>
      <c r="D307" s="22" t="s">
        <v>1053</v>
      </c>
      <c r="E307" s="4"/>
      <c r="F307" s="22" t="s">
        <v>59</v>
      </c>
      <c r="G307" s="18" t="s">
        <v>89</v>
      </c>
      <c r="H307" s="21"/>
      <c r="I307" s="5">
        <v>1100000</v>
      </c>
      <c r="J307" s="56">
        <f t="shared" si="234"/>
        <v>999999.99999999988</v>
      </c>
      <c r="K307" s="122"/>
      <c r="L307" s="68">
        <v>46079</v>
      </c>
      <c r="M307" s="26" t="s">
        <v>43</v>
      </c>
      <c r="N307" s="4" t="s">
        <v>19</v>
      </c>
      <c r="O307" s="6">
        <v>0.5</v>
      </c>
      <c r="P307" s="5">
        <f t="shared" si="235"/>
        <v>499999.99999999994</v>
      </c>
      <c r="Q307" s="14"/>
      <c r="R307" s="5">
        <f t="shared" si="236"/>
        <v>499999.99999999994</v>
      </c>
      <c r="S307" s="4" t="s">
        <v>1099</v>
      </c>
    </row>
    <row r="308" spans="1:19" ht="15" customHeight="1">
      <c r="A308" s="16">
        <v>46079</v>
      </c>
      <c r="B308" s="96" t="s">
        <v>50</v>
      </c>
      <c r="C308" s="4" t="s">
        <v>54</v>
      </c>
      <c r="D308" s="22" t="s">
        <v>1097</v>
      </c>
      <c r="E308" s="4"/>
      <c r="F308" s="22" t="s">
        <v>59</v>
      </c>
      <c r="G308" s="18" t="s">
        <v>89</v>
      </c>
      <c r="H308" s="21"/>
      <c r="I308" s="5">
        <v>550000</v>
      </c>
      <c r="J308" s="56">
        <f t="shared" ref="J308" si="237">I308/1.1</f>
        <v>499999.99999999994</v>
      </c>
      <c r="K308" s="122"/>
      <c r="L308" s="68">
        <v>46079</v>
      </c>
      <c r="M308" s="26" t="s">
        <v>1092</v>
      </c>
      <c r="N308" s="4" t="s">
        <v>19</v>
      </c>
      <c r="O308" s="6">
        <v>0.5</v>
      </c>
      <c r="P308" s="5">
        <f t="shared" si="235"/>
        <v>249999.99999999997</v>
      </c>
      <c r="Q308" s="14"/>
      <c r="R308" s="5">
        <f t="shared" si="236"/>
        <v>249999.99999999997</v>
      </c>
      <c r="S308" s="4" t="s">
        <v>1098</v>
      </c>
    </row>
    <row r="309" spans="1:19" ht="15" customHeight="1">
      <c r="A309" s="16">
        <v>46079</v>
      </c>
      <c r="B309" s="96" t="s">
        <v>866</v>
      </c>
      <c r="C309" s="4" t="s">
        <v>39</v>
      </c>
      <c r="D309" s="18" t="s">
        <v>867</v>
      </c>
      <c r="E309" s="4"/>
      <c r="F309" s="4" t="s">
        <v>17</v>
      </c>
      <c r="G309" s="22" t="s">
        <v>98</v>
      </c>
      <c r="H309" s="21"/>
      <c r="I309" s="5">
        <v>110000</v>
      </c>
      <c r="J309" s="5">
        <f>I309/1.1</f>
        <v>99999.999999999985</v>
      </c>
      <c r="K309" s="108">
        <v>46072</v>
      </c>
      <c r="L309" s="68">
        <v>46079</v>
      </c>
      <c r="M309" s="26" t="s">
        <v>916</v>
      </c>
      <c r="N309" s="55" t="s">
        <v>908</v>
      </c>
      <c r="O309" s="57">
        <v>0.5</v>
      </c>
      <c r="P309" s="56">
        <f>J309*O309</f>
        <v>49999.999999999993</v>
      </c>
      <c r="Q309" s="26"/>
      <c r="R309" s="56">
        <v>49999.999999999993</v>
      </c>
      <c r="S309" s="18" t="s">
        <v>906</v>
      </c>
    </row>
    <row r="310" spans="1:19" ht="15" customHeight="1">
      <c r="A310" s="16">
        <v>46079</v>
      </c>
      <c r="B310" s="96" t="s">
        <v>38</v>
      </c>
      <c r="C310" s="4" t="s">
        <v>872</v>
      </c>
      <c r="D310" s="45" t="s">
        <v>904</v>
      </c>
      <c r="E310" s="4" t="s">
        <v>905</v>
      </c>
      <c r="F310" s="22" t="s">
        <v>59</v>
      </c>
      <c r="G310" s="18" t="s">
        <v>89</v>
      </c>
      <c r="H310" s="21">
        <v>46072</v>
      </c>
      <c r="I310" s="5">
        <v>1100000</v>
      </c>
      <c r="J310" s="56">
        <f>I310/1.1</f>
        <v>999999.99999999988</v>
      </c>
      <c r="K310" s="108">
        <v>46072</v>
      </c>
      <c r="L310" s="68">
        <v>46079</v>
      </c>
      <c r="M310" s="26" t="s">
        <v>916</v>
      </c>
      <c r="N310" s="55" t="s">
        <v>908</v>
      </c>
      <c r="O310" s="57">
        <v>0.5</v>
      </c>
      <c r="P310" s="56">
        <f>J310*O310</f>
        <v>499999.99999999994</v>
      </c>
      <c r="Q310" s="26"/>
      <c r="R310" s="56">
        <v>49999.999999999993</v>
      </c>
      <c r="S310" s="18" t="s">
        <v>915</v>
      </c>
    </row>
    <row r="311" spans="1:19" ht="15" customHeight="1">
      <c r="A311" s="16">
        <v>46079</v>
      </c>
      <c r="B311" s="96" t="s">
        <v>38</v>
      </c>
      <c r="C311" s="4" t="s">
        <v>1054</v>
      </c>
      <c r="D311" s="22" t="s">
        <v>1055</v>
      </c>
      <c r="F311" s="22" t="s">
        <v>59</v>
      </c>
      <c r="G311" s="18" t="s">
        <v>77</v>
      </c>
      <c r="I311" s="5">
        <v>3850000</v>
      </c>
      <c r="J311" s="56">
        <f>I311/1.1</f>
        <v>3499999.9999999995</v>
      </c>
      <c r="K311" s="122"/>
      <c r="L311" s="68">
        <v>46079</v>
      </c>
      <c r="M311" s="26" t="s">
        <v>1056</v>
      </c>
      <c r="N311" s="45" t="s">
        <v>97</v>
      </c>
      <c r="O311" s="57">
        <v>0.5</v>
      </c>
      <c r="P311" s="56">
        <f t="shared" ref="P311" si="238">J311*O311</f>
        <v>1749999.9999999998</v>
      </c>
      <c r="R311" s="56">
        <f t="shared" ref="R311" si="239">J311-P311</f>
        <v>1749999.9999999998</v>
      </c>
      <c r="S311" s="18" t="s">
        <v>1057</v>
      </c>
    </row>
    <row r="312" spans="1:19" ht="15" customHeight="1">
      <c r="A312" s="16">
        <v>46079</v>
      </c>
      <c r="B312" s="96" t="s">
        <v>38</v>
      </c>
      <c r="C312" s="4" t="s">
        <v>1054</v>
      </c>
      <c r="D312" s="22" t="s">
        <v>1059</v>
      </c>
      <c r="F312" s="22" t="s">
        <v>59</v>
      </c>
      <c r="G312" s="18" t="s">
        <v>1060</v>
      </c>
      <c r="I312" s="5">
        <v>7920000</v>
      </c>
      <c r="J312" s="56">
        <f>I312/1.1</f>
        <v>7199999.9999999991</v>
      </c>
      <c r="K312" s="122"/>
      <c r="L312" s="68">
        <v>46079</v>
      </c>
      <c r="M312" s="26" t="s">
        <v>42</v>
      </c>
      <c r="N312" s="45" t="s">
        <v>97</v>
      </c>
      <c r="O312" s="57">
        <v>0.5</v>
      </c>
      <c r="P312" s="56">
        <f t="shared" ref="P312:P314" si="240">J312*O312</f>
        <v>3599999.9999999995</v>
      </c>
      <c r="R312" s="56">
        <f t="shared" ref="R312:R314" si="241">J312-P312</f>
        <v>3599999.9999999995</v>
      </c>
      <c r="S312" s="18" t="s">
        <v>1061</v>
      </c>
    </row>
    <row r="313" spans="1:19" ht="15" customHeight="1">
      <c r="A313" s="16">
        <v>46079</v>
      </c>
      <c r="B313" s="96" t="s">
        <v>1062</v>
      </c>
      <c r="C313" s="4" t="s">
        <v>1063</v>
      </c>
      <c r="D313" s="45" t="s">
        <v>1064</v>
      </c>
      <c r="E313" s="4" t="s">
        <v>1068</v>
      </c>
      <c r="F313" s="22" t="s">
        <v>59</v>
      </c>
      <c r="G313" s="18" t="s">
        <v>89</v>
      </c>
      <c r="H313" s="21">
        <v>46079</v>
      </c>
      <c r="I313" s="5">
        <v>550000</v>
      </c>
      <c r="J313" s="56">
        <f t="shared" ref="J313" si="242">I313/1.1</f>
        <v>499999.99999999994</v>
      </c>
      <c r="K313" s="122"/>
      <c r="L313" s="68">
        <v>46079</v>
      </c>
      <c r="M313" s="26" t="s">
        <v>1056</v>
      </c>
      <c r="N313" s="45" t="s">
        <v>97</v>
      </c>
      <c r="O313" s="57">
        <v>0.5</v>
      </c>
      <c r="P313" s="56">
        <f t="shared" si="240"/>
        <v>249999.99999999997</v>
      </c>
      <c r="R313" s="56">
        <f t="shared" si="241"/>
        <v>249999.99999999997</v>
      </c>
      <c r="S313" s="18" t="s">
        <v>1065</v>
      </c>
    </row>
    <row r="314" spans="1:19" ht="15" customHeight="1">
      <c r="A314" s="16">
        <v>46079</v>
      </c>
      <c r="B314" s="96" t="s">
        <v>50</v>
      </c>
      <c r="C314" s="4" t="s">
        <v>36</v>
      </c>
      <c r="D314" s="22" t="s">
        <v>1094</v>
      </c>
      <c r="E314" s="4"/>
      <c r="F314" s="22" t="s">
        <v>59</v>
      </c>
      <c r="G314" s="18" t="s">
        <v>89</v>
      </c>
      <c r="H314" s="21"/>
      <c r="I314" s="5">
        <v>550000</v>
      </c>
      <c r="J314" s="56">
        <f t="shared" ref="J314" si="243">I314/1.1</f>
        <v>499999.99999999994</v>
      </c>
      <c r="K314" s="122"/>
      <c r="L314" s="68">
        <v>46079</v>
      </c>
      <c r="M314" s="26" t="s">
        <v>1095</v>
      </c>
      <c r="N314" s="4" t="s">
        <v>19</v>
      </c>
      <c r="O314" s="6">
        <v>0.5</v>
      </c>
      <c r="P314" s="5">
        <f t="shared" si="240"/>
        <v>249999.99999999997</v>
      </c>
      <c r="Q314" s="14"/>
      <c r="R314" s="5">
        <f t="shared" si="241"/>
        <v>249999.99999999997</v>
      </c>
      <c r="S314" s="4" t="s">
        <v>1096</v>
      </c>
    </row>
    <row r="315" spans="1:19" ht="15" customHeight="1">
      <c r="A315" s="16">
        <v>46079</v>
      </c>
      <c r="B315" s="96" t="s">
        <v>38</v>
      </c>
      <c r="C315" s="4" t="s">
        <v>1069</v>
      </c>
      <c r="D315" s="22" t="s">
        <v>1109</v>
      </c>
      <c r="F315" s="22" t="s">
        <v>59</v>
      </c>
      <c r="G315" s="18" t="s">
        <v>77</v>
      </c>
      <c r="I315" s="5">
        <v>3850000</v>
      </c>
      <c r="J315" s="56">
        <f>I315/1.1</f>
        <v>3499999.9999999995</v>
      </c>
      <c r="K315" s="122"/>
      <c r="L315" s="68">
        <v>46079</v>
      </c>
      <c r="M315" s="26" t="s">
        <v>1110</v>
      </c>
      <c r="N315" s="45" t="s">
        <v>97</v>
      </c>
      <c r="O315" s="57">
        <v>0.5</v>
      </c>
      <c r="P315" s="56">
        <f t="shared" ref="P315:P316" si="244">J315*O315</f>
        <v>1749999.9999999998</v>
      </c>
      <c r="R315" s="56">
        <f t="shared" ref="R315:R316" si="245">J315-P315</f>
        <v>1749999.9999999998</v>
      </c>
      <c r="S315" s="18" t="s">
        <v>1111</v>
      </c>
    </row>
    <row r="316" spans="1:19" ht="15" customHeight="1">
      <c r="A316" s="16">
        <v>46079</v>
      </c>
      <c r="B316" s="96" t="s">
        <v>38</v>
      </c>
      <c r="C316" s="4" t="s">
        <v>67</v>
      </c>
      <c r="D316" s="18" t="s">
        <v>1070</v>
      </c>
      <c r="E316" s="4"/>
      <c r="F316" s="4" t="s">
        <v>17</v>
      </c>
      <c r="G316" s="22" t="s">
        <v>98</v>
      </c>
      <c r="H316" s="21"/>
      <c r="I316" s="5">
        <v>110000</v>
      </c>
      <c r="J316" s="5">
        <f t="shared" ref="J316:J323" si="246">I316/1.1</f>
        <v>99999.999999999985</v>
      </c>
      <c r="L316" s="68">
        <v>46079</v>
      </c>
      <c r="M316" s="26" t="s">
        <v>1071</v>
      </c>
      <c r="N316" s="74" t="s">
        <v>97</v>
      </c>
      <c r="O316" s="80">
        <v>0.5</v>
      </c>
      <c r="P316" s="56">
        <f t="shared" si="244"/>
        <v>49999.999999999993</v>
      </c>
      <c r="Q316" s="26"/>
      <c r="R316" s="76">
        <f t="shared" si="245"/>
        <v>49999.999999999993</v>
      </c>
      <c r="S316" s="18" t="s">
        <v>122</v>
      </c>
    </row>
    <row r="317" spans="1:19" ht="15" customHeight="1">
      <c r="A317" s="16">
        <v>46080</v>
      </c>
      <c r="B317" s="96" t="s">
        <v>38</v>
      </c>
      <c r="C317" s="4" t="s">
        <v>57</v>
      </c>
      <c r="D317" s="18" t="s">
        <v>974</v>
      </c>
      <c r="F317" s="4" t="s">
        <v>17</v>
      </c>
      <c r="G317" s="22" t="s">
        <v>98</v>
      </c>
      <c r="H317" s="21"/>
      <c r="I317" s="5">
        <v>110000</v>
      </c>
      <c r="J317" s="5">
        <f t="shared" si="246"/>
        <v>99999.999999999985</v>
      </c>
      <c r="K317" s="108">
        <v>46073</v>
      </c>
      <c r="L317" s="68">
        <v>46080</v>
      </c>
      <c r="M317" s="26" t="s">
        <v>916</v>
      </c>
      <c r="N317" s="55" t="s">
        <v>908</v>
      </c>
      <c r="O317" s="57">
        <v>0.5</v>
      </c>
      <c r="P317" s="56">
        <f>J317*O317</f>
        <v>49999.999999999993</v>
      </c>
      <c r="Q317" s="26"/>
      <c r="R317" s="56">
        <v>49999.999999999993</v>
      </c>
      <c r="S317" s="18" t="s">
        <v>906</v>
      </c>
    </row>
    <row r="318" spans="1:19" ht="15" customHeight="1">
      <c r="A318" s="16">
        <v>46080</v>
      </c>
      <c r="B318" s="96" t="s">
        <v>977</v>
      </c>
      <c r="C318" s="4" t="s">
        <v>54</v>
      </c>
      <c r="D318" s="18" t="s">
        <v>978</v>
      </c>
      <c r="F318" s="4" t="s">
        <v>17</v>
      </c>
      <c r="G318" s="22" t="s">
        <v>98</v>
      </c>
      <c r="H318" s="21"/>
      <c r="I318" s="5">
        <v>110000</v>
      </c>
      <c r="J318" s="5">
        <f t="shared" si="246"/>
        <v>99999.999999999985</v>
      </c>
      <c r="K318" s="108">
        <v>46073</v>
      </c>
      <c r="L318" s="68">
        <v>46080</v>
      </c>
      <c r="M318" s="26" t="s">
        <v>916</v>
      </c>
      <c r="N318" s="55" t="s">
        <v>908</v>
      </c>
      <c r="O318" s="57">
        <v>0.5</v>
      </c>
      <c r="P318" s="56">
        <f>J318*O318</f>
        <v>49999.999999999993</v>
      </c>
      <c r="Q318" s="26"/>
      <c r="R318" s="56">
        <v>49999.999999999993</v>
      </c>
      <c r="S318" s="18" t="s">
        <v>906</v>
      </c>
    </row>
    <row r="319" spans="1:19" ht="15" customHeight="1">
      <c r="A319" s="16">
        <v>46080</v>
      </c>
      <c r="B319" s="96" t="s">
        <v>38</v>
      </c>
      <c r="C319" s="4" t="s">
        <v>980</v>
      </c>
      <c r="D319" s="45" t="s">
        <v>981</v>
      </c>
      <c r="E319" s="4" t="s">
        <v>985</v>
      </c>
      <c r="F319" s="22" t="s">
        <v>59</v>
      </c>
      <c r="G319" s="18" t="s">
        <v>89</v>
      </c>
      <c r="H319" s="21">
        <v>46073</v>
      </c>
      <c r="I319" s="5">
        <v>550000</v>
      </c>
      <c r="J319" s="5">
        <f t="shared" si="246"/>
        <v>499999.99999999994</v>
      </c>
      <c r="K319" s="108">
        <v>46073</v>
      </c>
      <c r="L319" s="68">
        <v>46080</v>
      </c>
      <c r="M319" s="26" t="s">
        <v>916</v>
      </c>
      <c r="N319" s="55" t="s">
        <v>908</v>
      </c>
      <c r="O319" s="57">
        <v>0.5</v>
      </c>
      <c r="P319" s="56">
        <f>J319*O319</f>
        <v>249999.99999999997</v>
      </c>
      <c r="Q319" s="26"/>
      <c r="R319" s="56">
        <v>49999.999999999993</v>
      </c>
      <c r="S319" s="18" t="s">
        <v>906</v>
      </c>
    </row>
    <row r="320" spans="1:19" ht="15" customHeight="1">
      <c r="A320" s="16">
        <v>46080</v>
      </c>
      <c r="B320" s="96" t="s">
        <v>1081</v>
      </c>
      <c r="C320" s="4" t="s">
        <v>79</v>
      </c>
      <c r="D320" s="18" t="s">
        <v>1082</v>
      </c>
      <c r="E320" s="4"/>
      <c r="F320" s="4" t="s">
        <v>17</v>
      </c>
      <c r="G320" s="22" t="s">
        <v>98</v>
      </c>
      <c r="H320" s="21"/>
      <c r="I320" s="5">
        <v>110000</v>
      </c>
      <c r="J320" s="5">
        <f t="shared" si="246"/>
        <v>99999.999999999985</v>
      </c>
      <c r="L320" s="68">
        <v>46080</v>
      </c>
      <c r="M320" s="26" t="s">
        <v>1115</v>
      </c>
      <c r="N320" s="74" t="s">
        <v>97</v>
      </c>
      <c r="O320" s="80">
        <v>0.5</v>
      </c>
      <c r="P320" s="56">
        <f t="shared" ref="P320" si="247">J320*O320</f>
        <v>49999.999999999993</v>
      </c>
      <c r="Q320" s="26"/>
      <c r="R320" s="76">
        <f t="shared" ref="R320" si="248">J320-P320</f>
        <v>49999.999999999993</v>
      </c>
      <c r="S320" s="15" t="s">
        <v>1114</v>
      </c>
    </row>
    <row r="321" spans="1:19" ht="15" customHeight="1">
      <c r="A321" s="16">
        <v>46080</v>
      </c>
      <c r="B321" s="96" t="s">
        <v>1081</v>
      </c>
      <c r="C321" s="4" t="s">
        <v>79</v>
      </c>
      <c r="D321" s="18" t="s">
        <v>1083</v>
      </c>
      <c r="E321" s="4"/>
      <c r="F321" s="4" t="s">
        <v>17</v>
      </c>
      <c r="G321" s="22" t="s">
        <v>98</v>
      </c>
      <c r="H321" s="21"/>
      <c r="I321" s="5">
        <v>110000</v>
      </c>
      <c r="J321" s="5">
        <f t="shared" si="246"/>
        <v>99999.999999999985</v>
      </c>
      <c r="L321" s="68">
        <v>46080</v>
      </c>
      <c r="M321" s="26" t="s">
        <v>43</v>
      </c>
      <c r="N321" s="74" t="s">
        <v>97</v>
      </c>
      <c r="O321" s="80">
        <v>0.5</v>
      </c>
      <c r="P321" s="56">
        <f t="shared" ref="P321" si="249">J321*O321</f>
        <v>49999.999999999993</v>
      </c>
      <c r="Q321" s="26"/>
      <c r="R321" s="76">
        <f t="shared" ref="R321" si="250">J321-P321</f>
        <v>49999.999999999993</v>
      </c>
      <c r="S321" s="15" t="s">
        <v>1116</v>
      </c>
    </row>
    <row r="322" spans="1:19" ht="15" customHeight="1">
      <c r="A322" s="16">
        <v>46080</v>
      </c>
      <c r="B322" s="96" t="s">
        <v>1084</v>
      </c>
      <c r="C322" s="4" t="s">
        <v>1085</v>
      </c>
      <c r="D322" s="22" t="s">
        <v>1119</v>
      </c>
      <c r="F322" s="22" t="s">
        <v>59</v>
      </c>
      <c r="G322" s="18" t="s">
        <v>77</v>
      </c>
      <c r="I322" s="5">
        <v>3975000</v>
      </c>
      <c r="J322" s="5">
        <f t="shared" si="246"/>
        <v>3613636.3636363633</v>
      </c>
      <c r="K322" s="122"/>
      <c r="L322" s="68">
        <v>46080</v>
      </c>
      <c r="M322" s="26" t="s">
        <v>1117</v>
      </c>
      <c r="N322" s="45" t="s">
        <v>97</v>
      </c>
      <c r="O322" s="57">
        <v>0.5</v>
      </c>
      <c r="P322" s="56">
        <f t="shared" ref="P322:P323" si="251">J322*O322</f>
        <v>1806818.1818181816</v>
      </c>
      <c r="R322" s="56">
        <f t="shared" ref="R322:R323" si="252">J322-P322</f>
        <v>1806818.1818181816</v>
      </c>
      <c r="S322" s="54" t="s">
        <v>1118</v>
      </c>
    </row>
    <row r="323" spans="1:19" ht="15" customHeight="1">
      <c r="A323" s="16">
        <v>46081</v>
      </c>
      <c r="B323" s="96" t="s">
        <v>1086</v>
      </c>
      <c r="C323" s="4" t="s">
        <v>1087</v>
      </c>
      <c r="D323" s="131" t="s">
        <v>1131</v>
      </c>
      <c r="E323" s="4" t="s">
        <v>1132</v>
      </c>
      <c r="F323" s="22" t="s">
        <v>59</v>
      </c>
      <c r="G323" s="18" t="s">
        <v>89</v>
      </c>
      <c r="H323" s="21">
        <v>46081</v>
      </c>
      <c r="I323" s="5">
        <v>1100000</v>
      </c>
      <c r="J323" s="5">
        <f t="shared" si="246"/>
        <v>999999.99999999988</v>
      </c>
      <c r="K323" s="122"/>
      <c r="L323" s="68">
        <v>46081</v>
      </c>
      <c r="M323" s="26" t="s">
        <v>43</v>
      </c>
      <c r="N323" s="45" t="s">
        <v>97</v>
      </c>
      <c r="O323" s="57">
        <v>0.5</v>
      </c>
      <c r="P323" s="56">
        <f t="shared" si="251"/>
        <v>499999.99999999994</v>
      </c>
      <c r="R323" s="56">
        <f t="shared" si="252"/>
        <v>499999.99999999994</v>
      </c>
      <c r="S323" s="18" t="s">
        <v>1088</v>
      </c>
    </row>
    <row r="324" spans="1:19" s="32" customFormat="1" ht="15" customHeight="1">
      <c r="A324" s="16"/>
      <c r="B324" s="85"/>
      <c r="C324" s="18"/>
      <c r="D324" s="45"/>
      <c r="E324" s="18"/>
      <c r="F324" s="45"/>
      <c r="G324" s="18"/>
      <c r="H324" s="24"/>
      <c r="I324" s="25"/>
      <c r="J324" s="25"/>
      <c r="K324" s="122"/>
      <c r="L324" s="68"/>
      <c r="M324" s="26"/>
      <c r="N324" s="45"/>
      <c r="O324" s="57"/>
      <c r="P324" s="56"/>
      <c r="R324" s="56"/>
      <c r="S324" s="18"/>
    </row>
  </sheetData>
  <autoFilter ref="A1:S324">
    <sortState ref="A2:S5186">
      <sortCondition ref="A1:A4696"/>
    </sortState>
  </autoFilter>
  <phoneticPr fontId="4" type="noConversion"/>
  <conditionalFormatting sqref="M30:P30 R30:S30">
    <cfRule type="expression" dxfId="98" priority="198">
      <formula>OR(ROW()=CELL("row"),COLUMN()=CELL("col"))</formula>
    </cfRule>
  </conditionalFormatting>
  <conditionalFormatting sqref="M34:P34 R34:S34">
    <cfRule type="expression" dxfId="97" priority="197">
      <formula>OR(ROW()=CELL("row"),COLUMN()=CELL("col"))</formula>
    </cfRule>
  </conditionalFormatting>
  <conditionalFormatting sqref="M42:P42 R42:S42">
    <cfRule type="expression" dxfId="96" priority="196">
      <formula>OR(ROW()=CELL("row"),COLUMN()=CELL("col"))</formula>
    </cfRule>
  </conditionalFormatting>
  <conditionalFormatting sqref="D42">
    <cfRule type="expression" dxfId="95" priority="195">
      <formula>OR(ROW()=CELL("row"),COLUMN()=CELL("col"))</formula>
    </cfRule>
  </conditionalFormatting>
  <conditionalFormatting sqref="M43:P43 R43:S43">
    <cfRule type="expression" dxfId="94" priority="194">
      <formula>OR(ROW()=CELL("row"),COLUMN()=CELL("col"))</formula>
    </cfRule>
  </conditionalFormatting>
  <conditionalFormatting sqref="M57:P57 R57:T57">
    <cfRule type="expression" dxfId="93" priority="193">
      <formula>OR(ROW()=CELL("row"),COLUMN()=CELL("col"))</formula>
    </cfRule>
  </conditionalFormatting>
  <conditionalFormatting sqref="D58:E58">
    <cfRule type="expression" dxfId="92" priority="192">
      <formula>OR(ROW()=CELL("row"),COLUMN()=CELL("col"))</formula>
    </cfRule>
  </conditionalFormatting>
  <conditionalFormatting sqref="H58">
    <cfRule type="expression" dxfId="91" priority="191">
      <formula>OR(ROW()=CELL("row"),COLUMN()=CELL("col"))</formula>
    </cfRule>
  </conditionalFormatting>
  <conditionalFormatting sqref="E66">
    <cfRule type="expression" dxfId="90" priority="190">
      <formula>OR(ROW()=CELL("row"),COLUMN()=CELL("col"))</formula>
    </cfRule>
  </conditionalFormatting>
  <conditionalFormatting sqref="H66">
    <cfRule type="expression" dxfId="89" priority="189">
      <formula>OR(ROW()=CELL("row"),COLUMN()=CELL("col"))</formula>
    </cfRule>
  </conditionalFormatting>
  <conditionalFormatting sqref="M66:P66 R66:S66">
    <cfRule type="expression" dxfId="88" priority="188">
      <formula>OR(ROW()=CELL("row"),COLUMN()=CELL("col"))</formula>
    </cfRule>
  </conditionalFormatting>
  <conditionalFormatting sqref="M68:P68 R68:S68">
    <cfRule type="expression" dxfId="87" priority="187">
      <formula>OR(ROW()=CELL("row"),COLUMN()=CELL("col"))</formula>
    </cfRule>
  </conditionalFormatting>
  <conditionalFormatting sqref="M75:P75 R75:S75">
    <cfRule type="expression" dxfId="86" priority="186">
      <formula>OR(ROW()=CELL("row"),COLUMN()=CELL("col"))</formula>
    </cfRule>
  </conditionalFormatting>
  <conditionalFormatting sqref="D77">
    <cfRule type="expression" dxfId="85" priority="185">
      <formula>OR(ROW()=CELL("row"),COLUMN()=CELL("col"))</formula>
    </cfRule>
  </conditionalFormatting>
  <conditionalFormatting sqref="M77:P77 R77:S77">
    <cfRule type="expression" dxfId="84" priority="184">
      <formula>OR(ROW()=CELL("row"),COLUMN()=CELL("col"))</formula>
    </cfRule>
  </conditionalFormatting>
  <conditionalFormatting sqref="M80:P80 R80:S80">
    <cfRule type="expression" dxfId="83" priority="183">
      <formula>OR(ROW()=CELL("row"),COLUMN()=CELL("col"))</formula>
    </cfRule>
  </conditionalFormatting>
  <conditionalFormatting sqref="E89">
    <cfRule type="expression" dxfId="82" priority="182">
      <formula>OR(ROW()=CELL("row"),COLUMN()=CELL("col"))</formula>
    </cfRule>
  </conditionalFormatting>
  <conditionalFormatting sqref="H89">
    <cfRule type="expression" dxfId="81" priority="181">
      <formula>OR(ROW()=CELL("row"),COLUMN()=CELL("col"))</formula>
    </cfRule>
  </conditionalFormatting>
  <conditionalFormatting sqref="M89:P89 R89:S89">
    <cfRule type="expression" dxfId="80" priority="180">
      <formula>OR(ROW()=CELL("row"),COLUMN()=CELL("col"))</formula>
    </cfRule>
  </conditionalFormatting>
  <conditionalFormatting sqref="M95:P95 R95:S95">
    <cfRule type="expression" dxfId="79" priority="179">
      <formula>OR(ROW()=CELL("row"),COLUMN()=CELL("col"))</formula>
    </cfRule>
  </conditionalFormatting>
  <conditionalFormatting sqref="E104">
    <cfRule type="expression" dxfId="78" priority="178">
      <formula>OR(ROW()=CELL("row"),COLUMN()=CELL("col"))</formula>
    </cfRule>
  </conditionalFormatting>
  <conditionalFormatting sqref="H104">
    <cfRule type="expression" dxfId="77" priority="177">
      <formula>OR(ROW()=CELL("row"),COLUMN()=CELL("col"))</formula>
    </cfRule>
  </conditionalFormatting>
  <conditionalFormatting sqref="M104:P104 R104:S104">
    <cfRule type="expression" dxfId="76" priority="176">
      <formula>OR(ROW()=CELL("row"),COLUMN()=CELL("col"))</formula>
    </cfRule>
  </conditionalFormatting>
  <conditionalFormatting sqref="D106">
    <cfRule type="expression" dxfId="75" priority="175">
      <formula>OR(ROW()=CELL("row"),COLUMN()=CELL("col"))</formula>
    </cfRule>
  </conditionalFormatting>
  <conditionalFormatting sqref="M106:P106 R106:S106">
    <cfRule type="expression" dxfId="74" priority="174">
      <formula>OR(ROW()=CELL("row"),COLUMN()=CELL("col"))</formula>
    </cfRule>
  </conditionalFormatting>
  <conditionalFormatting sqref="E109">
    <cfRule type="expression" dxfId="73" priority="173">
      <formula>OR(ROW()=CELL("row"),COLUMN()=CELL("col"))</formula>
    </cfRule>
  </conditionalFormatting>
  <conditionalFormatting sqref="H109">
    <cfRule type="expression" dxfId="72" priority="172">
      <formula>OR(ROW()=CELL("row"),COLUMN()=CELL("col"))</formula>
    </cfRule>
  </conditionalFormatting>
  <conditionalFormatting sqref="M109:P109 R109:S109">
    <cfRule type="expression" dxfId="71" priority="171">
      <formula>OR(ROW()=CELL("row"),COLUMN()=CELL("col"))</formula>
    </cfRule>
  </conditionalFormatting>
  <conditionalFormatting sqref="D117:E117">
    <cfRule type="expression" dxfId="70" priority="170">
      <formula>OR(ROW()=CELL("row"),COLUMN()=CELL("col"))</formula>
    </cfRule>
  </conditionalFormatting>
  <conditionalFormatting sqref="M117:P117 R117:S117">
    <cfRule type="expression" dxfId="69" priority="169">
      <formula>OR(ROW()=CELL("row"),COLUMN()=CELL("col"))</formula>
    </cfRule>
  </conditionalFormatting>
  <conditionalFormatting sqref="D121:E121">
    <cfRule type="expression" dxfId="68" priority="168">
      <formula>OR(ROW()=CELL("row"),COLUMN()=CELL("col"))</formula>
    </cfRule>
  </conditionalFormatting>
  <conditionalFormatting sqref="H121">
    <cfRule type="expression" dxfId="67" priority="167">
      <formula>OR(ROW()=CELL("row"),COLUMN()=CELL("col"))</formula>
    </cfRule>
  </conditionalFormatting>
  <conditionalFormatting sqref="M121:P121 R121:S121">
    <cfRule type="expression" dxfId="66" priority="166">
      <formula>OR(ROW()=CELL("row"),COLUMN()=CELL("col"))</formula>
    </cfRule>
  </conditionalFormatting>
  <conditionalFormatting sqref="M122:P122 R122:S122">
    <cfRule type="expression" dxfId="65" priority="165">
      <formula>OR(ROW()=CELL("row"),COLUMN()=CELL("col"))</formula>
    </cfRule>
  </conditionalFormatting>
  <conditionalFormatting sqref="M125:P125 R125:S125">
    <cfRule type="expression" dxfId="64" priority="164">
      <formula>OR(ROW()=CELL("row"),COLUMN()=CELL("col"))</formula>
    </cfRule>
  </conditionalFormatting>
  <conditionalFormatting sqref="E126">
    <cfRule type="expression" dxfId="63" priority="163">
      <formula>OR(ROW()=CELL("row"),COLUMN()=CELL("col"))</formula>
    </cfRule>
  </conditionalFormatting>
  <conditionalFormatting sqref="H126">
    <cfRule type="expression" dxfId="62" priority="162">
      <formula>OR(ROW()=CELL("row"),COLUMN()=CELL("col"))</formula>
    </cfRule>
  </conditionalFormatting>
  <conditionalFormatting sqref="M126:P126 R126:S126">
    <cfRule type="expression" dxfId="61" priority="161">
      <formula>OR(ROW()=CELL("row"),COLUMN()=CELL("col"))</formula>
    </cfRule>
  </conditionalFormatting>
  <conditionalFormatting sqref="M133:P133 R133:S133">
    <cfRule type="expression" dxfId="60" priority="160">
      <formula>OR(ROW()=CELL("row"),COLUMN()=CELL("col"))</formula>
    </cfRule>
  </conditionalFormatting>
  <conditionalFormatting sqref="D137">
    <cfRule type="expression" dxfId="59" priority="159">
      <formula>OR(ROW()=CELL("row"),COLUMN()=CELL("col"))</formula>
    </cfRule>
  </conditionalFormatting>
  <conditionalFormatting sqref="M137:P137 R137:S137">
    <cfRule type="expression" dxfId="58" priority="158">
      <formula>OR(ROW()=CELL("row"),COLUMN()=CELL("col"))</formula>
    </cfRule>
  </conditionalFormatting>
  <conditionalFormatting sqref="M155:P155 R155:S155">
    <cfRule type="expression" dxfId="57" priority="157">
      <formula>OR(ROW()=CELL("row"),COLUMN()=CELL("col"))</formula>
    </cfRule>
  </conditionalFormatting>
  <conditionalFormatting sqref="D163">
    <cfRule type="expression" dxfId="56" priority="156">
      <formula>OR(ROW()=CELL("row"),COLUMN()=CELL("col"))</formula>
    </cfRule>
  </conditionalFormatting>
  <conditionalFormatting sqref="M163">
    <cfRule type="expression" dxfId="55" priority="155">
      <formula>OR(ROW()=CELL("row"),COLUMN()=CELL("col"))</formula>
    </cfRule>
  </conditionalFormatting>
  <conditionalFormatting sqref="M165">
    <cfRule type="expression" dxfId="54" priority="154">
      <formula>OR(ROW()=CELL("row"),COLUMN()=CELL("col"))</formula>
    </cfRule>
  </conditionalFormatting>
  <conditionalFormatting sqref="M168:P168 R168">
    <cfRule type="expression" dxfId="53" priority="153">
      <formula>OR(ROW()=CELL("row"),COLUMN()=CELL("col"))</formula>
    </cfRule>
  </conditionalFormatting>
  <conditionalFormatting sqref="M173">
    <cfRule type="expression" dxfId="52" priority="152">
      <formula>OR(ROW()=CELL("row"),COLUMN()=CELL("col"))</formula>
    </cfRule>
  </conditionalFormatting>
  <conditionalFormatting sqref="M174">
    <cfRule type="expression" dxfId="51" priority="151">
      <formula>OR(ROW()=CELL("row"),COLUMN()=CELL("col"))</formula>
    </cfRule>
  </conditionalFormatting>
  <conditionalFormatting sqref="M180:P180 R180">
    <cfRule type="expression" dxfId="50" priority="150">
      <formula>OR(ROW()=CELL("row"),COLUMN()=CELL("col"))</formula>
    </cfRule>
  </conditionalFormatting>
  <conditionalFormatting sqref="M187:P187 R187">
    <cfRule type="expression" dxfId="49" priority="149">
      <formula>OR(ROW()=CELL("row"),COLUMN()=CELL("col"))</formula>
    </cfRule>
  </conditionalFormatting>
  <conditionalFormatting sqref="M188:P188 R188">
    <cfRule type="expression" dxfId="48" priority="148">
      <formula>OR(ROW()=CELL("row"),COLUMN()=CELL("col"))</formula>
    </cfRule>
  </conditionalFormatting>
  <conditionalFormatting sqref="E188">
    <cfRule type="expression" dxfId="47" priority="147">
      <formula>OR(ROW()=CELL("row"),COLUMN()=CELL("col"))</formula>
    </cfRule>
  </conditionalFormatting>
  <conditionalFormatting sqref="H188">
    <cfRule type="expression" dxfId="46" priority="146">
      <formula>OR(ROW()=CELL("row"),COLUMN()=CELL("col"))</formula>
    </cfRule>
  </conditionalFormatting>
  <conditionalFormatting sqref="E189">
    <cfRule type="expression" dxfId="45" priority="145">
      <formula>OR(ROW()=CELL("row"),COLUMN()=CELL("col"))</formula>
    </cfRule>
  </conditionalFormatting>
  <conditionalFormatting sqref="D190">
    <cfRule type="expression" dxfId="44" priority="144">
      <formula>OR(ROW()=CELL("row"),COLUMN()=CELL("col"))</formula>
    </cfRule>
  </conditionalFormatting>
  <conditionalFormatting sqref="M190:P190 R190">
    <cfRule type="expression" dxfId="43" priority="143">
      <formula>OR(ROW()=CELL("row"),COLUMN()=CELL("col"))</formula>
    </cfRule>
  </conditionalFormatting>
  <conditionalFormatting sqref="M189:P189 R189">
    <cfRule type="expression" dxfId="42" priority="142">
      <formula>OR(ROW()=CELL("row"),COLUMN()=CELL("col"))</formula>
    </cfRule>
  </conditionalFormatting>
  <conditionalFormatting sqref="M193:O193 R193">
    <cfRule type="expression" dxfId="41" priority="141">
      <formula>OR(ROW()=CELL("row"),COLUMN()=CELL("col"))</formula>
    </cfRule>
  </conditionalFormatting>
  <conditionalFormatting sqref="D195">
    <cfRule type="expression" dxfId="40" priority="140">
      <formula>OR(ROW()=CELL("row"),COLUMN()=CELL("col"))</formula>
    </cfRule>
  </conditionalFormatting>
  <conditionalFormatting sqref="M195:O195 R195">
    <cfRule type="expression" dxfId="39" priority="139">
      <formula>OR(ROW()=CELL("row"),COLUMN()=CELL("col"))</formula>
    </cfRule>
  </conditionalFormatting>
  <conditionalFormatting sqref="D201">
    <cfRule type="expression" dxfId="38" priority="138">
      <formula>OR(ROW()=CELL("row"),COLUMN()=CELL("col"))</formula>
    </cfRule>
  </conditionalFormatting>
  <conditionalFormatting sqref="M201:O201 R201">
    <cfRule type="expression" dxfId="37" priority="137">
      <formula>OR(ROW()=CELL("row"),COLUMN()=CELL("col"))</formula>
    </cfRule>
  </conditionalFormatting>
  <conditionalFormatting sqref="E202">
    <cfRule type="expression" dxfId="36" priority="136">
      <formula>OR(ROW()=CELL("row"),COLUMN()=CELL("col"))</formula>
    </cfRule>
  </conditionalFormatting>
  <conditionalFormatting sqref="E203:E204">
    <cfRule type="expression" dxfId="35" priority="135">
      <formula>OR(ROW()=CELL("row"),COLUMN()=CELL("col"))</formula>
    </cfRule>
  </conditionalFormatting>
  <conditionalFormatting sqref="M202:O204 R202:R204">
    <cfRule type="expression" dxfId="34" priority="133">
      <formula>OR(ROW()=CELL("row"),COLUMN()=CELL("col"))</formula>
    </cfRule>
  </conditionalFormatting>
  <conditionalFormatting sqref="E207">
    <cfRule type="expression" dxfId="33" priority="132">
      <formula>OR(ROW()=CELL("row"),COLUMN()=CELL("col"))</formula>
    </cfRule>
  </conditionalFormatting>
  <conditionalFormatting sqref="M212:O212 R212">
    <cfRule type="expression" dxfId="32" priority="130">
      <formula>OR(ROW()=CELL("row"),COLUMN()=CELL("col"))</formula>
    </cfRule>
  </conditionalFormatting>
  <conditionalFormatting sqref="M213:O213 R213">
    <cfRule type="expression" dxfId="31" priority="129">
      <formula>OR(ROW()=CELL("row"),COLUMN()=CELL("col"))</formula>
    </cfRule>
  </conditionalFormatting>
  <conditionalFormatting sqref="M216:O216 R216">
    <cfRule type="expression" dxfId="30" priority="128">
      <formula>OR(ROW()=CELL("row"),COLUMN()=CELL("col"))</formula>
    </cfRule>
  </conditionalFormatting>
  <conditionalFormatting sqref="M217:O218 R217:R218">
    <cfRule type="expression" dxfId="29" priority="127">
      <formula>OR(ROW()=CELL("row"),COLUMN()=CELL("col"))</formula>
    </cfRule>
  </conditionalFormatting>
  <conditionalFormatting sqref="M219:O219 R219">
    <cfRule type="expression" dxfId="28" priority="126">
      <formula>OR(ROW()=CELL("row"),COLUMN()=CELL("col"))</formula>
    </cfRule>
  </conditionalFormatting>
  <conditionalFormatting sqref="D235">
    <cfRule type="expression" dxfId="27" priority="125">
      <formula>OR(ROW()=CELL("row"),COLUMN()=CELL("col"))</formula>
    </cfRule>
  </conditionalFormatting>
  <conditionalFormatting sqref="M235:O235 R235">
    <cfRule type="expression" dxfId="26" priority="124">
      <formula>OR(ROW()=CELL("row"),COLUMN()=CELL("col"))</formula>
    </cfRule>
  </conditionalFormatting>
  <conditionalFormatting sqref="I239">
    <cfRule type="expression" dxfId="25" priority="123">
      <formula>OR(ROW()=CELL("row"),COLUMN()=CELL("col"))</formula>
    </cfRule>
  </conditionalFormatting>
  <conditionalFormatting sqref="I216">
    <cfRule type="expression" dxfId="24" priority="122">
      <formula>OR(ROW()=CELL("row"),COLUMN()=CELL("col"))</formula>
    </cfRule>
  </conditionalFormatting>
  <conditionalFormatting sqref="M239:O239 R239">
    <cfRule type="expression" dxfId="23" priority="121">
      <formula>OR(ROW()=CELL("row"),COLUMN()=CELL("col"))</formula>
    </cfRule>
  </conditionalFormatting>
  <conditionalFormatting sqref="M240:O240 R240">
    <cfRule type="expression" dxfId="22" priority="119">
      <formula>OR(ROW()=CELL("row"),COLUMN()=CELL("col"))</formula>
    </cfRule>
  </conditionalFormatting>
  <conditionalFormatting sqref="M241:O241 R241">
    <cfRule type="expression" dxfId="21" priority="118">
      <formula>OR(ROW()=CELL("row"),COLUMN()=CELL("col"))</formula>
    </cfRule>
  </conditionalFormatting>
  <conditionalFormatting sqref="M252:O252 R252">
    <cfRule type="expression" dxfId="20" priority="116">
      <formula>OR(ROW()=CELL("row"),COLUMN()=CELL("col"))</formula>
    </cfRule>
  </conditionalFormatting>
  <conditionalFormatting sqref="M254:O254 R254">
    <cfRule type="expression" dxfId="19" priority="115">
      <formula>OR(ROW()=CELL("row"),COLUMN()=CELL("col"))</formula>
    </cfRule>
  </conditionalFormatting>
  <conditionalFormatting sqref="E254">
    <cfRule type="expression" dxfId="18" priority="114">
      <formula>OR(ROW()=CELL("row"),COLUMN()=CELL("col"))</formula>
    </cfRule>
  </conditionalFormatting>
  <conditionalFormatting sqref="M58:P58 R58:S58">
    <cfRule type="expression" dxfId="17" priority="113">
      <formula>OR(ROW()=CELL("row"),COLUMN()=CELL("col"))</formula>
    </cfRule>
  </conditionalFormatting>
  <conditionalFormatting sqref="M63:P63 R63:S63">
    <cfRule type="expression" dxfId="16" priority="112">
      <formula>OR(ROW()=CELL("row"),COLUMN()=CELL("col"))</formula>
    </cfRule>
  </conditionalFormatting>
  <conditionalFormatting sqref="M205:O205 R205">
    <cfRule type="expression" dxfId="15" priority="111">
      <formula>OR(ROW()=CELL("row"),COLUMN()=CELL("col"))</formula>
    </cfRule>
  </conditionalFormatting>
  <conditionalFormatting sqref="M211:O211 R211">
    <cfRule type="expression" dxfId="14" priority="110">
      <formula>OR(ROW()=CELL("row"),COLUMN()=CELL("col"))</formula>
    </cfRule>
  </conditionalFormatting>
  <conditionalFormatting sqref="M233:O233 R233">
    <cfRule type="expression" dxfId="13" priority="109">
      <formula>OR(ROW()=CELL("row"),COLUMN()=CELL("col"))</formula>
    </cfRule>
  </conditionalFormatting>
  <conditionalFormatting sqref="M263:O263 R263">
    <cfRule type="expression" dxfId="12" priority="108">
      <formula>OR(ROW()=CELL("row"),COLUMN()=CELL("col"))</formula>
    </cfRule>
  </conditionalFormatting>
  <conditionalFormatting sqref="D267">
    <cfRule type="expression" dxfId="11" priority="107">
      <formula>OR(ROW()=CELL("row"),COLUMN()=CELL("col"))</formula>
    </cfRule>
  </conditionalFormatting>
  <conditionalFormatting sqref="M267:N267 R267">
    <cfRule type="expression" dxfId="10" priority="106">
      <formula>OR(ROW()=CELL("row"),COLUMN()=CELL("col"))</formula>
    </cfRule>
  </conditionalFormatting>
  <conditionalFormatting sqref="M268:N268 R268">
    <cfRule type="expression" dxfId="9" priority="105">
      <formula>OR(ROW()=CELL("row"),COLUMN()=CELL("col"))</formula>
    </cfRule>
  </conditionalFormatting>
  <conditionalFormatting sqref="M314:S314">
    <cfRule type="expression" dxfId="8" priority="86">
      <formula>OR(ROW()=CELL("row"),COLUMN()=CELL("col"))</formula>
    </cfRule>
  </conditionalFormatting>
  <conditionalFormatting sqref="M308:S308">
    <cfRule type="expression" dxfId="7" priority="85">
      <formula>OR(ROW()=CELL("row"),COLUMN()=CELL("col"))</formula>
    </cfRule>
  </conditionalFormatting>
  <conditionalFormatting sqref="M307:S307">
    <cfRule type="expression" dxfId="6" priority="84">
      <formula>OR(ROW()=CELL("row"),COLUMN()=CELL("col"))</formula>
    </cfRule>
  </conditionalFormatting>
  <conditionalFormatting sqref="M304:S304">
    <cfRule type="expression" dxfId="5" priority="83">
      <formula>OR(ROW()=CELL("row"),COLUMN()=CELL("col"))</formula>
    </cfRule>
  </conditionalFormatting>
  <conditionalFormatting sqref="M301:S301">
    <cfRule type="expression" dxfId="4" priority="82">
      <formula>OR(ROW()=CELL("row"),COLUMN()=CELL("col"))</formula>
    </cfRule>
  </conditionalFormatting>
  <conditionalFormatting sqref="M291:S291">
    <cfRule type="expression" dxfId="3" priority="81">
      <formula>OR(ROW()=CELL("row"),COLUMN()=CELL("col"))</formula>
    </cfRule>
  </conditionalFormatting>
  <conditionalFormatting sqref="M276:S276">
    <cfRule type="expression" dxfId="2" priority="80">
      <formula>OR(ROW()=CELL("row"),COLUMN()=CELL("col"))</formula>
    </cfRule>
  </conditionalFormatting>
  <conditionalFormatting sqref="M207:S207">
    <cfRule type="expression" dxfId="1" priority="79">
      <formula>OR(ROW()=CELL("row"),COLUMN()=CELL("col"))</formula>
    </cfRule>
  </conditionalFormatting>
  <conditionalFormatting sqref="M36">
    <cfRule type="expression" dxfId="0" priority="77">
      <formula>OR(ROW()=CELL("row"),COLUMN()=CELL("col"))</formula>
    </cfRule>
  </conditionalFormatting>
  <pageMargins left="0.25" right="0.25" top="0.75" bottom="0.75" header="0" footer="0"/>
  <pageSetup paperSize="9" scale="42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엘앤씨 2018,2019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CHU</cp:lastModifiedBy>
  <cp:lastPrinted>2026-03-24T08:52:53Z</cp:lastPrinted>
  <dcterms:created xsi:type="dcterms:W3CDTF">2016-08-18T06:45:35Z</dcterms:created>
  <dcterms:modified xsi:type="dcterms:W3CDTF">2026-04-16T08:08:07Z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Z_DOC_UI_LASTSTATE">
    <vt:lpwstr>{}</vt:lpwstr>
  </property>
</Properties>
</file>